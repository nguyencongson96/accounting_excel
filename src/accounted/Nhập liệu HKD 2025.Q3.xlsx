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KER\4.Developer\Invoice\public\"/>
    </mc:Choice>
  </mc:AlternateContent>
  <xr:revisionPtr revIDLastSave="0" documentId="13_ncr:1_{D081D2B5-59D9-4748-BF8B-371CBA3D24A7}" xr6:coauthVersionLast="47" xr6:coauthVersionMax="47" xr10:uidLastSave="{00000000-0000-0000-0000-000000000000}"/>
  <bookViews>
    <workbookView xWindow="-120" yWindow="-120" windowWidth="29040" windowHeight="17520" tabRatio="724" firstSheet="14" activeTab="22" xr2:uid="{00000000-000D-0000-FFFF-FFFF00000000}"/>
  </bookViews>
  <sheets>
    <sheet name="8427727031-001" sheetId="1" r:id="rId1"/>
    <sheet name="8568979698-001" sheetId="3" r:id="rId2"/>
    <sheet name="8710040770-001" sheetId="4" r:id="rId3"/>
    <sheet name="8537932805-001" sheetId="5" r:id="rId4"/>
    <sheet name="8783523554-001" sheetId="6" r:id="rId5"/>
    <sheet name="079200020738" sheetId="11" r:id="rId6"/>
    <sheet name="8077953218-001" sheetId="7" r:id="rId7"/>
    <sheet name="8785516231-001" sheetId="8" r:id="rId8"/>
    <sheet name="8336384757-001" sheetId="9" r:id="rId9"/>
    <sheet name="8456794480-001" sheetId="10" r:id="rId10"/>
    <sheet name="8443847047-001" sheetId="12" r:id="rId11"/>
    <sheet name="8423525669-001" sheetId="13" r:id="rId12"/>
    <sheet name="070095006110" sheetId="14" r:id="rId13"/>
    <sheet name="072098001948" sheetId="15" r:id="rId14"/>
    <sheet name="014198000033" sheetId="26" r:id="rId15"/>
    <sheet name="8836978269-001" sheetId="18" r:id="rId16"/>
    <sheet name="079302004855" sheetId="23" r:id="rId17"/>
    <sheet name="8307704000-002" sheetId="21" r:id="rId18"/>
    <sheet name="8548655046-002" sheetId="22" r:id="rId19"/>
    <sheet name="079098009021" sheetId="25" r:id="rId20"/>
    <sheet name="8417307084-001" sheetId="19" r:id="rId21"/>
    <sheet name="8339629042-001" sheetId="20" r:id="rId22"/>
    <sheet name="Summary" sheetId="17" r:id="rId23"/>
    <sheet name="052300008705" sheetId="27" r:id="rId24"/>
  </sheets>
  <definedNames>
    <definedName name="_xlnm._FilterDatabase" localSheetId="14" hidden="1">'014198000033'!$A$3:$P$26</definedName>
    <definedName name="_xlnm._FilterDatabase" localSheetId="23" hidden="1">'052300008705'!$A$3:$P$29</definedName>
    <definedName name="_xlnm._FilterDatabase" localSheetId="12" hidden="1">'070095006110'!$A$3:$P$76</definedName>
    <definedName name="_xlnm._FilterDatabase" localSheetId="13" hidden="1">'072098001948'!$A$3:$P$104</definedName>
    <definedName name="_xlnm._FilterDatabase" localSheetId="19" hidden="1">'079098009021'!$A$3:$P$30</definedName>
    <definedName name="_xlnm._FilterDatabase" localSheetId="5" hidden="1">'079200020738'!$A$3:$P$102</definedName>
    <definedName name="_xlnm._FilterDatabase" localSheetId="16" hidden="1">'079302004855'!$A$3:$P$63</definedName>
    <definedName name="_xlnm._FilterDatabase" localSheetId="6" hidden="1">'8077953218-001'!$A$3:$P$137</definedName>
    <definedName name="_xlnm._FilterDatabase" localSheetId="17" hidden="1">'8307704000-002'!$A$3:$P$117</definedName>
    <definedName name="_xlnm._FilterDatabase" localSheetId="8" hidden="1">'8336384757-001'!$A$3:$P$140</definedName>
    <definedName name="_xlnm._FilterDatabase" localSheetId="21" hidden="1">'8339629042-001'!$A$3:$P$28</definedName>
    <definedName name="_xlnm._FilterDatabase" localSheetId="20" hidden="1">'8417307084-001'!$A$3:$P$96</definedName>
    <definedName name="_xlnm._FilterDatabase" localSheetId="11" hidden="1">'8423525669-001'!$A$3:$P$406</definedName>
    <definedName name="_xlnm._FilterDatabase" localSheetId="0" hidden="1">'8427727031-001'!$A$3:$P$526</definedName>
    <definedName name="_xlnm._FilterDatabase" localSheetId="10" hidden="1">'8443847047-001'!$A$3:$P$85</definedName>
    <definedName name="_xlnm._FilterDatabase" localSheetId="9" hidden="1">'8456794480-001'!$A$3:$P$160</definedName>
    <definedName name="_xlnm._FilterDatabase" localSheetId="3" hidden="1">'8537932805-001'!$A$3:$P$141</definedName>
    <definedName name="_xlnm._FilterDatabase" localSheetId="18" hidden="1">'8548655046-002'!$A$3:$P$88</definedName>
    <definedName name="_xlnm._FilterDatabase" localSheetId="1" hidden="1">'8568979698-001'!$A$3:$P$123</definedName>
    <definedName name="_xlnm._FilterDatabase" localSheetId="2" hidden="1">'8710040770-001'!$A$3:$P$218</definedName>
    <definedName name="_xlnm._FilterDatabase" localSheetId="4" hidden="1">'8783523554-001'!$A$3:$P$138</definedName>
    <definedName name="_xlnm._FilterDatabase" localSheetId="7" hidden="1">'8785516231-001'!$A$3:$P$138</definedName>
    <definedName name="_xlnm._FilterDatabase" localSheetId="15" hidden="1">'8836978269-001'!$A$3:$P$429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20" l="1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 s="1"/>
  <c r="D18" i="20" s="1"/>
  <c r="D19" i="20" s="1"/>
  <c r="D20" i="20" s="1"/>
  <c r="D21" i="20" s="1"/>
  <c r="D22" i="20" s="1"/>
  <c r="D23" i="20" s="1"/>
  <c r="D24" i="20" s="1"/>
  <c r="D25" i="20" s="1"/>
  <c r="D26" i="20" s="1"/>
  <c r="D27" i="20" s="1"/>
  <c r="D28" i="20" s="1"/>
  <c r="D29" i="20" s="1"/>
  <c r="D30" i="20" s="1"/>
  <c r="D31" i="20" s="1"/>
  <c r="D32" i="20" s="1"/>
  <c r="D33" i="20" s="1"/>
  <c r="D34" i="20" s="1"/>
  <c r="D35" i="20" s="1"/>
  <c r="D36" i="20" s="1"/>
  <c r="D37" i="20" s="1"/>
  <c r="D38" i="20" s="1"/>
  <c r="D39" i="20" s="1"/>
  <c r="D40" i="20" s="1"/>
  <c r="D41" i="20" s="1"/>
  <c r="D42" i="20" s="1"/>
  <c r="D43" i="20" s="1"/>
  <c r="D44" i="20" s="1"/>
  <c r="D45" i="20" s="1"/>
  <c r="D46" i="20" s="1"/>
  <c r="D47" i="20" s="1"/>
  <c r="D48" i="20" s="1"/>
  <c r="D49" i="20" s="1"/>
  <c r="D50" i="20" s="1"/>
  <c r="D51" i="20" s="1"/>
  <c r="D52" i="20" s="1"/>
  <c r="D53" i="20" s="1"/>
  <c r="D54" i="20" s="1"/>
  <c r="D4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76" i="19"/>
  <c r="N38" i="19"/>
  <c r="N39" i="19"/>
  <c r="N40" i="19"/>
  <c r="D4" i="19"/>
  <c r="C4" i="19" s="1"/>
  <c r="N64" i="19"/>
  <c r="N65" i="19"/>
  <c r="N66" i="19"/>
  <c r="N67" i="19"/>
  <c r="N68" i="19"/>
  <c r="N69" i="19"/>
  <c r="N70" i="19"/>
  <c r="N71" i="19"/>
  <c r="N72" i="19"/>
  <c r="N73" i="19"/>
  <c r="N74" i="19"/>
  <c r="N75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56" i="19"/>
  <c r="N57" i="19"/>
  <c r="N58" i="19"/>
  <c r="N59" i="19"/>
  <c r="N60" i="19"/>
  <c r="N61" i="19"/>
  <c r="N62" i="19"/>
  <c r="N63" i="19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4" i="25"/>
  <c r="N98" i="22"/>
  <c r="D98" i="22"/>
  <c r="C98" i="22" s="1"/>
  <c r="D92" i="22"/>
  <c r="C92" i="22" s="1"/>
  <c r="D93" i="22"/>
  <c r="C93" i="22" s="1"/>
  <c r="D94" i="22"/>
  <c r="C94" i="22" s="1"/>
  <c r="D95" i="22"/>
  <c r="C95" i="22" s="1"/>
  <c r="D96" i="22"/>
  <c r="C96" i="22" s="1"/>
  <c r="D97" i="22"/>
  <c r="C97" i="22" s="1"/>
  <c r="N94" i="22"/>
  <c r="N93" i="22"/>
  <c r="N92" i="22"/>
  <c r="N95" i="22"/>
  <c r="N96" i="22"/>
  <c r="N97" i="22"/>
  <c r="N89" i="22"/>
  <c r="N90" i="22"/>
  <c r="N91" i="22"/>
  <c r="D5" i="22"/>
  <c r="D6" i="22" s="1"/>
  <c r="T5" i="22"/>
  <c r="T4" i="22"/>
  <c r="C4" i="22"/>
  <c r="D5" i="19" l="1"/>
  <c r="C5" i="22"/>
  <c r="T6" i="22"/>
  <c r="D7" i="22"/>
  <c r="C6" i="22"/>
  <c r="C5" i="19" l="1"/>
  <c r="D6" i="19"/>
  <c r="D8" i="22"/>
  <c r="C7" i="22"/>
  <c r="C6" i="19" l="1"/>
  <c r="D7" i="19"/>
  <c r="D9" i="22"/>
  <c r="C8" i="22"/>
  <c r="C7" i="19" l="1"/>
  <c r="D8" i="19"/>
  <c r="D10" i="22"/>
  <c r="C9" i="22"/>
  <c r="D9" i="19" l="1"/>
  <c r="C8" i="19"/>
  <c r="D11" i="22"/>
  <c r="C10" i="22"/>
  <c r="D10" i="19" l="1"/>
  <c r="C9" i="19"/>
  <c r="D12" i="22"/>
  <c r="C11" i="22"/>
  <c r="C10" i="19" l="1"/>
  <c r="D11" i="19"/>
  <c r="D13" i="22"/>
  <c r="C12" i="22"/>
  <c r="D12" i="19" l="1"/>
  <c r="C11" i="19"/>
  <c r="D14" i="22"/>
  <c r="C13" i="22"/>
  <c r="D13" i="19" l="1"/>
  <c r="C12" i="19"/>
  <c r="D15" i="22"/>
  <c r="C14" i="22"/>
  <c r="D14" i="19" l="1"/>
  <c r="C13" i="19"/>
  <c r="D16" i="22"/>
  <c r="C15" i="22"/>
  <c r="C14" i="19" l="1"/>
  <c r="D15" i="19"/>
  <c r="D17" i="22"/>
  <c r="C16" i="22"/>
  <c r="D16" i="19" l="1"/>
  <c r="C15" i="19"/>
  <c r="D18" i="22"/>
  <c r="C17" i="22"/>
  <c r="D17" i="19" l="1"/>
  <c r="C16" i="19"/>
  <c r="D19" i="22"/>
  <c r="C18" i="22"/>
  <c r="D18" i="19" l="1"/>
  <c r="C17" i="19"/>
  <c r="D20" i="22"/>
  <c r="C19" i="22"/>
  <c r="D19" i="19" l="1"/>
  <c r="C18" i="19"/>
  <c r="D21" i="22"/>
  <c r="C20" i="22"/>
  <c r="D20" i="19" l="1"/>
  <c r="C19" i="19"/>
  <c r="D22" i="22"/>
  <c r="C21" i="22"/>
  <c r="D21" i="19" l="1"/>
  <c r="C20" i="19"/>
  <c r="D23" i="22"/>
  <c r="C22" i="22"/>
  <c r="D22" i="19" l="1"/>
  <c r="C21" i="19"/>
  <c r="D24" i="22"/>
  <c r="C23" i="22"/>
  <c r="D23" i="19" l="1"/>
  <c r="C22" i="19"/>
  <c r="D25" i="22"/>
  <c r="C24" i="22"/>
  <c r="D24" i="19" l="1"/>
  <c r="C23" i="19"/>
  <c r="D26" i="22"/>
  <c r="C25" i="22"/>
  <c r="D25" i="19" l="1"/>
  <c r="C24" i="19"/>
  <c r="D27" i="22"/>
  <c r="C26" i="22"/>
  <c r="D26" i="19" l="1"/>
  <c r="C25" i="19"/>
  <c r="D28" i="22"/>
  <c r="C27" i="22"/>
  <c r="D27" i="19" l="1"/>
  <c r="C26" i="19"/>
  <c r="D29" i="22"/>
  <c r="C28" i="22"/>
  <c r="D28" i="19" l="1"/>
  <c r="C27" i="19"/>
  <c r="D30" i="22"/>
  <c r="C29" i="22"/>
  <c r="C28" i="19" l="1"/>
  <c r="D29" i="19"/>
  <c r="D31" i="22"/>
  <c r="C30" i="22"/>
  <c r="D30" i="19" l="1"/>
  <c r="C29" i="19"/>
  <c r="D32" i="22"/>
  <c r="C31" i="22"/>
  <c r="D31" i="19" l="1"/>
  <c r="C30" i="19"/>
  <c r="D33" i="22"/>
  <c r="C32" i="22"/>
  <c r="C31" i="19" l="1"/>
  <c r="D32" i="19"/>
  <c r="D34" i="22"/>
  <c r="C33" i="22"/>
  <c r="C32" i="19" l="1"/>
  <c r="D33" i="19"/>
  <c r="D35" i="22"/>
  <c r="C34" i="22"/>
  <c r="D34" i="19" l="1"/>
  <c r="C33" i="19"/>
  <c r="D36" i="22"/>
  <c r="C35" i="22"/>
  <c r="D35" i="19" l="1"/>
  <c r="C34" i="19"/>
  <c r="D37" i="22"/>
  <c r="C36" i="22"/>
  <c r="C35" i="19" l="1"/>
  <c r="D36" i="19"/>
  <c r="D38" i="22"/>
  <c r="C37" i="22"/>
  <c r="D37" i="19" l="1"/>
  <c r="C36" i="19"/>
  <c r="D39" i="22"/>
  <c r="C38" i="22"/>
  <c r="D38" i="19" l="1"/>
  <c r="C37" i="19"/>
  <c r="D40" i="22"/>
  <c r="C39" i="22"/>
  <c r="D39" i="19" l="1"/>
  <c r="C38" i="19"/>
  <c r="D41" i="22"/>
  <c r="C40" i="22"/>
  <c r="D40" i="19" l="1"/>
  <c r="C39" i="19"/>
  <c r="D42" i="22"/>
  <c r="C41" i="22"/>
  <c r="D41" i="19" l="1"/>
  <c r="C40" i="19"/>
  <c r="D43" i="22"/>
  <c r="C42" i="22"/>
  <c r="C41" i="19" l="1"/>
  <c r="D42" i="19"/>
  <c r="D44" i="22"/>
  <c r="C43" i="22"/>
  <c r="D43" i="19" l="1"/>
  <c r="C42" i="19"/>
  <c r="D45" i="22"/>
  <c r="C44" i="22"/>
  <c r="D44" i="19" l="1"/>
  <c r="C43" i="19"/>
  <c r="D46" i="22"/>
  <c r="C45" i="22"/>
  <c r="C44" i="19" l="1"/>
  <c r="D45" i="19"/>
  <c r="D47" i="22"/>
  <c r="C46" i="22"/>
  <c r="D46" i="19" l="1"/>
  <c r="C45" i="19"/>
  <c r="D48" i="22"/>
  <c r="C47" i="22"/>
  <c r="D47" i="19" l="1"/>
  <c r="C46" i="19"/>
  <c r="D49" i="22"/>
  <c r="C48" i="22"/>
  <c r="D48" i="19" l="1"/>
  <c r="C47" i="19"/>
  <c r="D50" i="22"/>
  <c r="C49" i="22"/>
  <c r="C48" i="19" l="1"/>
  <c r="D49" i="19"/>
  <c r="D51" i="22"/>
  <c r="C50" i="22"/>
  <c r="D50" i="19" l="1"/>
  <c r="C49" i="19"/>
  <c r="D52" i="22"/>
  <c r="C51" i="22"/>
  <c r="C50" i="19" l="1"/>
  <c r="D51" i="19"/>
  <c r="D53" i="22"/>
  <c r="C52" i="22"/>
  <c r="C51" i="19" l="1"/>
  <c r="D52" i="19"/>
  <c r="D54" i="22"/>
  <c r="C53" i="22"/>
  <c r="D53" i="19" l="1"/>
  <c r="C52" i="19"/>
  <c r="D55" i="22"/>
  <c r="C54" i="22"/>
  <c r="D54" i="19" l="1"/>
  <c r="C53" i="19"/>
  <c r="D56" i="22"/>
  <c r="C55" i="22"/>
  <c r="D55" i="19" l="1"/>
  <c r="C54" i="19"/>
  <c r="D57" i="22"/>
  <c r="C56" i="22"/>
  <c r="D56" i="19" l="1"/>
  <c r="C55" i="19"/>
  <c r="D58" i="22"/>
  <c r="C57" i="22"/>
  <c r="D57" i="19" l="1"/>
  <c r="C56" i="19"/>
  <c r="D59" i="22"/>
  <c r="C58" i="22"/>
  <c r="D58" i="19" l="1"/>
  <c r="C57" i="19"/>
  <c r="D60" i="22"/>
  <c r="C59" i="22"/>
  <c r="D59" i="19" l="1"/>
  <c r="C58" i="19"/>
  <c r="D61" i="22"/>
  <c r="C60" i="22"/>
  <c r="D60" i="19" l="1"/>
  <c r="C59" i="19"/>
  <c r="D62" i="22"/>
  <c r="C61" i="22"/>
  <c r="C60" i="19" l="1"/>
  <c r="D61" i="19"/>
  <c r="D63" i="22"/>
  <c r="C62" i="22"/>
  <c r="D62" i="19" l="1"/>
  <c r="C61" i="19"/>
  <c r="D64" i="22"/>
  <c r="C63" i="22"/>
  <c r="D63" i="19" l="1"/>
  <c r="C62" i="19"/>
  <c r="D65" i="22"/>
  <c r="C64" i="22"/>
  <c r="D64" i="19" l="1"/>
  <c r="C63" i="19"/>
  <c r="D66" i="22"/>
  <c r="C65" i="22"/>
  <c r="D65" i="19" l="1"/>
  <c r="C64" i="19"/>
  <c r="D67" i="22"/>
  <c r="C66" i="22"/>
  <c r="D66" i="19" l="1"/>
  <c r="C65" i="19"/>
  <c r="D68" i="22"/>
  <c r="C67" i="22"/>
  <c r="C66" i="19" l="1"/>
  <c r="D67" i="19"/>
  <c r="D69" i="22"/>
  <c r="C68" i="22"/>
  <c r="D68" i="19" l="1"/>
  <c r="C67" i="19"/>
  <c r="D70" i="22"/>
  <c r="C69" i="22"/>
  <c r="D69" i="19" l="1"/>
  <c r="C68" i="19"/>
  <c r="D71" i="22"/>
  <c r="C70" i="22"/>
  <c r="D70" i="19" l="1"/>
  <c r="C69" i="19"/>
  <c r="D72" i="22"/>
  <c r="C71" i="22"/>
  <c r="D71" i="19" l="1"/>
  <c r="C70" i="19"/>
  <c r="D73" i="22"/>
  <c r="C72" i="22"/>
  <c r="D72" i="19" l="1"/>
  <c r="C71" i="19"/>
  <c r="D74" i="22"/>
  <c r="C73" i="22"/>
  <c r="D73" i="19" l="1"/>
  <c r="C72" i="19"/>
  <c r="D75" i="22"/>
  <c r="C74" i="22"/>
  <c r="D74" i="19" l="1"/>
  <c r="C73" i="19"/>
  <c r="D76" i="22"/>
  <c r="C75" i="22"/>
  <c r="C74" i="19" l="1"/>
  <c r="D75" i="19"/>
  <c r="D77" i="22"/>
  <c r="C76" i="22"/>
  <c r="C75" i="19" l="1"/>
  <c r="D76" i="19"/>
  <c r="D78" i="22"/>
  <c r="C77" i="22"/>
  <c r="D77" i="19" l="1"/>
  <c r="C76" i="19"/>
  <c r="D79" i="22"/>
  <c r="C78" i="22"/>
  <c r="D78" i="19" l="1"/>
  <c r="C77" i="19"/>
  <c r="D80" i="22"/>
  <c r="C79" i="22"/>
  <c r="D79" i="19" l="1"/>
  <c r="C78" i="19"/>
  <c r="D81" i="22"/>
  <c r="C80" i="22"/>
  <c r="D80" i="19" l="1"/>
  <c r="C79" i="19"/>
  <c r="D82" i="22"/>
  <c r="C81" i="22"/>
  <c r="D81" i="19" l="1"/>
  <c r="C80" i="19"/>
  <c r="D83" i="22"/>
  <c r="C82" i="22"/>
  <c r="D82" i="19" l="1"/>
  <c r="C81" i="19"/>
  <c r="D84" i="22"/>
  <c r="C83" i="22"/>
  <c r="C82" i="19" l="1"/>
  <c r="D83" i="19"/>
  <c r="D85" i="22"/>
  <c r="C84" i="22"/>
  <c r="D84" i="19" l="1"/>
  <c r="C83" i="19"/>
  <c r="D86" i="22"/>
  <c r="C85" i="22"/>
  <c r="D85" i="19" l="1"/>
  <c r="C84" i="19"/>
  <c r="D87" i="22"/>
  <c r="C86" i="22"/>
  <c r="D86" i="19" l="1"/>
  <c r="C85" i="19"/>
  <c r="D88" i="22"/>
  <c r="C87" i="22"/>
  <c r="D87" i="19" l="1"/>
  <c r="C86" i="19"/>
  <c r="D89" i="22"/>
  <c r="C88" i="22"/>
  <c r="D88" i="19" l="1"/>
  <c r="C87" i="19"/>
  <c r="D90" i="22"/>
  <c r="C89" i="22"/>
  <c r="D89" i="19" l="1"/>
  <c r="C88" i="19"/>
  <c r="D91" i="22"/>
  <c r="C90" i="22"/>
  <c r="D90" i="19" l="1"/>
  <c r="C89" i="19"/>
  <c r="C91" i="22"/>
  <c r="D91" i="19" l="1"/>
  <c r="C90" i="19"/>
  <c r="N88" i="22"/>
  <c r="N83" i="22"/>
  <c r="N66" i="22"/>
  <c r="N63" i="22"/>
  <c r="N70" i="22"/>
  <c r="N69" i="22"/>
  <c r="N68" i="22"/>
  <c r="N67" i="22"/>
  <c r="N72" i="22"/>
  <c r="N65" i="22"/>
  <c r="N64" i="22"/>
  <c r="N57" i="22"/>
  <c r="N58" i="22"/>
  <c r="N59" i="22"/>
  <c r="N60" i="22"/>
  <c r="N61" i="22"/>
  <c r="N62" i="22"/>
  <c r="N71" i="22"/>
  <c r="N73" i="22"/>
  <c r="N74" i="22"/>
  <c r="N75" i="22"/>
  <c r="N76" i="22"/>
  <c r="N77" i="22"/>
  <c r="N78" i="22"/>
  <c r="N79" i="22"/>
  <c r="N80" i="22"/>
  <c r="N81" i="22"/>
  <c r="N82" i="22"/>
  <c r="N84" i="22"/>
  <c r="N85" i="22"/>
  <c r="N86" i="22"/>
  <c r="N87" i="22"/>
  <c r="C4" i="21"/>
  <c r="C5" i="21" s="1"/>
  <c r="C6" i="21" s="1"/>
  <c r="C7" i="21" s="1"/>
  <c r="C8" i="21" s="1"/>
  <c r="C9" i="21" s="1"/>
  <c r="C10" i="21" s="1"/>
  <c r="C11" i="21" s="1"/>
  <c r="C12" i="21" s="1"/>
  <c r="C13" i="21" s="1"/>
  <c r="C14" i="21" s="1"/>
  <c r="C15" i="21" s="1"/>
  <c r="C16" i="21" s="1"/>
  <c r="C17" i="21" s="1"/>
  <c r="C18" i="21" s="1"/>
  <c r="C19" i="21" s="1"/>
  <c r="C20" i="21" s="1"/>
  <c r="C21" i="21" s="1"/>
  <c r="C22" i="21" s="1"/>
  <c r="C23" i="21" s="1"/>
  <c r="C24" i="21" s="1"/>
  <c r="C25" i="21" s="1"/>
  <c r="C26" i="21" s="1"/>
  <c r="C27" i="21" s="1"/>
  <c r="C28" i="21" s="1"/>
  <c r="C29" i="21" s="1"/>
  <c r="C30" i="21" s="1"/>
  <c r="C31" i="21" s="1"/>
  <c r="C32" i="21" s="1"/>
  <c r="C33" i="21" s="1"/>
  <c r="C34" i="21" s="1"/>
  <c r="C35" i="21" s="1"/>
  <c r="C36" i="21" s="1"/>
  <c r="C37" i="21" s="1"/>
  <c r="C38" i="21" s="1"/>
  <c r="C39" i="21" s="1"/>
  <c r="C40" i="21" s="1"/>
  <c r="C41" i="21" s="1"/>
  <c r="C42" i="21" s="1"/>
  <c r="C43" i="21" s="1"/>
  <c r="C44" i="21" s="1"/>
  <c r="C45" i="21" s="1"/>
  <c r="C46" i="21" s="1"/>
  <c r="C47" i="21" s="1"/>
  <c r="C48" i="21" s="1"/>
  <c r="C49" i="21" s="1"/>
  <c r="C50" i="21" s="1"/>
  <c r="C51" i="21" s="1"/>
  <c r="C52" i="21" s="1"/>
  <c r="C53" i="21" s="1"/>
  <c r="C54" i="21" s="1"/>
  <c r="C55" i="21" s="1"/>
  <c r="C56" i="21" s="1"/>
  <c r="C57" i="21" s="1"/>
  <c r="C58" i="21" s="1"/>
  <c r="C59" i="21" s="1"/>
  <c r="C60" i="21" s="1"/>
  <c r="C61" i="21" s="1"/>
  <c r="C62" i="21" s="1"/>
  <c r="C63" i="21" s="1"/>
  <c r="C64" i="21" s="1"/>
  <c r="C65" i="21" s="1"/>
  <c r="C66" i="21" s="1"/>
  <c r="C67" i="21" s="1"/>
  <c r="C68" i="21" s="1"/>
  <c r="C69" i="21" s="1"/>
  <c r="C70" i="21" s="1"/>
  <c r="C71" i="21" s="1"/>
  <c r="C72" i="21" s="1"/>
  <c r="C73" i="21" s="1"/>
  <c r="C74" i="21" s="1"/>
  <c r="C75" i="21" s="1"/>
  <c r="C76" i="21" s="1"/>
  <c r="C77" i="21" s="1"/>
  <c r="C78" i="21" s="1"/>
  <c r="C79" i="21" s="1"/>
  <c r="C80" i="21" s="1"/>
  <c r="C81" i="21" s="1"/>
  <c r="C82" i="21" s="1"/>
  <c r="C83" i="21" s="1"/>
  <c r="C84" i="21" s="1"/>
  <c r="C85" i="21" s="1"/>
  <c r="C86" i="21" s="1"/>
  <c r="C87" i="21" s="1"/>
  <c r="C88" i="21" s="1"/>
  <c r="C89" i="21" s="1"/>
  <c r="C90" i="21" s="1"/>
  <c r="C91" i="21" s="1"/>
  <c r="C92" i="21" s="1"/>
  <c r="C93" i="21" s="1"/>
  <c r="C94" i="21" s="1"/>
  <c r="C95" i="21" s="1"/>
  <c r="C96" i="21" s="1"/>
  <c r="C97" i="21" s="1"/>
  <c r="C98" i="21" s="1"/>
  <c r="C99" i="21" s="1"/>
  <c r="C100" i="21" s="1"/>
  <c r="C101" i="21" s="1"/>
  <c r="C102" i="21" s="1"/>
  <c r="C103" i="21" s="1"/>
  <c r="C104" i="21" s="1"/>
  <c r="C105" i="21" s="1"/>
  <c r="C106" i="21" s="1"/>
  <c r="C107" i="21" s="1"/>
  <c r="C108" i="21" s="1"/>
  <c r="C109" i="21" s="1"/>
  <c r="C110" i="21" s="1"/>
  <c r="C111" i="21" s="1"/>
  <c r="C112" i="21" s="1"/>
  <c r="C113" i="21" s="1"/>
  <c r="C114" i="21" s="1"/>
  <c r="C115" i="21" s="1"/>
  <c r="C116" i="21" s="1"/>
  <c r="C117" i="21" s="1"/>
  <c r="N117" i="21"/>
  <c r="N115" i="21"/>
  <c r="N116" i="21"/>
  <c r="N98" i="21"/>
  <c r="N83" i="21"/>
  <c r="N76" i="21"/>
  <c r="N77" i="21"/>
  <c r="N78" i="21"/>
  <c r="N79" i="21"/>
  <c r="N80" i="21"/>
  <c r="N81" i="21"/>
  <c r="N82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9" i="21"/>
  <c r="N100" i="21"/>
  <c r="N101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61" i="23"/>
  <c r="N62" i="23"/>
  <c r="N63" i="23"/>
  <c r="N47" i="23"/>
  <c r="N49" i="23"/>
  <c r="N50" i="23"/>
  <c r="N51" i="23"/>
  <c r="N42" i="23"/>
  <c r="N59" i="23"/>
  <c r="N60" i="23"/>
  <c r="N44" i="23"/>
  <c r="N45" i="23"/>
  <c r="N46" i="23"/>
  <c r="N48" i="23"/>
  <c r="N52" i="23"/>
  <c r="N53" i="23"/>
  <c r="N54" i="23"/>
  <c r="N55" i="23"/>
  <c r="N56" i="23"/>
  <c r="N57" i="23"/>
  <c r="N58" i="23"/>
  <c r="D92" i="19" l="1"/>
  <c r="C91" i="19"/>
  <c r="N30" i="25"/>
  <c r="N12" i="27"/>
  <c r="N11" i="27"/>
  <c r="N10" i="27"/>
  <c r="N29" i="25"/>
  <c r="N28" i="25"/>
  <c r="N27" i="25"/>
  <c r="N26" i="25"/>
  <c r="N25" i="25"/>
  <c r="N24" i="25"/>
  <c r="N23" i="25"/>
  <c r="N22" i="25"/>
  <c r="N21" i="25"/>
  <c r="N20" i="25"/>
  <c r="N19" i="25"/>
  <c r="N18" i="25"/>
  <c r="C92" i="19" l="1"/>
  <c r="D93" i="19"/>
  <c r="N9" i="27"/>
  <c r="N8" i="27"/>
  <c r="N7" i="27"/>
  <c r="C93" i="19" l="1"/>
  <c r="D94" i="19"/>
  <c r="N43" i="23"/>
  <c r="N56" i="22"/>
  <c r="N55" i="22"/>
  <c r="N54" i="22"/>
  <c r="N53" i="22"/>
  <c r="N52" i="22"/>
  <c r="N51" i="22"/>
  <c r="N50" i="22"/>
  <c r="N49" i="22"/>
  <c r="N48" i="22"/>
  <c r="N47" i="22"/>
  <c r="N46" i="22"/>
  <c r="N45" i="22"/>
  <c r="N44" i="22"/>
  <c r="N43" i="22"/>
  <c r="N42" i="22"/>
  <c r="N41" i="22"/>
  <c r="N41" i="23"/>
  <c r="N40" i="23"/>
  <c r="N39" i="23"/>
  <c r="N38" i="23"/>
  <c r="N37" i="23"/>
  <c r="N36" i="23"/>
  <c r="N35" i="23"/>
  <c r="N34" i="23"/>
  <c r="N33" i="23"/>
  <c r="N32" i="23"/>
  <c r="N31" i="23"/>
  <c r="N30" i="23"/>
  <c r="N75" i="21"/>
  <c r="N74" i="21"/>
  <c r="N73" i="21"/>
  <c r="N72" i="21"/>
  <c r="N71" i="21"/>
  <c r="N70" i="21"/>
  <c r="N69" i="21"/>
  <c r="N68" i="21"/>
  <c r="N67" i="21"/>
  <c r="N66" i="21"/>
  <c r="N65" i="21"/>
  <c r="N64" i="21"/>
  <c r="N63" i="21"/>
  <c r="N62" i="21"/>
  <c r="N61" i="21"/>
  <c r="N60" i="21"/>
  <c r="N59" i="21"/>
  <c r="N58" i="21"/>
  <c r="N57" i="21"/>
  <c r="N56" i="21"/>
  <c r="N55" i="21"/>
  <c r="N54" i="21"/>
  <c r="N53" i="21"/>
  <c r="N52" i="21"/>
  <c r="N51" i="21"/>
  <c r="N50" i="21"/>
  <c r="N49" i="21"/>
  <c r="N48" i="21"/>
  <c r="N47" i="21"/>
  <c r="N46" i="21"/>
  <c r="N39" i="20"/>
  <c r="N38" i="20"/>
  <c r="N37" i="20"/>
  <c r="N36" i="20"/>
  <c r="N35" i="20"/>
  <c r="N34" i="20"/>
  <c r="N33" i="20"/>
  <c r="N32" i="20"/>
  <c r="N29" i="20"/>
  <c r="N30" i="20"/>
  <c r="N31" i="20"/>
  <c r="C1" i="17"/>
  <c r="B1" i="17"/>
  <c r="C94" i="19" l="1"/>
  <c r="D95" i="19"/>
  <c r="N430" i="18"/>
  <c r="C4" i="18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100" i="18" s="1"/>
  <c r="C101" i="18" s="1"/>
  <c r="C102" i="18" s="1"/>
  <c r="C103" i="18" s="1"/>
  <c r="C104" i="18" s="1"/>
  <c r="C105" i="18" s="1"/>
  <c r="C106" i="18" s="1"/>
  <c r="C107" i="18" s="1"/>
  <c r="C108" i="18" s="1"/>
  <c r="C109" i="18" s="1"/>
  <c r="C110" i="18" s="1"/>
  <c r="C111" i="18" s="1"/>
  <c r="C112" i="18" s="1"/>
  <c r="C113" i="18" s="1"/>
  <c r="C114" i="18" s="1"/>
  <c r="C115" i="18" s="1"/>
  <c r="C116" i="18" s="1"/>
  <c r="C117" i="18" s="1"/>
  <c r="C118" i="18" s="1"/>
  <c r="C119" i="18" s="1"/>
  <c r="C120" i="18" s="1"/>
  <c r="C121" i="18" s="1"/>
  <c r="C122" i="18" s="1"/>
  <c r="C123" i="18" s="1"/>
  <c r="C124" i="18" s="1"/>
  <c r="C125" i="18" s="1"/>
  <c r="C126" i="18" s="1"/>
  <c r="C127" i="18" s="1"/>
  <c r="C128" i="18" s="1"/>
  <c r="C129" i="18" s="1"/>
  <c r="C130" i="18" s="1"/>
  <c r="C131" i="18" s="1"/>
  <c r="C132" i="18" s="1"/>
  <c r="C133" i="18" s="1"/>
  <c r="C134" i="18" s="1"/>
  <c r="C135" i="18" s="1"/>
  <c r="C136" i="18" s="1"/>
  <c r="C137" i="18" s="1"/>
  <c r="C138" i="18" s="1"/>
  <c r="C139" i="18" s="1"/>
  <c r="C140" i="18" s="1"/>
  <c r="C141" i="18" s="1"/>
  <c r="C142" i="18" s="1"/>
  <c r="C143" i="18" s="1"/>
  <c r="C144" i="18" s="1"/>
  <c r="C145" i="18" s="1"/>
  <c r="C146" i="18" s="1"/>
  <c r="C147" i="18" s="1"/>
  <c r="C148" i="18" s="1"/>
  <c r="C149" i="18" s="1"/>
  <c r="C150" i="18" s="1"/>
  <c r="C151" i="18" s="1"/>
  <c r="C152" i="18" s="1"/>
  <c r="C153" i="18" s="1"/>
  <c r="C154" i="18" s="1"/>
  <c r="C155" i="18" s="1"/>
  <c r="C156" i="18" s="1"/>
  <c r="C157" i="18" s="1"/>
  <c r="C158" i="18" s="1"/>
  <c r="C159" i="18" s="1"/>
  <c r="C160" i="18" s="1"/>
  <c r="C161" i="18" s="1"/>
  <c r="C162" i="18" s="1"/>
  <c r="C163" i="18" s="1"/>
  <c r="C164" i="18" s="1"/>
  <c r="C165" i="18" s="1"/>
  <c r="C166" i="18" s="1"/>
  <c r="C167" i="18" s="1"/>
  <c r="C168" i="18" s="1"/>
  <c r="C169" i="18" s="1"/>
  <c r="C170" i="18" s="1"/>
  <c r="C171" i="18" s="1"/>
  <c r="C172" i="18" s="1"/>
  <c r="C173" i="18" s="1"/>
  <c r="C174" i="18" s="1"/>
  <c r="C175" i="18" s="1"/>
  <c r="C176" i="18" s="1"/>
  <c r="C177" i="18" s="1"/>
  <c r="C178" i="18" s="1"/>
  <c r="C179" i="18" s="1"/>
  <c r="C180" i="18" s="1"/>
  <c r="C181" i="18" s="1"/>
  <c r="C182" i="18" s="1"/>
  <c r="C183" i="18" s="1"/>
  <c r="C184" i="18" s="1"/>
  <c r="C185" i="18" s="1"/>
  <c r="C186" i="18" s="1"/>
  <c r="C187" i="18" s="1"/>
  <c r="C188" i="18" s="1"/>
  <c r="C189" i="18" s="1"/>
  <c r="C190" i="18" s="1"/>
  <c r="C191" i="18" s="1"/>
  <c r="C192" i="18" s="1"/>
  <c r="C193" i="18" s="1"/>
  <c r="C194" i="18" s="1"/>
  <c r="C195" i="18" s="1"/>
  <c r="C196" i="18" s="1"/>
  <c r="C197" i="18" s="1"/>
  <c r="C198" i="18" s="1"/>
  <c r="C199" i="18" s="1"/>
  <c r="C200" i="18" s="1"/>
  <c r="C201" i="18" s="1"/>
  <c r="C202" i="18" s="1"/>
  <c r="C203" i="18" s="1"/>
  <c r="C204" i="18" s="1"/>
  <c r="C205" i="18" s="1"/>
  <c r="C206" i="18" s="1"/>
  <c r="C207" i="18" s="1"/>
  <c r="C208" i="18" s="1"/>
  <c r="C209" i="18" s="1"/>
  <c r="C210" i="18" s="1"/>
  <c r="C211" i="18" s="1"/>
  <c r="C212" i="18" s="1"/>
  <c r="C213" i="18" s="1"/>
  <c r="C214" i="18" s="1"/>
  <c r="C215" i="18" s="1"/>
  <c r="C216" i="18" s="1"/>
  <c r="C217" i="18" s="1"/>
  <c r="C218" i="18" s="1"/>
  <c r="C219" i="18" s="1"/>
  <c r="C220" i="18" s="1"/>
  <c r="C221" i="18" s="1"/>
  <c r="C222" i="18" s="1"/>
  <c r="C223" i="18" s="1"/>
  <c r="C224" i="18" s="1"/>
  <c r="C225" i="18" s="1"/>
  <c r="C226" i="18" s="1"/>
  <c r="C227" i="18" s="1"/>
  <c r="C228" i="18" s="1"/>
  <c r="C229" i="18" s="1"/>
  <c r="C230" i="18" s="1"/>
  <c r="C231" i="18" s="1"/>
  <c r="C232" i="18" s="1"/>
  <c r="C233" i="18" s="1"/>
  <c r="C234" i="18" s="1"/>
  <c r="C235" i="18" s="1"/>
  <c r="C236" i="18" s="1"/>
  <c r="C237" i="18" s="1"/>
  <c r="C238" i="18" s="1"/>
  <c r="C239" i="18" s="1"/>
  <c r="C240" i="18" s="1"/>
  <c r="C241" i="18" s="1"/>
  <c r="C242" i="18" s="1"/>
  <c r="C243" i="18" s="1"/>
  <c r="C244" i="18" s="1"/>
  <c r="C245" i="18" s="1"/>
  <c r="C246" i="18" s="1"/>
  <c r="C247" i="18" s="1"/>
  <c r="C248" i="18" s="1"/>
  <c r="C249" i="18" s="1"/>
  <c r="C250" i="18" s="1"/>
  <c r="C251" i="18" s="1"/>
  <c r="C252" i="18" s="1"/>
  <c r="C253" i="18" s="1"/>
  <c r="C254" i="18" s="1"/>
  <c r="C255" i="18" s="1"/>
  <c r="C256" i="18" s="1"/>
  <c r="C257" i="18" s="1"/>
  <c r="C258" i="18" s="1"/>
  <c r="C259" i="18" s="1"/>
  <c r="C260" i="18" s="1"/>
  <c r="C261" i="18" s="1"/>
  <c r="C262" i="18" s="1"/>
  <c r="C263" i="18" s="1"/>
  <c r="C264" i="18" s="1"/>
  <c r="C265" i="18" s="1"/>
  <c r="C266" i="18" s="1"/>
  <c r="C267" i="18" s="1"/>
  <c r="C268" i="18" s="1"/>
  <c r="C269" i="18" s="1"/>
  <c r="C270" i="18" s="1"/>
  <c r="C271" i="18" s="1"/>
  <c r="C272" i="18" s="1"/>
  <c r="C273" i="18" s="1"/>
  <c r="C274" i="18" s="1"/>
  <c r="C275" i="18" s="1"/>
  <c r="C276" i="18" s="1"/>
  <c r="C277" i="18" s="1"/>
  <c r="C278" i="18" s="1"/>
  <c r="C279" i="18" s="1"/>
  <c r="C280" i="18" s="1"/>
  <c r="C281" i="18" s="1"/>
  <c r="C282" i="18" s="1"/>
  <c r="C283" i="18" s="1"/>
  <c r="C284" i="18" s="1"/>
  <c r="C285" i="18" s="1"/>
  <c r="C286" i="18" s="1"/>
  <c r="C287" i="18" s="1"/>
  <c r="C288" i="18" s="1"/>
  <c r="C289" i="18" s="1"/>
  <c r="C290" i="18" s="1"/>
  <c r="C291" i="18" s="1"/>
  <c r="C292" i="18" s="1"/>
  <c r="C293" i="18" s="1"/>
  <c r="C294" i="18" s="1"/>
  <c r="C295" i="18" s="1"/>
  <c r="C296" i="18" s="1"/>
  <c r="C297" i="18" s="1"/>
  <c r="C298" i="18" s="1"/>
  <c r="C299" i="18" s="1"/>
  <c r="C300" i="18" s="1"/>
  <c r="C301" i="18" s="1"/>
  <c r="C302" i="18" s="1"/>
  <c r="C303" i="18" s="1"/>
  <c r="C304" i="18" s="1"/>
  <c r="C305" i="18" s="1"/>
  <c r="C306" i="18" s="1"/>
  <c r="C307" i="18" s="1"/>
  <c r="C308" i="18" s="1"/>
  <c r="C309" i="18" s="1"/>
  <c r="C310" i="18" s="1"/>
  <c r="C311" i="18" s="1"/>
  <c r="C312" i="18" s="1"/>
  <c r="C313" i="18" s="1"/>
  <c r="C314" i="18" s="1"/>
  <c r="C315" i="18" s="1"/>
  <c r="C316" i="18" s="1"/>
  <c r="C317" i="18" s="1"/>
  <c r="C318" i="18" s="1"/>
  <c r="C319" i="18" s="1"/>
  <c r="C320" i="18" s="1"/>
  <c r="C321" i="18" s="1"/>
  <c r="C322" i="18" s="1"/>
  <c r="C323" i="18" s="1"/>
  <c r="C324" i="18" s="1"/>
  <c r="C325" i="18" s="1"/>
  <c r="C326" i="18" s="1"/>
  <c r="C327" i="18" s="1"/>
  <c r="C328" i="18" s="1"/>
  <c r="C329" i="18" s="1"/>
  <c r="C330" i="18" s="1"/>
  <c r="C331" i="18" s="1"/>
  <c r="C332" i="18" s="1"/>
  <c r="C333" i="18" s="1"/>
  <c r="C334" i="18" s="1"/>
  <c r="C335" i="18" s="1"/>
  <c r="C336" i="18" s="1"/>
  <c r="C337" i="18" s="1"/>
  <c r="C338" i="18" s="1"/>
  <c r="C339" i="18" s="1"/>
  <c r="C340" i="18" s="1"/>
  <c r="C341" i="18" s="1"/>
  <c r="C342" i="18" s="1"/>
  <c r="C343" i="18" s="1"/>
  <c r="C344" i="18" s="1"/>
  <c r="C345" i="18" s="1"/>
  <c r="C346" i="18" s="1"/>
  <c r="C347" i="18" s="1"/>
  <c r="C348" i="18" s="1"/>
  <c r="C349" i="18" s="1"/>
  <c r="C350" i="18" s="1"/>
  <c r="C351" i="18" s="1"/>
  <c r="C352" i="18" s="1"/>
  <c r="C353" i="18" s="1"/>
  <c r="C354" i="18" s="1"/>
  <c r="C355" i="18" s="1"/>
  <c r="C356" i="18" s="1"/>
  <c r="C357" i="18" s="1"/>
  <c r="C358" i="18" s="1"/>
  <c r="C359" i="18" s="1"/>
  <c r="C360" i="18" s="1"/>
  <c r="C361" i="18" s="1"/>
  <c r="C362" i="18" s="1"/>
  <c r="C363" i="18" s="1"/>
  <c r="C364" i="18" s="1"/>
  <c r="C365" i="18" s="1"/>
  <c r="C366" i="18" s="1"/>
  <c r="C367" i="18" s="1"/>
  <c r="C368" i="18" s="1"/>
  <c r="C369" i="18" s="1"/>
  <c r="C370" i="18" s="1"/>
  <c r="C371" i="18" s="1"/>
  <c r="C372" i="18" s="1"/>
  <c r="C373" i="18" s="1"/>
  <c r="C374" i="18" s="1"/>
  <c r="C375" i="18" s="1"/>
  <c r="C376" i="18" s="1"/>
  <c r="C377" i="18" s="1"/>
  <c r="C378" i="18" s="1"/>
  <c r="C379" i="18" s="1"/>
  <c r="C380" i="18" s="1"/>
  <c r="C381" i="18" s="1"/>
  <c r="C382" i="18" s="1"/>
  <c r="C383" i="18" s="1"/>
  <c r="C384" i="18" s="1"/>
  <c r="C385" i="18" s="1"/>
  <c r="C386" i="18" s="1"/>
  <c r="C387" i="18" s="1"/>
  <c r="C388" i="18" s="1"/>
  <c r="C389" i="18" s="1"/>
  <c r="C390" i="18" s="1"/>
  <c r="C391" i="18" s="1"/>
  <c r="C392" i="18" s="1"/>
  <c r="C393" i="18" s="1"/>
  <c r="C394" i="18" s="1"/>
  <c r="C395" i="18" s="1"/>
  <c r="C396" i="18" s="1"/>
  <c r="C397" i="18" s="1"/>
  <c r="C398" i="18" s="1"/>
  <c r="C399" i="18" s="1"/>
  <c r="C400" i="18" s="1"/>
  <c r="C401" i="18" s="1"/>
  <c r="C402" i="18" s="1"/>
  <c r="C403" i="18" s="1"/>
  <c r="C404" i="18" s="1"/>
  <c r="C405" i="18" s="1"/>
  <c r="C406" i="18" s="1"/>
  <c r="C407" i="18" s="1"/>
  <c r="C408" i="18" s="1"/>
  <c r="C409" i="18" s="1"/>
  <c r="C410" i="18" s="1"/>
  <c r="C411" i="18" s="1"/>
  <c r="C412" i="18" s="1"/>
  <c r="C413" i="18" s="1"/>
  <c r="C414" i="18" s="1"/>
  <c r="C415" i="18" s="1"/>
  <c r="C416" i="18" s="1"/>
  <c r="C417" i="18" s="1"/>
  <c r="C418" i="18" s="1"/>
  <c r="C419" i="18" s="1"/>
  <c r="C420" i="18" s="1"/>
  <c r="C421" i="18" s="1"/>
  <c r="C422" i="18" s="1"/>
  <c r="C423" i="18" s="1"/>
  <c r="C424" i="18" s="1"/>
  <c r="C425" i="18" s="1"/>
  <c r="C426" i="18" s="1"/>
  <c r="C427" i="18" s="1"/>
  <c r="C428" i="18" s="1"/>
  <c r="C429" i="18" s="1"/>
  <c r="C430" i="18" s="1"/>
  <c r="N395" i="18"/>
  <c r="N427" i="18"/>
  <c r="N428" i="18"/>
  <c r="N429" i="18"/>
  <c r="N426" i="18"/>
  <c r="N414" i="18"/>
  <c r="N415" i="18"/>
  <c r="N416" i="18"/>
  <c r="N417" i="18"/>
  <c r="N418" i="18"/>
  <c r="N419" i="18"/>
  <c r="N420" i="18"/>
  <c r="N421" i="18"/>
  <c r="N422" i="18"/>
  <c r="N423" i="18"/>
  <c r="N424" i="18"/>
  <c r="N425" i="18"/>
  <c r="N413" i="18"/>
  <c r="N412" i="18"/>
  <c r="N401" i="18"/>
  <c r="N402" i="18"/>
  <c r="N403" i="18"/>
  <c r="N399" i="18"/>
  <c r="N400" i="18"/>
  <c r="N404" i="18"/>
  <c r="N405" i="18"/>
  <c r="N406" i="18"/>
  <c r="N407" i="18"/>
  <c r="N408" i="18"/>
  <c r="N409" i="18"/>
  <c r="N410" i="18"/>
  <c r="N411" i="18"/>
  <c r="N362" i="18"/>
  <c r="N363" i="18"/>
  <c r="N364" i="18"/>
  <c r="N365" i="18"/>
  <c r="N366" i="18"/>
  <c r="N367" i="18"/>
  <c r="N368" i="18"/>
  <c r="N369" i="18"/>
  <c r="N370" i="18"/>
  <c r="N371" i="18"/>
  <c r="N372" i="18"/>
  <c r="N373" i="18"/>
  <c r="N374" i="18"/>
  <c r="N375" i="18"/>
  <c r="N376" i="18"/>
  <c r="N377" i="18"/>
  <c r="N378" i="18"/>
  <c r="N379" i="18"/>
  <c r="N380" i="18"/>
  <c r="N381" i="18"/>
  <c r="N382" i="18"/>
  <c r="N383" i="18"/>
  <c r="N384" i="18"/>
  <c r="N385" i="18"/>
  <c r="N386" i="18"/>
  <c r="N387" i="18"/>
  <c r="N388" i="18"/>
  <c r="N389" i="18"/>
  <c r="N390" i="18"/>
  <c r="N391" i="18"/>
  <c r="N392" i="18"/>
  <c r="N393" i="18"/>
  <c r="N394" i="18"/>
  <c r="N396" i="18"/>
  <c r="N397" i="18"/>
  <c r="N398" i="18"/>
  <c r="N358" i="18"/>
  <c r="N357" i="18"/>
  <c r="N356" i="18"/>
  <c r="N355" i="18"/>
  <c r="N354" i="18"/>
  <c r="N353" i="18"/>
  <c r="N352" i="18"/>
  <c r="N351" i="18"/>
  <c r="N350" i="18"/>
  <c r="N349" i="18"/>
  <c r="N348" i="18"/>
  <c r="N347" i="18"/>
  <c r="N346" i="18"/>
  <c r="N345" i="18"/>
  <c r="N344" i="18"/>
  <c r="N343" i="18"/>
  <c r="N342" i="18"/>
  <c r="N341" i="18"/>
  <c r="N340" i="18"/>
  <c r="N339" i="18"/>
  <c r="N338" i="18"/>
  <c r="N337" i="18"/>
  <c r="N336" i="18"/>
  <c r="N335" i="18"/>
  <c r="N334" i="18"/>
  <c r="N333" i="18"/>
  <c r="N332" i="18"/>
  <c r="N331" i="18"/>
  <c r="N330" i="18"/>
  <c r="N329" i="18"/>
  <c r="N328" i="18"/>
  <c r="N327" i="18"/>
  <c r="N326" i="18"/>
  <c r="N325" i="18"/>
  <c r="N324" i="18"/>
  <c r="N323" i="18"/>
  <c r="N322" i="18"/>
  <c r="N321" i="18"/>
  <c r="N320" i="18"/>
  <c r="N319" i="18"/>
  <c r="N318" i="18"/>
  <c r="N317" i="18"/>
  <c r="N316" i="18"/>
  <c r="N315" i="18"/>
  <c r="N314" i="18"/>
  <c r="N313" i="18"/>
  <c r="N312" i="18"/>
  <c r="N311" i="18"/>
  <c r="N310" i="18"/>
  <c r="N309" i="18"/>
  <c r="N308" i="18"/>
  <c r="N307" i="18"/>
  <c r="N306" i="18"/>
  <c r="N305" i="18"/>
  <c r="N304" i="18"/>
  <c r="N303" i="18"/>
  <c r="N302" i="18"/>
  <c r="N301" i="18"/>
  <c r="N300" i="18"/>
  <c r="N299" i="18"/>
  <c r="N298" i="18"/>
  <c r="N297" i="18"/>
  <c r="N296" i="18"/>
  <c r="N295" i="18"/>
  <c r="N294" i="18"/>
  <c r="N293" i="18"/>
  <c r="N292" i="18"/>
  <c r="N291" i="18"/>
  <c r="N290" i="18"/>
  <c r="N289" i="18"/>
  <c r="N288" i="18"/>
  <c r="N287" i="18"/>
  <c r="N286" i="18"/>
  <c r="N285" i="18"/>
  <c r="N284" i="18"/>
  <c r="N283" i="18"/>
  <c r="N282" i="18"/>
  <c r="N281" i="18"/>
  <c r="N280" i="18"/>
  <c r="N279" i="18"/>
  <c r="N278" i="18"/>
  <c r="N277" i="18"/>
  <c r="N276" i="18"/>
  <c r="N275" i="18"/>
  <c r="N274" i="18"/>
  <c r="N273" i="18"/>
  <c r="N272" i="18"/>
  <c r="N271" i="18"/>
  <c r="N270" i="18"/>
  <c r="N269" i="18"/>
  <c r="N268" i="18"/>
  <c r="N267" i="18"/>
  <c r="N266" i="18"/>
  <c r="N265" i="18"/>
  <c r="N264" i="18"/>
  <c r="N263" i="18"/>
  <c r="N262" i="18"/>
  <c r="N261" i="18"/>
  <c r="N260" i="18"/>
  <c r="N259" i="18"/>
  <c r="N258" i="18"/>
  <c r="N257" i="18"/>
  <c r="N256" i="18"/>
  <c r="N255" i="18"/>
  <c r="N254" i="18"/>
  <c r="N253" i="18"/>
  <c r="N252" i="18"/>
  <c r="N251" i="18"/>
  <c r="N250" i="18"/>
  <c r="N249" i="18"/>
  <c r="N248" i="18"/>
  <c r="N247" i="18"/>
  <c r="N246" i="18"/>
  <c r="N245" i="18"/>
  <c r="N244" i="18"/>
  <c r="N243" i="18"/>
  <c r="N242" i="18"/>
  <c r="N241" i="18"/>
  <c r="N240" i="18"/>
  <c r="N239" i="18"/>
  <c r="N238" i="18"/>
  <c r="N237" i="18"/>
  <c r="N236" i="18"/>
  <c r="N235" i="18"/>
  <c r="N234" i="18"/>
  <c r="N233" i="18"/>
  <c r="N232" i="18"/>
  <c r="N231" i="18"/>
  <c r="N230" i="18"/>
  <c r="N229" i="18"/>
  <c r="N228" i="18"/>
  <c r="N227" i="18"/>
  <c r="N226" i="18"/>
  <c r="N225" i="18"/>
  <c r="N224" i="18"/>
  <c r="N223" i="18"/>
  <c r="N222" i="18"/>
  <c r="N221" i="18"/>
  <c r="N220" i="18"/>
  <c r="N219" i="18"/>
  <c r="N218" i="18"/>
  <c r="N217" i="18"/>
  <c r="N216" i="18"/>
  <c r="N215" i="18"/>
  <c r="N214" i="18"/>
  <c r="N213" i="18"/>
  <c r="N212" i="18"/>
  <c r="N211" i="18"/>
  <c r="N210" i="18"/>
  <c r="N209" i="18"/>
  <c r="N208" i="18"/>
  <c r="N11" i="26"/>
  <c r="N15" i="26"/>
  <c r="N14" i="26"/>
  <c r="N8" i="26"/>
  <c r="N7" i="26"/>
  <c r="N24" i="26"/>
  <c r="N5" i="27"/>
  <c r="N6" i="27"/>
  <c r="N4" i="27"/>
  <c r="N12" i="26"/>
  <c r="N13" i="26"/>
  <c r="N10" i="26"/>
  <c r="N4" i="26"/>
  <c r="N6" i="26"/>
  <c r="N18" i="26"/>
  <c r="N20" i="26"/>
  <c r="N22" i="26"/>
  <c r="N25" i="26"/>
  <c r="N17" i="26"/>
  <c r="N19" i="26"/>
  <c r="N21" i="26"/>
  <c r="N23" i="26"/>
  <c r="N16" i="26"/>
  <c r="N10" i="25"/>
  <c r="N6" i="25"/>
  <c r="N7" i="25"/>
  <c r="N8" i="25"/>
  <c r="N9" i="25"/>
  <c r="N11" i="25"/>
  <c r="N12" i="25"/>
  <c r="N13" i="25"/>
  <c r="N14" i="25"/>
  <c r="N15" i="25"/>
  <c r="N16" i="25"/>
  <c r="N17" i="25"/>
  <c r="N5" i="25"/>
  <c r="N4" i="25"/>
  <c r="N20" i="23"/>
  <c r="N22" i="23"/>
  <c r="N24" i="23"/>
  <c r="N26" i="23"/>
  <c r="N28" i="23"/>
  <c r="N18" i="23"/>
  <c r="N19" i="23"/>
  <c r="N21" i="23"/>
  <c r="N23" i="23"/>
  <c r="N25" i="23"/>
  <c r="N27" i="23"/>
  <c r="N29" i="23"/>
  <c r="N5" i="23"/>
  <c r="N6" i="23"/>
  <c r="N9" i="23"/>
  <c r="N10" i="23"/>
  <c r="N13" i="23"/>
  <c r="N14" i="23"/>
  <c r="N17" i="23"/>
  <c r="N4" i="23"/>
  <c r="N7" i="23"/>
  <c r="N8" i="23"/>
  <c r="N11" i="23"/>
  <c r="N12" i="23"/>
  <c r="N15" i="23"/>
  <c r="N16" i="23"/>
  <c r="N30" i="22"/>
  <c r="N34" i="22"/>
  <c r="N38" i="22"/>
  <c r="N28" i="22"/>
  <c r="N29" i="22"/>
  <c r="N31" i="22"/>
  <c r="N32" i="22"/>
  <c r="N33" i="22"/>
  <c r="N35" i="22"/>
  <c r="N36" i="22"/>
  <c r="N37" i="22"/>
  <c r="N39" i="22"/>
  <c r="N40" i="22"/>
  <c r="N10" i="22"/>
  <c r="N4" i="22"/>
  <c r="N5" i="22"/>
  <c r="N6" i="22"/>
  <c r="N7" i="22"/>
  <c r="N8" i="22"/>
  <c r="N9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1" i="21"/>
  <c r="N23" i="21"/>
  <c r="N25" i="21"/>
  <c r="N27" i="21"/>
  <c r="N29" i="21"/>
  <c r="N31" i="21"/>
  <c r="N33" i="21"/>
  <c r="N35" i="21"/>
  <c r="N37" i="21"/>
  <c r="N39" i="21"/>
  <c r="N41" i="21"/>
  <c r="N43" i="21"/>
  <c r="N45" i="21"/>
  <c r="N19" i="21"/>
  <c r="N20" i="21"/>
  <c r="N22" i="21"/>
  <c r="N24" i="21"/>
  <c r="N26" i="21"/>
  <c r="N28" i="21"/>
  <c r="N30" i="21"/>
  <c r="N32" i="21"/>
  <c r="N34" i="21"/>
  <c r="N36" i="21"/>
  <c r="N38" i="21"/>
  <c r="N40" i="21"/>
  <c r="N42" i="21"/>
  <c r="N44" i="21"/>
  <c r="N6" i="21"/>
  <c r="N8" i="21"/>
  <c r="N10" i="21"/>
  <c r="N12" i="21"/>
  <c r="N14" i="21"/>
  <c r="N16" i="21"/>
  <c r="N18" i="21"/>
  <c r="N4" i="21"/>
  <c r="N5" i="21"/>
  <c r="N7" i="21"/>
  <c r="N9" i="21"/>
  <c r="N11" i="21"/>
  <c r="N13" i="21"/>
  <c r="N15" i="21"/>
  <c r="N17" i="21"/>
  <c r="N22" i="20"/>
  <c r="N27" i="20"/>
  <c r="N21" i="20"/>
  <c r="N23" i="20"/>
  <c r="N24" i="20"/>
  <c r="N25" i="20"/>
  <c r="N26" i="20"/>
  <c r="N28" i="20"/>
  <c r="N6" i="20"/>
  <c r="N10" i="20"/>
  <c r="N14" i="20"/>
  <c r="N18" i="20"/>
  <c r="N4" i="20"/>
  <c r="N5" i="20"/>
  <c r="N7" i="20"/>
  <c r="N8" i="20"/>
  <c r="N9" i="20"/>
  <c r="N11" i="20"/>
  <c r="N12" i="20"/>
  <c r="N13" i="20"/>
  <c r="N15" i="20"/>
  <c r="N16" i="20"/>
  <c r="N17" i="20"/>
  <c r="N19" i="20"/>
  <c r="N20" i="20"/>
  <c r="N110" i="18"/>
  <c r="N60" i="18"/>
  <c r="N61" i="18"/>
  <c r="N64" i="18"/>
  <c r="N65" i="18"/>
  <c r="N68" i="18"/>
  <c r="N69" i="18"/>
  <c r="N72" i="18"/>
  <c r="N73" i="18"/>
  <c r="N76" i="18"/>
  <c r="N77" i="18"/>
  <c r="N80" i="18"/>
  <c r="N81" i="18"/>
  <c r="N84" i="18"/>
  <c r="N85" i="18"/>
  <c r="N88" i="18"/>
  <c r="N89" i="18"/>
  <c r="N92" i="18"/>
  <c r="N93" i="18"/>
  <c r="N96" i="18"/>
  <c r="N97" i="18"/>
  <c r="N100" i="18"/>
  <c r="N101" i="18"/>
  <c r="N104" i="18"/>
  <c r="N105" i="18"/>
  <c r="N108" i="18"/>
  <c r="N109" i="18"/>
  <c r="N113" i="18"/>
  <c r="N114" i="18"/>
  <c r="N117" i="18"/>
  <c r="N118" i="18"/>
  <c r="N121" i="18"/>
  <c r="N122" i="18"/>
  <c r="N125" i="18"/>
  <c r="N126" i="18"/>
  <c r="N129" i="18"/>
  <c r="N130" i="18"/>
  <c r="N133" i="18"/>
  <c r="N134" i="18"/>
  <c r="N137" i="18"/>
  <c r="N138" i="18"/>
  <c r="N141" i="18"/>
  <c r="N142" i="18"/>
  <c r="N145" i="18"/>
  <c r="N146" i="18"/>
  <c r="N149" i="18"/>
  <c r="N150" i="18"/>
  <c r="N153" i="18"/>
  <c r="N154" i="18"/>
  <c r="N157" i="18"/>
  <c r="N158" i="18"/>
  <c r="N161" i="18"/>
  <c r="N162" i="18"/>
  <c r="N165" i="18"/>
  <c r="N166" i="18"/>
  <c r="N169" i="18"/>
  <c r="N170" i="18"/>
  <c r="N173" i="18"/>
  <c r="N174" i="18"/>
  <c r="N177" i="18"/>
  <c r="N178" i="18"/>
  <c r="N181" i="18"/>
  <c r="N182" i="18"/>
  <c r="N185" i="18"/>
  <c r="N186" i="18"/>
  <c r="N189" i="18"/>
  <c r="N190" i="18"/>
  <c r="N193" i="18"/>
  <c r="N194" i="18"/>
  <c r="N197" i="18"/>
  <c r="N198" i="18"/>
  <c r="N201" i="18"/>
  <c r="N202" i="18"/>
  <c r="N205" i="18"/>
  <c r="N206" i="18"/>
  <c r="N57" i="18"/>
  <c r="N58" i="18"/>
  <c r="N59" i="18"/>
  <c r="N62" i="18"/>
  <c r="N63" i="18"/>
  <c r="N66" i="18"/>
  <c r="N67" i="18"/>
  <c r="N70" i="18"/>
  <c r="N71" i="18"/>
  <c r="N74" i="18"/>
  <c r="N75" i="18"/>
  <c r="N78" i="18"/>
  <c r="N79" i="18"/>
  <c r="N82" i="18"/>
  <c r="N83" i="18"/>
  <c r="N86" i="18"/>
  <c r="N87" i="18"/>
  <c r="N90" i="18"/>
  <c r="N91" i="18"/>
  <c r="N94" i="18"/>
  <c r="N95" i="18"/>
  <c r="N98" i="18"/>
  <c r="N99" i="18"/>
  <c r="N102" i="18"/>
  <c r="N103" i="18"/>
  <c r="N106" i="18"/>
  <c r="N107" i="18"/>
  <c r="N111" i="18"/>
  <c r="N112" i="18"/>
  <c r="N115" i="18"/>
  <c r="N116" i="18"/>
  <c r="N119" i="18"/>
  <c r="N120" i="18"/>
  <c r="N123" i="18"/>
  <c r="N124" i="18"/>
  <c r="N127" i="18"/>
  <c r="N128" i="18"/>
  <c r="N131" i="18"/>
  <c r="N132" i="18"/>
  <c r="N135" i="18"/>
  <c r="N136" i="18"/>
  <c r="N139" i="18"/>
  <c r="N140" i="18"/>
  <c r="N143" i="18"/>
  <c r="N144" i="18"/>
  <c r="N147" i="18"/>
  <c r="N148" i="18"/>
  <c r="N151" i="18"/>
  <c r="N152" i="18"/>
  <c r="N155" i="18"/>
  <c r="N156" i="18"/>
  <c r="N159" i="18"/>
  <c r="N160" i="18"/>
  <c r="N163" i="18"/>
  <c r="N164" i="18"/>
  <c r="N167" i="18"/>
  <c r="N168" i="18"/>
  <c r="N171" i="18"/>
  <c r="N172" i="18"/>
  <c r="N175" i="18"/>
  <c r="N176" i="18"/>
  <c r="N179" i="18"/>
  <c r="N180" i="18"/>
  <c r="N183" i="18"/>
  <c r="N184" i="18"/>
  <c r="N187" i="18"/>
  <c r="N188" i="18"/>
  <c r="N191" i="18"/>
  <c r="N192" i="18"/>
  <c r="N195" i="18"/>
  <c r="N196" i="18"/>
  <c r="N199" i="18"/>
  <c r="N200" i="18"/>
  <c r="N203" i="18"/>
  <c r="N204" i="18"/>
  <c r="N207" i="18"/>
  <c r="D96" i="19" l="1"/>
  <c r="C96" i="19" s="1"/>
  <c r="C95" i="19"/>
  <c r="N45" i="19"/>
  <c r="N46" i="19"/>
  <c r="N47" i="19"/>
  <c r="N48" i="19"/>
  <c r="N49" i="19"/>
  <c r="N50" i="19"/>
  <c r="N51" i="19"/>
  <c r="N52" i="19"/>
  <c r="N53" i="19"/>
  <c r="N54" i="19"/>
  <c r="N55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4" i="19"/>
  <c r="N56" i="18"/>
  <c r="N45" i="18"/>
  <c r="N46" i="18"/>
  <c r="N47" i="18"/>
  <c r="N48" i="18"/>
  <c r="N49" i="18"/>
  <c r="N50" i="18"/>
  <c r="N51" i="18"/>
  <c r="N52" i="18"/>
  <c r="N53" i="18"/>
  <c r="N54" i="18"/>
  <c r="N55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" i="18"/>
  <c r="C4" i="15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38" i="15" s="1"/>
  <c r="C39" i="15" s="1"/>
  <c r="C40" i="15" s="1"/>
  <c r="C41" i="15" s="1"/>
  <c r="C42" i="15" s="1"/>
  <c r="C43" i="15" s="1"/>
  <c r="C44" i="15" s="1"/>
  <c r="C45" i="15" s="1"/>
  <c r="C46" i="15" s="1"/>
  <c r="C47" i="15" s="1"/>
  <c r="C48" i="15" s="1"/>
  <c r="C49" i="15" s="1"/>
  <c r="C50" i="15" s="1"/>
  <c r="C51" i="15" s="1"/>
  <c r="C52" i="15" s="1"/>
  <c r="C53" i="15" s="1"/>
  <c r="C54" i="15" s="1"/>
  <c r="C55" i="15" s="1"/>
  <c r="C56" i="15" s="1"/>
  <c r="C57" i="15" s="1"/>
  <c r="C58" i="15" s="1"/>
  <c r="C59" i="15" s="1"/>
  <c r="C60" i="15" s="1"/>
  <c r="C61" i="15" s="1"/>
  <c r="C62" i="15" s="1"/>
  <c r="C63" i="15" s="1"/>
  <c r="C64" i="15" s="1"/>
  <c r="C65" i="15" s="1"/>
  <c r="C66" i="15" s="1"/>
  <c r="C67" i="15" s="1"/>
  <c r="C68" i="15" s="1"/>
  <c r="C69" i="15" s="1"/>
  <c r="C70" i="15" s="1"/>
  <c r="C71" i="15" s="1"/>
  <c r="C72" i="15" s="1"/>
  <c r="C73" i="15" s="1"/>
  <c r="C74" i="15" s="1"/>
  <c r="C75" i="15" s="1"/>
  <c r="C76" i="15" s="1"/>
  <c r="C77" i="15" s="1"/>
  <c r="C78" i="15" s="1"/>
  <c r="C79" i="15" s="1"/>
  <c r="C80" i="15" s="1"/>
  <c r="C81" i="15" s="1"/>
  <c r="C82" i="15" s="1"/>
  <c r="C83" i="15" s="1"/>
  <c r="C84" i="15" s="1"/>
  <c r="C85" i="15" s="1"/>
  <c r="C86" i="15" s="1"/>
  <c r="C87" i="15" s="1"/>
  <c r="C88" i="15" s="1"/>
  <c r="C89" i="15" s="1"/>
  <c r="C90" i="15" s="1"/>
  <c r="C91" i="15" s="1"/>
  <c r="C92" i="15" s="1"/>
  <c r="C93" i="15" s="1"/>
  <c r="C94" i="15" s="1"/>
  <c r="C95" i="15" s="1"/>
  <c r="C96" i="15" s="1"/>
  <c r="C97" i="15" s="1"/>
  <c r="C98" i="15" s="1"/>
  <c r="C99" i="15" s="1"/>
  <c r="C100" i="15" s="1"/>
  <c r="C101" i="15" s="1"/>
  <c r="C102" i="15" s="1"/>
  <c r="C103" i="15" s="1"/>
  <c r="C104" i="15" s="1"/>
  <c r="N101" i="15"/>
  <c r="N100" i="15"/>
  <c r="N72" i="15"/>
  <c r="N73" i="15"/>
  <c r="N70" i="15"/>
  <c r="N71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2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" i="15"/>
  <c r="N78" i="14"/>
  <c r="N77" i="14"/>
  <c r="C4" i="14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N76" i="14"/>
  <c r="N75" i="14"/>
  <c r="N74" i="14"/>
  <c r="N73" i="14"/>
  <c r="N72" i="14"/>
  <c r="N71" i="14"/>
  <c r="N70" i="14"/>
  <c r="N69" i="14"/>
  <c r="N68" i="14"/>
  <c r="N67" i="14"/>
  <c r="N66" i="14"/>
  <c r="N65" i="14"/>
  <c r="N62" i="14"/>
  <c r="N63" i="14"/>
  <c r="N64" i="14"/>
  <c r="N61" i="14"/>
  <c r="N55" i="14"/>
  <c r="N53" i="14"/>
  <c r="N54" i="14"/>
  <c r="N56" i="14"/>
  <c r="N57" i="14"/>
  <c r="N58" i="14"/>
  <c r="N59" i="14"/>
  <c r="N60" i="14"/>
  <c r="N52" i="14"/>
  <c r="N51" i="14"/>
  <c r="N50" i="14"/>
  <c r="N49" i="14"/>
  <c r="N48" i="14"/>
  <c r="N47" i="14"/>
  <c r="N46" i="14"/>
  <c r="N45" i="14"/>
  <c r="N37" i="14"/>
  <c r="N38" i="14"/>
  <c r="N39" i="14"/>
  <c r="N40" i="14"/>
  <c r="N41" i="14"/>
  <c r="N42" i="14"/>
  <c r="N43" i="14"/>
  <c r="N4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4" i="14"/>
  <c r="C4" i="13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3" i="13" s="1"/>
  <c r="C104" i="13" s="1"/>
  <c r="C105" i="13" s="1"/>
  <c r="C106" i="13" s="1"/>
  <c r="C107" i="13" s="1"/>
  <c r="C108" i="13" s="1"/>
  <c r="C109" i="13" s="1"/>
  <c r="C110" i="13" s="1"/>
  <c r="C111" i="13" s="1"/>
  <c r="C112" i="13" s="1"/>
  <c r="C113" i="13" s="1"/>
  <c r="C114" i="13" s="1"/>
  <c r="C115" i="13" s="1"/>
  <c r="C116" i="13" s="1"/>
  <c r="C117" i="13" s="1"/>
  <c r="C118" i="13" s="1"/>
  <c r="C119" i="13" s="1"/>
  <c r="C120" i="13" s="1"/>
  <c r="C121" i="13" s="1"/>
  <c r="C122" i="13" s="1"/>
  <c r="C123" i="13" s="1"/>
  <c r="C124" i="13" s="1"/>
  <c r="C125" i="13" s="1"/>
  <c r="C126" i="13" s="1"/>
  <c r="C127" i="13" s="1"/>
  <c r="C128" i="13" s="1"/>
  <c r="C129" i="13" s="1"/>
  <c r="C130" i="13" s="1"/>
  <c r="C131" i="13" s="1"/>
  <c r="C132" i="13" s="1"/>
  <c r="C133" i="13" s="1"/>
  <c r="C134" i="13" s="1"/>
  <c r="C135" i="13" s="1"/>
  <c r="C136" i="13" s="1"/>
  <c r="C137" i="13" s="1"/>
  <c r="C138" i="13" s="1"/>
  <c r="C139" i="13" s="1"/>
  <c r="C140" i="13" s="1"/>
  <c r="C141" i="13" s="1"/>
  <c r="C142" i="13" s="1"/>
  <c r="C143" i="13" s="1"/>
  <c r="C144" i="13" s="1"/>
  <c r="C145" i="13" s="1"/>
  <c r="C146" i="13" s="1"/>
  <c r="C147" i="13" s="1"/>
  <c r="C148" i="13" s="1"/>
  <c r="C149" i="13" s="1"/>
  <c r="C150" i="13" s="1"/>
  <c r="C151" i="13" s="1"/>
  <c r="C152" i="13" s="1"/>
  <c r="C153" i="13" s="1"/>
  <c r="C154" i="13" s="1"/>
  <c r="C155" i="13" s="1"/>
  <c r="C156" i="13" s="1"/>
  <c r="C157" i="13" s="1"/>
  <c r="C158" i="13" s="1"/>
  <c r="C159" i="13" s="1"/>
  <c r="C160" i="13" s="1"/>
  <c r="C161" i="13" s="1"/>
  <c r="C162" i="13" s="1"/>
  <c r="C163" i="13" s="1"/>
  <c r="C164" i="13" s="1"/>
  <c r="C165" i="13" s="1"/>
  <c r="C166" i="13" s="1"/>
  <c r="C167" i="13" s="1"/>
  <c r="C168" i="13" s="1"/>
  <c r="C169" i="13" s="1"/>
  <c r="C170" i="13" s="1"/>
  <c r="C171" i="13" s="1"/>
  <c r="C172" i="13" s="1"/>
  <c r="C173" i="13" s="1"/>
  <c r="C174" i="13" s="1"/>
  <c r="C175" i="13" s="1"/>
  <c r="C176" i="13" s="1"/>
  <c r="C177" i="13" s="1"/>
  <c r="C178" i="13" s="1"/>
  <c r="C179" i="13" s="1"/>
  <c r="C180" i="13" s="1"/>
  <c r="C181" i="13" s="1"/>
  <c r="C182" i="13" s="1"/>
  <c r="C183" i="13" s="1"/>
  <c r="C184" i="13" s="1"/>
  <c r="C185" i="13" s="1"/>
  <c r="C186" i="13" s="1"/>
  <c r="C187" i="13" s="1"/>
  <c r="C188" i="13" s="1"/>
  <c r="C189" i="13" s="1"/>
  <c r="C190" i="13" s="1"/>
  <c r="C191" i="13" s="1"/>
  <c r="C192" i="13" s="1"/>
  <c r="C193" i="13" s="1"/>
  <c r="C194" i="13" s="1"/>
  <c r="C195" i="13" s="1"/>
  <c r="C196" i="13" s="1"/>
  <c r="C197" i="13" s="1"/>
  <c r="C198" i="13" s="1"/>
  <c r="C199" i="13" s="1"/>
  <c r="C200" i="13" s="1"/>
  <c r="C201" i="13" s="1"/>
  <c r="C202" i="13" s="1"/>
  <c r="C203" i="13" s="1"/>
  <c r="C204" i="13" s="1"/>
  <c r="C205" i="13" s="1"/>
  <c r="C206" i="13" s="1"/>
  <c r="C207" i="13" s="1"/>
  <c r="C208" i="13" s="1"/>
  <c r="C209" i="13" s="1"/>
  <c r="C210" i="13" s="1"/>
  <c r="C211" i="13" s="1"/>
  <c r="C212" i="13" s="1"/>
  <c r="C213" i="13" s="1"/>
  <c r="C214" i="13" s="1"/>
  <c r="C215" i="13" s="1"/>
  <c r="C216" i="13" s="1"/>
  <c r="C217" i="13" s="1"/>
  <c r="C218" i="13" s="1"/>
  <c r="C219" i="13" s="1"/>
  <c r="C220" i="13" s="1"/>
  <c r="C221" i="13" s="1"/>
  <c r="C222" i="13" s="1"/>
  <c r="C223" i="13" s="1"/>
  <c r="C224" i="13" s="1"/>
  <c r="C225" i="13" s="1"/>
  <c r="C226" i="13" s="1"/>
  <c r="C227" i="13" s="1"/>
  <c r="C228" i="13" s="1"/>
  <c r="C229" i="13" s="1"/>
  <c r="C230" i="13" s="1"/>
  <c r="C231" i="13" s="1"/>
  <c r="C232" i="13" s="1"/>
  <c r="C233" i="13" s="1"/>
  <c r="C234" i="13" s="1"/>
  <c r="C235" i="13" s="1"/>
  <c r="C236" i="13" s="1"/>
  <c r="C237" i="13" s="1"/>
  <c r="C238" i="13" s="1"/>
  <c r="C239" i="13" s="1"/>
  <c r="C240" i="13" s="1"/>
  <c r="C241" i="13" s="1"/>
  <c r="C242" i="13" s="1"/>
  <c r="C243" i="13" s="1"/>
  <c r="C244" i="13" s="1"/>
  <c r="C245" i="13" s="1"/>
  <c r="C246" i="13" s="1"/>
  <c r="C247" i="13" s="1"/>
  <c r="C248" i="13" s="1"/>
  <c r="C249" i="13" s="1"/>
  <c r="C250" i="13" s="1"/>
  <c r="C251" i="13" s="1"/>
  <c r="C252" i="13" s="1"/>
  <c r="C253" i="13" s="1"/>
  <c r="C254" i="13" s="1"/>
  <c r="C255" i="13" s="1"/>
  <c r="C256" i="13" s="1"/>
  <c r="C257" i="13" s="1"/>
  <c r="C258" i="13" s="1"/>
  <c r="C259" i="13" s="1"/>
  <c r="C260" i="13" s="1"/>
  <c r="C261" i="13" s="1"/>
  <c r="C262" i="13" s="1"/>
  <c r="C263" i="13" s="1"/>
  <c r="C264" i="13" s="1"/>
  <c r="C265" i="13" s="1"/>
  <c r="C266" i="13" s="1"/>
  <c r="C267" i="13" s="1"/>
  <c r="C268" i="13" s="1"/>
  <c r="C269" i="13" s="1"/>
  <c r="C270" i="13" s="1"/>
  <c r="C271" i="13" s="1"/>
  <c r="C272" i="13" s="1"/>
  <c r="C273" i="13" s="1"/>
  <c r="C274" i="13" s="1"/>
  <c r="C275" i="13" s="1"/>
  <c r="C276" i="13" s="1"/>
  <c r="C277" i="13" s="1"/>
  <c r="C278" i="13" s="1"/>
  <c r="C279" i="13" s="1"/>
  <c r="C280" i="13" s="1"/>
  <c r="C281" i="13" s="1"/>
  <c r="C282" i="13" s="1"/>
  <c r="C283" i="13" s="1"/>
  <c r="C284" i="13" s="1"/>
  <c r="C285" i="13" s="1"/>
  <c r="C286" i="13" s="1"/>
  <c r="C287" i="13" s="1"/>
  <c r="C288" i="13" s="1"/>
  <c r="C289" i="13" s="1"/>
  <c r="C290" i="13" s="1"/>
  <c r="C291" i="13" s="1"/>
  <c r="C292" i="13" s="1"/>
  <c r="C293" i="13" s="1"/>
  <c r="C294" i="13" s="1"/>
  <c r="C295" i="13" s="1"/>
  <c r="C296" i="13" s="1"/>
  <c r="C297" i="13" s="1"/>
  <c r="C298" i="13" s="1"/>
  <c r="C299" i="13" s="1"/>
  <c r="C300" i="13" s="1"/>
  <c r="C301" i="13" s="1"/>
  <c r="C302" i="13" s="1"/>
  <c r="C303" i="13" s="1"/>
  <c r="C304" i="13" s="1"/>
  <c r="C305" i="13" s="1"/>
  <c r="C306" i="13" s="1"/>
  <c r="C307" i="13" s="1"/>
  <c r="C308" i="13" s="1"/>
  <c r="C309" i="13" s="1"/>
  <c r="C310" i="13" s="1"/>
  <c r="C311" i="13" s="1"/>
  <c r="C312" i="13" s="1"/>
  <c r="C313" i="13" s="1"/>
  <c r="C314" i="13" s="1"/>
  <c r="C315" i="13" s="1"/>
  <c r="C316" i="13" s="1"/>
  <c r="C317" i="13" s="1"/>
  <c r="C318" i="13" s="1"/>
  <c r="C319" i="13" s="1"/>
  <c r="C320" i="13" s="1"/>
  <c r="C321" i="13" s="1"/>
  <c r="C322" i="13" s="1"/>
  <c r="C323" i="13" s="1"/>
  <c r="C324" i="13" s="1"/>
  <c r="C325" i="13" s="1"/>
  <c r="C326" i="13" s="1"/>
  <c r="C327" i="13" s="1"/>
  <c r="C328" i="13" s="1"/>
  <c r="C329" i="13" s="1"/>
  <c r="C330" i="13" s="1"/>
  <c r="C331" i="13" s="1"/>
  <c r="C332" i="13" s="1"/>
  <c r="C333" i="13" s="1"/>
  <c r="C334" i="13" s="1"/>
  <c r="C335" i="13" s="1"/>
  <c r="C336" i="13" s="1"/>
  <c r="C337" i="13" s="1"/>
  <c r="C338" i="13" s="1"/>
  <c r="C339" i="13" s="1"/>
  <c r="C340" i="13" s="1"/>
  <c r="C341" i="13" s="1"/>
  <c r="C342" i="13" s="1"/>
  <c r="C343" i="13" s="1"/>
  <c r="C344" i="13" s="1"/>
  <c r="C345" i="13" s="1"/>
  <c r="C346" i="13" s="1"/>
  <c r="C347" i="13" s="1"/>
  <c r="C348" i="13" s="1"/>
  <c r="C349" i="13" s="1"/>
  <c r="C350" i="13" s="1"/>
  <c r="C351" i="13" s="1"/>
  <c r="C352" i="13" s="1"/>
  <c r="C353" i="13" s="1"/>
  <c r="C354" i="13" s="1"/>
  <c r="C355" i="13" s="1"/>
  <c r="C356" i="13" s="1"/>
  <c r="C357" i="13" s="1"/>
  <c r="C358" i="13" s="1"/>
  <c r="C359" i="13" s="1"/>
  <c r="C360" i="13" s="1"/>
  <c r="C361" i="13" s="1"/>
  <c r="C362" i="13" s="1"/>
  <c r="C363" i="13" s="1"/>
  <c r="C364" i="13" s="1"/>
  <c r="C365" i="13" s="1"/>
  <c r="C366" i="13" s="1"/>
  <c r="C367" i="13" s="1"/>
  <c r="C368" i="13" s="1"/>
  <c r="C369" i="13" s="1"/>
  <c r="C370" i="13" s="1"/>
  <c r="C371" i="13" s="1"/>
  <c r="C372" i="13" s="1"/>
  <c r="C373" i="13" s="1"/>
  <c r="C374" i="13" s="1"/>
  <c r="C375" i="13" s="1"/>
  <c r="C376" i="13" s="1"/>
  <c r="C377" i="13" s="1"/>
  <c r="C378" i="13" s="1"/>
  <c r="C379" i="13" s="1"/>
  <c r="C380" i="13" s="1"/>
  <c r="C381" i="13" s="1"/>
  <c r="C382" i="13" s="1"/>
  <c r="C383" i="13" s="1"/>
  <c r="C384" i="13" s="1"/>
  <c r="C385" i="13" s="1"/>
  <c r="C386" i="13" s="1"/>
  <c r="C387" i="13" s="1"/>
  <c r="C388" i="13" s="1"/>
  <c r="C389" i="13" s="1"/>
  <c r="C390" i="13" s="1"/>
  <c r="C391" i="13" s="1"/>
  <c r="C392" i="13" s="1"/>
  <c r="C393" i="13" s="1"/>
  <c r="C394" i="13" s="1"/>
  <c r="C395" i="13" s="1"/>
  <c r="C396" i="13" s="1"/>
  <c r="C397" i="13" s="1"/>
  <c r="C398" i="13" s="1"/>
  <c r="C399" i="13" s="1"/>
  <c r="C400" i="13" s="1"/>
  <c r="C401" i="13" s="1"/>
  <c r="C402" i="13" s="1"/>
  <c r="C403" i="13" s="1"/>
  <c r="C404" i="13" s="1"/>
  <c r="C405" i="13" s="1"/>
  <c r="C406" i="13" s="1"/>
  <c r="N377" i="13"/>
  <c r="N374" i="13"/>
  <c r="N368" i="13"/>
  <c r="N369" i="13"/>
  <c r="N370" i="13"/>
  <c r="N371" i="13"/>
  <c r="N372" i="13"/>
  <c r="N373" i="13"/>
  <c r="N375" i="13"/>
  <c r="N376" i="13"/>
  <c r="N378" i="13"/>
  <c r="N379" i="13"/>
  <c r="N380" i="13"/>
  <c r="N381" i="13"/>
  <c r="N382" i="13"/>
  <c r="N383" i="13"/>
  <c r="N384" i="13"/>
  <c r="N385" i="13"/>
  <c r="N386" i="13"/>
  <c r="N387" i="13"/>
  <c r="N388" i="13"/>
  <c r="N389" i="13"/>
  <c r="N390" i="13"/>
  <c r="N391" i="13"/>
  <c r="N392" i="13"/>
  <c r="N393" i="13"/>
  <c r="N394" i="13"/>
  <c r="N395" i="13"/>
  <c r="N396" i="13"/>
  <c r="N397" i="13"/>
  <c r="N398" i="13"/>
  <c r="N399" i="13"/>
  <c r="N400" i="13"/>
  <c r="N401" i="13"/>
  <c r="N402" i="13"/>
  <c r="N403" i="13"/>
  <c r="N404" i="13"/>
  <c r="N405" i="13"/>
  <c r="N406" i="13"/>
  <c r="N367" i="13"/>
  <c r="N366" i="13"/>
  <c r="N365" i="13"/>
  <c r="N364" i="13"/>
  <c r="N363" i="13"/>
  <c r="N362" i="13"/>
  <c r="N361" i="13"/>
  <c r="N360" i="13"/>
  <c r="N359" i="13"/>
  <c r="N358" i="13"/>
  <c r="N357" i="13"/>
  <c r="N356" i="13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03" i="13"/>
  <c r="N302" i="13"/>
  <c r="N301" i="13"/>
  <c r="N300" i="13"/>
  <c r="N299" i="13"/>
  <c r="N298" i="13"/>
  <c r="N297" i="13"/>
  <c r="N296" i="13"/>
  <c r="N295" i="13"/>
  <c r="N294" i="13"/>
  <c r="N293" i="13"/>
  <c r="N292" i="13"/>
  <c r="N291" i="13"/>
  <c r="N290" i="13"/>
  <c r="N289" i="13"/>
  <c r="N288" i="13"/>
  <c r="N287" i="13"/>
  <c r="N286" i="13"/>
  <c r="N285" i="13"/>
  <c r="N284" i="13"/>
  <c r="N283" i="13"/>
  <c r="N282" i="13"/>
  <c r="N281" i="13"/>
  <c r="N280" i="13"/>
  <c r="N279" i="13"/>
  <c r="N278" i="13"/>
  <c r="N277" i="13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31" i="13"/>
  <c r="N230" i="13"/>
  <c r="N229" i="13"/>
  <c r="N228" i="13"/>
  <c r="N227" i="13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11" i="13"/>
  <c r="N210" i="13"/>
  <c r="N209" i="13"/>
  <c r="N208" i="13"/>
  <c r="N207" i="13"/>
  <c r="N206" i="13"/>
  <c r="N205" i="13"/>
  <c r="N204" i="13"/>
  <c r="N203" i="13"/>
  <c r="N202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4" i="13"/>
  <c r="N86" i="12"/>
  <c r="C4" i="12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N85" i="12"/>
  <c r="N84" i="12"/>
  <c r="N83" i="12"/>
  <c r="N82" i="12"/>
  <c r="N81" i="12"/>
  <c r="N80" i="12"/>
  <c r="N79" i="12"/>
  <c r="N78" i="12"/>
  <c r="N77" i="12"/>
  <c r="N76" i="12"/>
  <c r="N75" i="12"/>
  <c r="N74" i="12"/>
  <c r="N73" i="12"/>
  <c r="N72" i="12"/>
  <c r="N71" i="12"/>
  <c r="N70" i="12"/>
  <c r="N69" i="12"/>
  <c r="N68" i="12"/>
  <c r="N65" i="12"/>
  <c r="N66" i="12"/>
  <c r="N67" i="12"/>
  <c r="N61" i="12"/>
  <c r="N59" i="12"/>
  <c r="N60" i="12"/>
  <c r="N62" i="12"/>
  <c r="N63" i="12"/>
  <c r="N64" i="12"/>
  <c r="N58" i="12"/>
  <c r="N57" i="12"/>
  <c r="N43" i="12"/>
  <c r="N42" i="12"/>
  <c r="N39" i="12"/>
  <c r="N40" i="12"/>
  <c r="N41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38" i="12"/>
  <c r="N37" i="12"/>
  <c r="N36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4" i="12"/>
  <c r="C4" i="10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N157" i="10"/>
  <c r="N158" i="10"/>
  <c r="N143" i="10"/>
  <c r="N144" i="10"/>
  <c r="N160" i="10"/>
  <c r="N151" i="10"/>
  <c r="N152" i="10"/>
  <c r="N153" i="10"/>
  <c r="N154" i="10"/>
  <c r="N155" i="10"/>
  <c r="N156" i="10"/>
  <c r="N159" i="10"/>
  <c r="N147" i="10"/>
  <c r="N148" i="10"/>
  <c r="N149" i="10"/>
  <c r="N150" i="10"/>
  <c r="N135" i="10"/>
  <c r="N136" i="10"/>
  <c r="N137" i="10"/>
  <c r="N138" i="10"/>
  <c r="N139" i="10"/>
  <c r="N140" i="10"/>
  <c r="N141" i="10"/>
  <c r="N142" i="10"/>
  <c r="N145" i="10"/>
  <c r="N146" i="10"/>
  <c r="N126" i="10"/>
  <c r="N127" i="10"/>
  <c r="N128" i="10"/>
  <c r="N129" i="10"/>
  <c r="N130" i="10"/>
  <c r="N131" i="10"/>
  <c r="N132" i="10"/>
  <c r="N133" i="10"/>
  <c r="N134" i="10"/>
  <c r="N115" i="10"/>
  <c r="N116" i="10"/>
  <c r="N117" i="10"/>
  <c r="N118" i="10"/>
  <c r="N119" i="10"/>
  <c r="N120" i="10"/>
  <c r="N121" i="10"/>
  <c r="N122" i="10"/>
  <c r="N123" i="10"/>
  <c r="N124" i="10"/>
  <c r="N125" i="10"/>
  <c r="N109" i="10"/>
  <c r="N104" i="10"/>
  <c r="N105" i="10"/>
  <c r="N106" i="10"/>
  <c r="N107" i="10"/>
  <c r="N108" i="10"/>
  <c r="N110" i="10"/>
  <c r="N111" i="10"/>
  <c r="N112" i="10"/>
  <c r="N113" i="10"/>
  <c r="N114" i="10"/>
  <c r="N103" i="10"/>
  <c r="N102" i="10"/>
  <c r="N101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84" i="10"/>
  <c r="N83" i="10"/>
  <c r="N82" i="10"/>
  <c r="N81" i="10"/>
  <c r="N80" i="10"/>
  <c r="N79" i="10"/>
  <c r="N78" i="10"/>
  <c r="N77" i="10"/>
  <c r="N76" i="10"/>
  <c r="N75" i="10"/>
  <c r="N74" i="10"/>
  <c r="N66" i="10"/>
  <c r="N67" i="10"/>
  <c r="N68" i="10"/>
  <c r="N69" i="10"/>
  <c r="N70" i="10"/>
  <c r="N71" i="10"/>
  <c r="N72" i="10"/>
  <c r="N73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4" i="10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18" i="9"/>
  <c r="N111" i="9"/>
  <c r="N112" i="9"/>
  <c r="N113" i="9"/>
  <c r="N114" i="9"/>
  <c r="N115" i="9"/>
  <c r="N116" i="9"/>
  <c r="N117" i="9"/>
  <c r="N119" i="9"/>
  <c r="N120" i="9"/>
  <c r="N121" i="9"/>
  <c r="N122" i="9"/>
  <c r="N123" i="9"/>
  <c r="N124" i="9"/>
  <c r="N125" i="9"/>
  <c r="N96" i="9"/>
  <c r="N95" i="9"/>
  <c r="N94" i="9"/>
  <c r="N93" i="9"/>
  <c r="N92" i="9"/>
  <c r="N91" i="9"/>
  <c r="N90" i="9"/>
  <c r="N89" i="9"/>
  <c r="N88" i="9"/>
  <c r="N87" i="9"/>
  <c r="N86" i="9"/>
  <c r="N85" i="9"/>
  <c r="N84" i="9"/>
  <c r="N83" i="9"/>
  <c r="N82" i="9"/>
  <c r="N81" i="9"/>
  <c r="N80" i="9"/>
  <c r="N79" i="9"/>
  <c r="N78" i="9"/>
  <c r="N77" i="9"/>
  <c r="N76" i="9"/>
  <c r="N75" i="9"/>
  <c r="N74" i="9"/>
  <c r="N73" i="9"/>
  <c r="N72" i="9"/>
  <c r="N71" i="9"/>
  <c r="N70" i="9"/>
  <c r="N69" i="9"/>
  <c r="N68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67" i="9"/>
  <c r="N66" i="9"/>
  <c r="N65" i="9"/>
  <c r="N64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4" i="9"/>
  <c r="N64" i="8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4" i="8"/>
  <c r="N133" i="7"/>
  <c r="N132" i="7"/>
  <c r="N131" i="7"/>
  <c r="N130" i="7"/>
  <c r="N129" i="7"/>
  <c r="N128" i="7"/>
  <c r="N127" i="7"/>
  <c r="N125" i="7"/>
  <c r="N124" i="7"/>
  <c r="N119" i="7"/>
  <c r="N113" i="7"/>
  <c r="N112" i="7"/>
  <c r="N111" i="7"/>
  <c r="N114" i="7"/>
  <c r="N115" i="7"/>
  <c r="N116" i="7"/>
  <c r="N117" i="7"/>
  <c r="N118" i="7"/>
  <c r="N120" i="7"/>
  <c r="N121" i="7"/>
  <c r="N122" i="7"/>
  <c r="N123" i="7"/>
  <c r="N126" i="7"/>
  <c r="N93" i="7"/>
  <c r="C4" i="7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56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4" i="7"/>
  <c r="N13" i="11"/>
  <c r="N44" i="11"/>
  <c r="N43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19" i="11"/>
  <c r="N18" i="11"/>
  <c r="N17" i="11"/>
  <c r="N16" i="11"/>
  <c r="N15" i="11"/>
  <c r="N14" i="11"/>
  <c r="N12" i="11"/>
  <c r="N11" i="11"/>
  <c r="N9" i="11"/>
  <c r="N8" i="11"/>
  <c r="N7" i="11"/>
  <c r="N6" i="11"/>
  <c r="N5" i="11"/>
  <c r="N42" i="11"/>
  <c r="N80" i="11"/>
  <c r="N79" i="11"/>
  <c r="N52" i="11"/>
  <c r="N48" i="11"/>
  <c r="N46" i="11"/>
  <c r="N82" i="11"/>
  <c r="N60" i="11"/>
  <c r="N50" i="11"/>
  <c r="N100" i="11"/>
  <c r="N99" i="11"/>
  <c r="N4" i="11"/>
  <c r="N97" i="11"/>
  <c r="N98" i="11"/>
  <c r="N49" i="11"/>
  <c r="N59" i="11"/>
  <c r="N81" i="11"/>
  <c r="N45" i="11"/>
  <c r="N47" i="11"/>
  <c r="N51" i="11"/>
  <c r="N77" i="11"/>
  <c r="N78" i="11"/>
  <c r="N41" i="11"/>
  <c r="N54" i="11"/>
  <c r="N55" i="11"/>
  <c r="N56" i="11"/>
  <c r="N67" i="11"/>
  <c r="N68" i="11"/>
  <c r="N71" i="11"/>
  <c r="N72" i="11"/>
  <c r="N73" i="11"/>
  <c r="N74" i="11"/>
  <c r="N75" i="11"/>
  <c r="N76" i="11"/>
  <c r="N85" i="11"/>
  <c r="N86" i="11"/>
  <c r="N87" i="11"/>
  <c r="N88" i="11"/>
  <c r="N93" i="11"/>
  <c r="N94" i="11"/>
  <c r="N101" i="11"/>
  <c r="N102" i="11"/>
  <c r="N57" i="11"/>
  <c r="N58" i="11"/>
  <c r="N61" i="11"/>
  <c r="N62" i="11"/>
  <c r="N63" i="11"/>
  <c r="N64" i="11"/>
  <c r="N65" i="11"/>
  <c r="N66" i="11"/>
  <c r="N69" i="11"/>
  <c r="N70" i="11"/>
  <c r="N83" i="11"/>
  <c r="N84" i="11"/>
  <c r="N89" i="11"/>
  <c r="N90" i="11"/>
  <c r="N91" i="11"/>
  <c r="N92" i="11"/>
  <c r="N95" i="11"/>
  <c r="N96" i="11"/>
  <c r="N53" i="11"/>
  <c r="C65" i="8" l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95" i="7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4" i="5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N138" i="5"/>
  <c r="N135" i="5"/>
  <c r="N136" i="5"/>
  <c r="N137" i="5"/>
  <c r="N139" i="5"/>
  <c r="N140" i="5"/>
  <c r="N141" i="5"/>
  <c r="N129" i="5"/>
  <c r="N128" i="5"/>
  <c r="N127" i="5"/>
  <c r="N126" i="5"/>
  <c r="N123" i="5"/>
  <c r="N115" i="5"/>
  <c r="N111" i="5"/>
  <c r="N110" i="5"/>
  <c r="N109" i="5"/>
  <c r="N108" i="5"/>
  <c r="N106" i="5"/>
  <c r="N107" i="5"/>
  <c r="N96" i="5"/>
  <c r="N97" i="5"/>
  <c r="N98" i="5"/>
  <c r="N99" i="5"/>
  <c r="N100" i="5"/>
  <c r="N101" i="5"/>
  <c r="N102" i="5"/>
  <c r="N103" i="5"/>
  <c r="N104" i="5"/>
  <c r="N105" i="5"/>
  <c r="N112" i="5"/>
  <c r="N113" i="5"/>
  <c r="N114" i="5"/>
  <c r="N116" i="5"/>
  <c r="N117" i="5"/>
  <c r="N118" i="5"/>
  <c r="N119" i="5"/>
  <c r="N120" i="5"/>
  <c r="N121" i="5"/>
  <c r="N122" i="5"/>
  <c r="N124" i="5"/>
  <c r="N125" i="5"/>
  <c r="N130" i="5"/>
  <c r="N131" i="5"/>
  <c r="N132" i="5"/>
  <c r="N133" i="5"/>
  <c r="N134" i="5"/>
  <c r="N95" i="5"/>
  <c r="N93" i="5"/>
  <c r="N94" i="5"/>
  <c r="G90" i="5"/>
  <c r="G88" i="5"/>
  <c r="G86" i="5"/>
  <c r="G84" i="5"/>
  <c r="G82" i="5"/>
  <c r="G80" i="5"/>
  <c r="G78" i="5"/>
  <c r="G76" i="5"/>
  <c r="G74" i="5"/>
  <c r="G72" i="5"/>
  <c r="G70" i="5"/>
  <c r="G68" i="5"/>
  <c r="G66" i="5"/>
  <c r="G64" i="5"/>
  <c r="G62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4" i="5"/>
  <c r="N121" i="4"/>
  <c r="N119" i="4"/>
  <c r="N117" i="4"/>
  <c r="N115" i="4"/>
  <c r="N113" i="4"/>
  <c r="N111" i="4"/>
  <c r="N109" i="4"/>
  <c r="N107" i="4"/>
  <c r="N105" i="4"/>
  <c r="N103" i="4"/>
  <c r="N101" i="4"/>
  <c r="N99" i="4"/>
  <c r="N97" i="4"/>
  <c r="N95" i="4"/>
  <c r="N93" i="4"/>
  <c r="N91" i="4"/>
  <c r="N89" i="4"/>
  <c r="N87" i="4"/>
  <c r="N85" i="4"/>
  <c r="N83" i="4"/>
  <c r="N81" i="4"/>
  <c r="N79" i="4"/>
  <c r="N77" i="4"/>
  <c r="N75" i="4"/>
  <c r="N73" i="4"/>
  <c r="N70" i="4"/>
  <c r="N68" i="4"/>
  <c r="N66" i="4"/>
  <c r="N58" i="4"/>
  <c r="N56" i="4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N137" i="4"/>
  <c r="N136" i="4"/>
  <c r="N135" i="4"/>
  <c r="N134" i="4"/>
  <c r="N217" i="4"/>
  <c r="N218" i="4"/>
  <c r="N216" i="4"/>
  <c r="N215" i="4"/>
  <c r="N214" i="4"/>
  <c r="N213" i="4"/>
  <c r="N212" i="4"/>
  <c r="N211" i="4"/>
  <c r="N210" i="4"/>
  <c r="N208" i="4"/>
  <c r="N209" i="4"/>
  <c r="N207" i="4"/>
  <c r="N205" i="4"/>
  <c r="N201" i="4"/>
  <c r="N124" i="4"/>
  <c r="N199" i="4"/>
  <c r="N196" i="4"/>
  <c r="N195" i="4"/>
  <c r="N194" i="4"/>
  <c r="N192" i="4"/>
  <c r="N193" i="4"/>
  <c r="N197" i="4"/>
  <c r="N198" i="4"/>
  <c r="N200" i="4"/>
  <c r="N202" i="4"/>
  <c r="N203" i="4"/>
  <c r="N204" i="4"/>
  <c r="N206" i="4"/>
  <c r="N191" i="4"/>
  <c r="N189" i="4"/>
  <c r="N187" i="4"/>
  <c r="N185" i="4"/>
  <c r="N183" i="4"/>
  <c r="N181" i="4"/>
  <c r="N178" i="4"/>
  <c r="N176" i="4"/>
  <c r="N175" i="4"/>
  <c r="N177" i="4"/>
  <c r="N179" i="4"/>
  <c r="N180" i="4"/>
  <c r="N182" i="4"/>
  <c r="N184" i="4"/>
  <c r="N186" i="4"/>
  <c r="N188" i="4"/>
  <c r="N190" i="4"/>
  <c r="N174" i="4"/>
  <c r="N173" i="4"/>
  <c r="N168" i="4"/>
  <c r="N169" i="4"/>
  <c r="N170" i="4"/>
  <c r="N171" i="4"/>
  <c r="N172" i="4"/>
  <c r="N167" i="4"/>
  <c r="N166" i="4"/>
  <c r="N165" i="4"/>
  <c r="N164" i="4"/>
  <c r="N163" i="4"/>
  <c r="N123" i="4"/>
  <c r="N162" i="4"/>
  <c r="N161" i="4"/>
  <c r="N160" i="4"/>
  <c r="N159" i="4"/>
  <c r="N156" i="4"/>
  <c r="N157" i="4"/>
  <c r="N158" i="4"/>
  <c r="N155" i="4"/>
  <c r="N154" i="4"/>
  <c r="N153" i="4"/>
  <c r="N150" i="4"/>
  <c r="N151" i="4"/>
  <c r="N152" i="4"/>
  <c r="N148" i="4"/>
  <c r="N149" i="4"/>
  <c r="N147" i="4"/>
  <c r="N146" i="4"/>
  <c r="N144" i="4"/>
  <c r="N145" i="4"/>
  <c r="N143" i="4"/>
  <c r="N142" i="4"/>
  <c r="N141" i="4"/>
  <c r="N122" i="4"/>
  <c r="N125" i="4"/>
  <c r="N126" i="4"/>
  <c r="N127" i="4"/>
  <c r="N128" i="4"/>
  <c r="N129" i="4"/>
  <c r="N130" i="4"/>
  <c r="N131" i="4"/>
  <c r="N132" i="4"/>
  <c r="N133" i="4"/>
  <c r="N138" i="4"/>
  <c r="N139" i="4"/>
  <c r="N140" i="4"/>
  <c r="N48" i="4"/>
  <c r="N49" i="4"/>
  <c r="N50" i="4"/>
  <c r="N51" i="4"/>
  <c r="N52" i="4"/>
  <c r="N53" i="4"/>
  <c r="N54" i="4"/>
  <c r="N55" i="4"/>
  <c r="N57" i="4"/>
  <c r="N59" i="4"/>
  <c r="N60" i="4"/>
  <c r="N61" i="4"/>
  <c r="N62" i="4"/>
  <c r="N63" i="4"/>
  <c r="N64" i="4"/>
  <c r="N65" i="4"/>
  <c r="N67" i="4"/>
  <c r="N69" i="4"/>
  <c r="N71" i="4"/>
  <c r="N72" i="4"/>
  <c r="N74" i="4"/>
  <c r="N76" i="4"/>
  <c r="N78" i="4"/>
  <c r="N80" i="4"/>
  <c r="N82" i="4"/>
  <c r="N84" i="4"/>
  <c r="N86" i="4"/>
  <c r="N88" i="4"/>
  <c r="N90" i="4"/>
  <c r="N92" i="4"/>
  <c r="N94" i="4"/>
  <c r="N96" i="4"/>
  <c r="N98" i="4"/>
  <c r="N100" i="4"/>
  <c r="N102" i="4"/>
  <c r="N104" i="4"/>
  <c r="N106" i="4"/>
  <c r="N108" i="4"/>
  <c r="N110" i="4"/>
  <c r="N112" i="4"/>
  <c r="N114" i="4"/>
  <c r="N116" i="4"/>
  <c r="N118" i="4"/>
  <c r="N120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4" i="4"/>
  <c r="C4" i="3" l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N34" i="3"/>
  <c r="N32" i="3"/>
  <c r="N67" i="3"/>
  <c r="N65" i="3"/>
  <c r="N56" i="3"/>
  <c r="N50" i="3"/>
  <c r="N42" i="3"/>
  <c r="N109" i="3"/>
  <c r="N98" i="3"/>
  <c r="N94" i="3"/>
  <c r="N92" i="3"/>
  <c r="N89" i="3"/>
  <c r="N81" i="3"/>
  <c r="N120" i="3"/>
  <c r="N115" i="3"/>
  <c r="N114" i="3"/>
  <c r="N107" i="3"/>
  <c r="N105" i="3"/>
  <c r="N103" i="3"/>
  <c r="N102" i="3"/>
  <c r="N79" i="3"/>
  <c r="N76" i="3"/>
  <c r="N74" i="3"/>
  <c r="N71" i="3"/>
  <c r="N63" i="3"/>
  <c r="N54" i="3"/>
  <c r="N48" i="3"/>
  <c r="N46" i="3"/>
  <c r="N37" i="3"/>
  <c r="N30" i="3"/>
  <c r="N11" i="3"/>
  <c r="N7" i="3"/>
  <c r="N5" i="3"/>
  <c r="N122" i="3"/>
  <c r="N121" i="3"/>
  <c r="N110" i="3"/>
  <c r="N116" i="3"/>
  <c r="N101" i="3"/>
  <c r="N96" i="3"/>
  <c r="N95" i="3"/>
  <c r="N90" i="3"/>
  <c r="N86" i="3"/>
  <c r="N85" i="3"/>
  <c r="N84" i="3"/>
  <c r="N82" i="3"/>
  <c r="N78" i="3"/>
  <c r="N70" i="3"/>
  <c r="N68" i="3"/>
  <c r="N61" i="3"/>
  <c r="N60" i="3"/>
  <c r="N59" i="3"/>
  <c r="N58" i="3"/>
  <c r="N57" i="3"/>
  <c r="N53" i="3"/>
  <c r="N52" i="3"/>
  <c r="N45" i="3"/>
  <c r="N43" i="3"/>
  <c r="N40" i="3"/>
  <c r="N39" i="3"/>
  <c r="N26" i="3"/>
  <c r="N27" i="3"/>
  <c r="N28" i="3"/>
  <c r="N25" i="3"/>
  <c r="N24" i="3"/>
  <c r="N23" i="3"/>
  <c r="N22" i="3"/>
  <c r="N21" i="3"/>
  <c r="N20" i="3"/>
  <c r="N19" i="3"/>
  <c r="N16" i="3"/>
  <c r="N17" i="3"/>
  <c r="N9" i="3"/>
  <c r="N12" i="3"/>
  <c r="N13" i="3"/>
  <c r="N14" i="3"/>
  <c r="N15" i="3"/>
  <c r="N123" i="3"/>
  <c r="N73" i="3"/>
  <c r="N36" i="3"/>
  <c r="N18" i="3"/>
  <c r="N8" i="3"/>
  <c r="N4" i="3"/>
  <c r="N6" i="3"/>
  <c r="N10" i="3"/>
  <c r="N29" i="3"/>
  <c r="N35" i="3"/>
  <c r="N44" i="3"/>
  <c r="N47" i="3"/>
  <c r="N51" i="3"/>
  <c r="N62" i="3"/>
  <c r="N69" i="3"/>
  <c r="N72" i="3"/>
  <c r="N75" i="3"/>
  <c r="N77" i="3"/>
  <c r="N99" i="3"/>
  <c r="N100" i="3"/>
  <c r="N104" i="3"/>
  <c r="N106" i="3"/>
  <c r="N112" i="3"/>
  <c r="N113" i="3"/>
  <c r="N119" i="3"/>
  <c r="N33" i="3"/>
  <c r="N38" i="3"/>
  <c r="N41" i="3"/>
  <c r="N49" i="3"/>
  <c r="N55" i="3"/>
  <c r="N64" i="3"/>
  <c r="N66" i="3"/>
  <c r="N80" i="3"/>
  <c r="N83" i="3"/>
  <c r="N87" i="3"/>
  <c r="N88" i="3"/>
  <c r="N91" i="3"/>
  <c r="N93" i="3"/>
  <c r="N97" i="3"/>
  <c r="N108" i="3"/>
  <c r="N111" i="3"/>
  <c r="N117" i="3"/>
  <c r="N118" i="3"/>
  <c r="N31" i="3"/>
  <c r="N526" i="1" l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226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N287" i="1"/>
  <c r="N253" i="1"/>
  <c r="N234" i="1"/>
  <c r="N219" i="1"/>
  <c r="N202" i="1"/>
  <c r="N196" i="1"/>
  <c r="N187" i="1"/>
  <c r="N162" i="1"/>
  <c r="N157" i="1"/>
  <c r="N137" i="1"/>
  <c r="N130" i="1"/>
  <c r="N125" i="1"/>
  <c r="N121" i="1"/>
  <c r="N9" i="1"/>
  <c r="N114" i="1"/>
  <c r="N115" i="1"/>
  <c r="N11" i="1"/>
  <c r="N29" i="1"/>
  <c r="N10" i="1"/>
  <c r="N304" i="1"/>
  <c r="N303" i="1"/>
  <c r="N102" i="1"/>
  <c r="N101" i="1"/>
  <c r="C228" i="1" l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N223" i="1"/>
  <c r="N224" i="1"/>
  <c r="N116" i="1"/>
  <c r="N56" i="1"/>
  <c r="N57" i="1"/>
  <c r="N67" i="1"/>
  <c r="N81" i="1"/>
  <c r="N87" i="1"/>
  <c r="N103" i="1"/>
  <c r="N117" i="1"/>
  <c r="N131" i="1"/>
  <c r="N138" i="1"/>
  <c r="N147" i="1"/>
  <c r="N163" i="1"/>
  <c r="N172" i="1"/>
  <c r="N182" i="1"/>
  <c r="N197" i="1"/>
  <c r="N203" i="1"/>
  <c r="N210" i="1"/>
  <c r="N211" i="1"/>
  <c r="N212" i="1"/>
  <c r="N214" i="1"/>
  <c r="N220" i="1"/>
  <c r="N225" i="1"/>
  <c r="N227" i="1"/>
  <c r="N228" i="1"/>
  <c r="N235" i="1"/>
  <c r="N236" i="1"/>
  <c r="N237" i="1"/>
  <c r="N256" i="1"/>
  <c r="N262" i="1"/>
  <c r="N294" i="1"/>
  <c r="N297" i="1"/>
  <c r="N300" i="1"/>
  <c r="N55" i="1"/>
  <c r="N61" i="1"/>
  <c r="N66" i="1"/>
  <c r="N72" i="1"/>
  <c r="N74" i="1"/>
  <c r="N80" i="1"/>
  <c r="N120" i="1"/>
  <c r="N123" i="1"/>
  <c r="N124" i="1"/>
  <c r="N129" i="1"/>
  <c r="N136" i="1"/>
  <c r="N156" i="1"/>
  <c r="N161" i="1"/>
  <c r="N186" i="1"/>
  <c r="N195" i="1"/>
  <c r="N201" i="1"/>
  <c r="N218" i="1"/>
  <c r="N233" i="1"/>
  <c r="N252" i="1"/>
  <c r="N286" i="1"/>
  <c r="N4" i="1"/>
  <c r="N5" i="1"/>
  <c r="N6" i="1"/>
  <c r="N7" i="1"/>
  <c r="N8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111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8" i="1"/>
  <c r="N59" i="1"/>
  <c r="N60" i="1"/>
  <c r="N62" i="1"/>
  <c r="N63" i="1"/>
  <c r="N64" i="1"/>
  <c r="N65" i="1"/>
  <c r="N68" i="1"/>
  <c r="N69" i="1"/>
  <c r="N70" i="1"/>
  <c r="N71" i="1"/>
  <c r="N73" i="1"/>
  <c r="N75" i="1"/>
  <c r="N76" i="1"/>
  <c r="N77" i="1"/>
  <c r="N78" i="1"/>
  <c r="N79" i="1"/>
  <c r="N82" i="1"/>
  <c r="N83" i="1"/>
  <c r="N84" i="1"/>
  <c r="N85" i="1"/>
  <c r="N86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4" i="1"/>
  <c r="N105" i="1"/>
  <c r="N106" i="1"/>
  <c r="N107" i="1"/>
  <c r="N108" i="1"/>
  <c r="N109" i="1"/>
  <c r="N110" i="1"/>
  <c r="N112" i="1"/>
  <c r="N113" i="1"/>
  <c r="N240" i="1"/>
  <c r="N118" i="1"/>
  <c r="N119" i="1"/>
  <c r="N122" i="1"/>
  <c r="N126" i="1"/>
  <c r="N127" i="1"/>
  <c r="N128" i="1"/>
  <c r="N132" i="1"/>
  <c r="N133" i="1"/>
  <c r="N134" i="1"/>
  <c r="N135" i="1"/>
  <c r="N139" i="1"/>
  <c r="N140" i="1"/>
  <c r="N141" i="1"/>
  <c r="N142" i="1"/>
  <c r="N143" i="1"/>
  <c r="N144" i="1"/>
  <c r="N145" i="1"/>
  <c r="N146" i="1"/>
  <c r="N148" i="1"/>
  <c r="N149" i="1"/>
  <c r="N150" i="1"/>
  <c r="N151" i="1"/>
  <c r="N152" i="1"/>
  <c r="N153" i="1"/>
  <c r="N154" i="1"/>
  <c r="N155" i="1"/>
  <c r="N158" i="1"/>
  <c r="N159" i="1"/>
  <c r="N160" i="1"/>
  <c r="N164" i="1"/>
  <c r="N165" i="1"/>
  <c r="N166" i="1"/>
  <c r="N167" i="1"/>
  <c r="N168" i="1"/>
  <c r="N169" i="1"/>
  <c r="N170" i="1"/>
  <c r="N171" i="1"/>
  <c r="N173" i="1"/>
  <c r="N174" i="1"/>
  <c r="N175" i="1"/>
  <c r="N176" i="1"/>
  <c r="N177" i="1"/>
  <c r="N178" i="1"/>
  <c r="N179" i="1"/>
  <c r="N180" i="1"/>
  <c r="N181" i="1"/>
  <c r="N183" i="1"/>
  <c r="N184" i="1"/>
  <c r="N185" i="1"/>
  <c r="N188" i="1"/>
  <c r="N189" i="1"/>
  <c r="N190" i="1"/>
  <c r="N191" i="1"/>
  <c r="N192" i="1"/>
  <c r="N193" i="1"/>
  <c r="N194" i="1"/>
  <c r="N200" i="1"/>
  <c r="N208" i="1"/>
  <c r="N209" i="1"/>
  <c r="N213" i="1"/>
  <c r="N216" i="1"/>
  <c r="N217" i="1"/>
  <c r="N221" i="1"/>
  <c r="N222" i="1"/>
  <c r="N229" i="1"/>
  <c r="N230" i="1"/>
  <c r="N231" i="1"/>
  <c r="N232" i="1"/>
  <c r="N238" i="1"/>
  <c r="N239" i="1"/>
  <c r="N241" i="1"/>
  <c r="N242" i="1"/>
  <c r="N243" i="1"/>
  <c r="N244" i="1"/>
  <c r="N245" i="1"/>
  <c r="N301" i="1"/>
  <c r="N246" i="1"/>
  <c r="N247" i="1"/>
  <c r="N248" i="1"/>
  <c r="N249" i="1"/>
  <c r="N250" i="1"/>
  <c r="N251" i="1"/>
  <c r="N254" i="1"/>
  <c r="N255" i="1"/>
  <c r="N257" i="1"/>
  <c r="N258" i="1"/>
  <c r="N259" i="1"/>
  <c r="N260" i="1"/>
  <c r="N261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8" i="1"/>
  <c r="N289" i="1"/>
  <c r="N290" i="1"/>
  <c r="N291" i="1"/>
  <c r="N292" i="1"/>
  <c r="N293" i="1"/>
  <c r="N295" i="1"/>
  <c r="N296" i="1"/>
  <c r="N298" i="1"/>
  <c r="N299" i="1"/>
  <c r="N302" i="1"/>
  <c r="N199" i="1"/>
  <c r="N206" i="1"/>
  <c r="N207" i="1"/>
  <c r="N215" i="1"/>
  <c r="N198" i="1"/>
  <c r="N205" i="1"/>
  <c r="N204" i="1"/>
  <c r="C362" i="1" l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4" i="11"/>
  <c r="C5" i="11" s="1"/>
  <c r="E4" i="11" l="1"/>
  <c r="E5" i="11"/>
  <c r="C6" i="11"/>
  <c r="C7" i="11" l="1"/>
  <c r="E6" i="11"/>
  <c r="C8" i="11" l="1"/>
  <c r="E7" i="11"/>
  <c r="E8" i="11" l="1"/>
  <c r="C9" i="11"/>
  <c r="E9" i="11" l="1"/>
  <c r="C10" i="11"/>
  <c r="E10" i="11" l="1"/>
  <c r="C11" i="11"/>
  <c r="E11" i="11" l="1"/>
  <c r="C12" i="11"/>
  <c r="E12" i="11" l="1"/>
  <c r="C13" i="11"/>
  <c r="E13" i="11" l="1"/>
  <c r="C14" i="11"/>
  <c r="C15" i="11" l="1"/>
  <c r="E14" i="11"/>
  <c r="C16" i="11" l="1"/>
  <c r="E15" i="11"/>
  <c r="E16" i="11" l="1"/>
  <c r="C17" i="11"/>
  <c r="E17" i="11" l="1"/>
  <c r="C18" i="11"/>
  <c r="C19" i="11" l="1"/>
  <c r="E18" i="11"/>
  <c r="C20" i="11" l="1"/>
  <c r="E19" i="11"/>
  <c r="E20" i="11" l="1"/>
  <c r="C21" i="11"/>
  <c r="C22" i="11" l="1"/>
  <c r="E21" i="11"/>
  <c r="C23" i="11" l="1"/>
  <c r="E22" i="11"/>
  <c r="E23" i="11" l="1"/>
  <c r="C24" i="11"/>
  <c r="C25" i="11" l="1"/>
  <c r="E24" i="11"/>
  <c r="C26" i="11" l="1"/>
  <c r="E25" i="11"/>
  <c r="C27" i="11" l="1"/>
  <c r="E26" i="11"/>
  <c r="C28" i="11" l="1"/>
  <c r="E27" i="11"/>
  <c r="C29" i="11" l="1"/>
  <c r="E28" i="11"/>
  <c r="C30" i="11" l="1"/>
  <c r="E29" i="11"/>
  <c r="E30" i="11" l="1"/>
  <c r="C31" i="11"/>
  <c r="C32" i="11" l="1"/>
  <c r="E31" i="11"/>
  <c r="C33" i="11" l="1"/>
  <c r="E32" i="11"/>
  <c r="E33" i="11" l="1"/>
  <c r="C34" i="11"/>
  <c r="C35" i="11" l="1"/>
  <c r="E34" i="11"/>
  <c r="C36" i="11" l="1"/>
  <c r="E35" i="11"/>
  <c r="E36" i="11" l="1"/>
  <c r="C37" i="11"/>
  <c r="C38" i="11" l="1"/>
  <c r="E37" i="11"/>
  <c r="C39" i="11" l="1"/>
  <c r="E38" i="11"/>
  <c r="C40" i="11" l="1"/>
  <c r="E39" i="11"/>
  <c r="E40" i="11" l="1"/>
  <c r="C41" i="11"/>
  <c r="E41" i="11" l="1"/>
  <c r="C42" i="11"/>
  <c r="C43" i="11" l="1"/>
  <c r="E42" i="11"/>
  <c r="C44" i="11" l="1"/>
  <c r="E43" i="11"/>
  <c r="E44" i="11" l="1"/>
  <c r="C45" i="11"/>
  <c r="C46" i="11" l="1"/>
  <c r="E45" i="11"/>
  <c r="C47" i="11" l="1"/>
  <c r="E46" i="11"/>
  <c r="C48" i="11" l="1"/>
  <c r="E47" i="11"/>
  <c r="C49" i="11" l="1"/>
  <c r="E48" i="11"/>
  <c r="C50" i="11" l="1"/>
  <c r="E49" i="11"/>
  <c r="C51" i="11" l="1"/>
  <c r="E50" i="11"/>
  <c r="E51" i="11" l="1"/>
  <c r="C52" i="11"/>
  <c r="E52" i="11" l="1"/>
  <c r="C53" i="11"/>
  <c r="E53" i="11" l="1"/>
  <c r="C54" i="11"/>
  <c r="E54" i="11" l="1"/>
  <c r="C55" i="11"/>
  <c r="E55" i="11" l="1"/>
  <c r="C56" i="11"/>
  <c r="E56" i="11" l="1"/>
  <c r="C57" i="11"/>
  <c r="C58" i="11" l="1"/>
  <c r="E57" i="11"/>
  <c r="C59" i="11" l="1"/>
  <c r="E58" i="11"/>
  <c r="C60" i="11" l="1"/>
  <c r="E59" i="11"/>
  <c r="C61" i="11" l="1"/>
  <c r="E60" i="11"/>
  <c r="C62" i="11" l="1"/>
  <c r="E61" i="11"/>
  <c r="E62" i="11" l="1"/>
  <c r="C63" i="11"/>
  <c r="C64" i="11" l="1"/>
  <c r="E63" i="11"/>
  <c r="C65" i="11" l="1"/>
  <c r="E64" i="11"/>
  <c r="E65" i="11" l="1"/>
  <c r="C66" i="11"/>
  <c r="C67" i="11" l="1"/>
  <c r="E66" i="11"/>
  <c r="E67" i="11" l="1"/>
  <c r="C68" i="11"/>
  <c r="E68" i="11" l="1"/>
  <c r="C69" i="11"/>
  <c r="C70" i="11" l="1"/>
  <c r="E69" i="11"/>
  <c r="C71" i="11" l="1"/>
  <c r="E70" i="11"/>
  <c r="E71" i="11" l="1"/>
  <c r="C72" i="11"/>
  <c r="C73" i="11" l="1"/>
  <c r="E72" i="11"/>
  <c r="C74" i="11" l="1"/>
  <c r="E73" i="11"/>
  <c r="E74" i="11" l="1"/>
  <c r="C75" i="11"/>
  <c r="C76" i="11" l="1"/>
  <c r="E75" i="11"/>
  <c r="E76" i="11" l="1"/>
  <c r="C77" i="11"/>
  <c r="E77" i="11" l="1"/>
  <c r="C78" i="11"/>
  <c r="C79" i="11" l="1"/>
  <c r="E78" i="11"/>
  <c r="E79" i="11" l="1"/>
  <c r="C80" i="11"/>
  <c r="C81" i="11" l="1"/>
  <c r="E80" i="11"/>
  <c r="C82" i="11" l="1"/>
  <c r="E81" i="11"/>
  <c r="C83" i="11" l="1"/>
  <c r="E82" i="11"/>
  <c r="C84" i="11" l="1"/>
  <c r="E83" i="11"/>
  <c r="C85" i="11" l="1"/>
  <c r="E84" i="11"/>
  <c r="E85" i="11" l="1"/>
  <c r="C86" i="11"/>
  <c r="C87" i="11" l="1"/>
  <c r="E86" i="11"/>
  <c r="C88" i="11" l="1"/>
  <c r="E87" i="11"/>
  <c r="E88" i="11" l="1"/>
  <c r="C89" i="11"/>
  <c r="E89" i="11" l="1"/>
  <c r="C90" i="11"/>
  <c r="C91" i="11" l="1"/>
  <c r="E90" i="11"/>
  <c r="C92" i="11" l="1"/>
  <c r="E91" i="11"/>
  <c r="E92" i="11" l="1"/>
  <c r="C93" i="11"/>
  <c r="C94" i="11" l="1"/>
  <c r="E93" i="11"/>
  <c r="C95" i="11" l="1"/>
  <c r="E94" i="11"/>
  <c r="C96" i="11" l="1"/>
  <c r="E95" i="11"/>
  <c r="C97" i="11" l="1"/>
  <c r="E96" i="11"/>
  <c r="C98" i="11" l="1"/>
  <c r="E97" i="11"/>
  <c r="C99" i="11" l="1"/>
  <c r="E98" i="11"/>
  <c r="E99" i="11" l="1"/>
  <c r="C100" i="11"/>
  <c r="E100" i="11" l="1"/>
  <c r="C101" i="11"/>
  <c r="C102" i="11" l="1"/>
  <c r="E102" i="11" s="1"/>
  <c r="E101" i="11"/>
  <c r="C4" i="26"/>
  <c r="C5" i="26" s="1"/>
  <c r="C6" i="26" s="1"/>
  <c r="C7" i="26" s="1"/>
  <c r="C8" i="26" s="1"/>
  <c r="C9" i="26" s="1"/>
  <c r="C10" i="26" s="1"/>
  <c r="C11" i="26" s="1"/>
  <c r="C12" i="26" s="1"/>
  <c r="C13" i="26" s="1"/>
  <c r="C14" i="26" s="1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26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Van Tam</author>
  </authors>
  <commentList>
    <comment ref="Y2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Nguyen Van Tam:</t>
        </r>
        <r>
          <rPr>
            <sz val="8"/>
            <color indexed="81"/>
            <rFont val="Tahoma"/>
            <family val="2"/>
          </rPr>
          <t xml:space="preserve">
0-Loại khác
1-Người mua
2-Người bán</t>
        </r>
      </text>
    </comment>
  </commentList>
</comments>
</file>

<file path=xl/sharedStrings.xml><?xml version="1.0" encoding="utf-8"?>
<sst xmlns="http://schemas.openxmlformats.org/spreadsheetml/2006/main" count="20367" uniqueCount="3863">
  <si>
    <t>MÃ CHỨNG TỪ</t>
  </si>
  <si>
    <t>NGÀY GHI SỔ</t>
  </si>
  <si>
    <t>SỐ CHỨNG TỪ</t>
  </si>
  <si>
    <t>BỘ PHẬN</t>
  </si>
  <si>
    <t>HỢP ĐỒNG</t>
  </si>
  <si>
    <t>MÃ SẢN PHẨM, CÔNG TRÌNH</t>
  </si>
  <si>
    <t>MÃ ĐỐI TƯỢNG</t>
  </si>
  <si>
    <t>DIỄN GIẢI</t>
  </si>
  <si>
    <t>TÀI KHOẢN</t>
  </si>
  <si>
    <t>MÃ TIỀN TỆ</t>
  </si>
  <si>
    <t>TỶ GIÁ</t>
  </si>
  <si>
    <t>NGUYÊN TỆ</t>
  </si>
  <si>
    <t>THÀNH TIỀN</t>
  </si>
  <si>
    <t>NỢ</t>
  </si>
  <si>
    <t>CÓ</t>
  </si>
  <si>
    <t>Mã</t>
  </si>
  <si>
    <t>Status</t>
  </si>
  <si>
    <t>STT</t>
  </si>
  <si>
    <t>PK</t>
  </si>
  <si>
    <t>0110269067-001</t>
  </si>
  <si>
    <t>Chi phí đi lại, di chuyển HĐ số 09096622</t>
  </si>
  <si>
    <t>VND</t>
  </si>
  <si>
    <t>Done</t>
  </si>
  <si>
    <t>0313168515-005</t>
  </si>
  <si>
    <t>Chi phí tiếp khách, ngoại giao HĐ số 00005088</t>
  </si>
  <si>
    <t>0312065210</t>
  </si>
  <si>
    <t>Chi phí tiếp khách, ngoại giao HĐ số 00035865</t>
  </si>
  <si>
    <t>Chi phí đi lại, di chuyển HĐ số 09385452</t>
  </si>
  <si>
    <t>Chi phí tiếp khách, ngoại giao HĐ số 00036057</t>
  </si>
  <si>
    <t>0301519977-021</t>
  </si>
  <si>
    <t>Thuế GTGT, TNCN sàn TMĐT 02/07/2025</t>
  </si>
  <si>
    <t>201719908M</t>
  </si>
  <si>
    <t>Doanh thu Hoa hồng tiếp thị liên kết Tiktok</t>
  </si>
  <si>
    <t>BC</t>
  </si>
  <si>
    <t>Nhận Doanh thu Hoa hồng tiếp thị liên kết Tiktok</t>
  </si>
  <si>
    <t>0110269067</t>
  </si>
  <si>
    <t>Chi phí đi lại, di chuyển HĐ số 08917836</t>
  </si>
  <si>
    <t>Chi phí đi lại, di chuyển HĐ số 09543039</t>
  </si>
  <si>
    <t>Chi phí đi lại, di chuyển HĐ số 09602980</t>
  </si>
  <si>
    <t>Chi phí đi lại, di chuyển HĐ số 09941494</t>
  </si>
  <si>
    <t>Chi phí tiếp khách, ngoại giao HĐ số 00036507</t>
  </si>
  <si>
    <t>Chi phí đi lại, di chuyển HĐ số 09789353</t>
  </si>
  <si>
    <t>Chi phí đi lại, di chuyển HĐ số 10682650</t>
  </si>
  <si>
    <t>Chi phí đi lại, di chuyển HĐ số 10715218</t>
  </si>
  <si>
    <t>Chi phí đi lại, di chuyển HĐ số 10826813</t>
  </si>
  <si>
    <t>Chi phí tiếp khách, ngoại giao HĐ số 00052407</t>
  </si>
  <si>
    <t>0102721191-001</t>
  </si>
  <si>
    <t>Chi phí tiếp khách, ngoại giao HĐ số 02154283</t>
  </si>
  <si>
    <t>Chi phí đi lại, di chuyển HĐ số 11043881</t>
  </si>
  <si>
    <t>Chi phí đi lại, di chuyển HĐ số 11090226</t>
  </si>
  <si>
    <t>Chi phí đi lại, di chuyển HĐ số 11137620</t>
  </si>
  <si>
    <t>Chi phí tiếp khách, ngoại giao HĐ số 00037030</t>
  </si>
  <si>
    <t>0318399675</t>
  </si>
  <si>
    <t>Chi phí tiếp khách, ngoại giao HĐ số 00002629</t>
  </si>
  <si>
    <t>Chi phí tiếp khách, ngoại giao HĐ số 00037204</t>
  </si>
  <si>
    <t>0106639692</t>
  </si>
  <si>
    <t>Nhận Doanh thu Dịch vụ quảng cáo và truyền thông theo Hợp đồng số T08C25HDDV-0154-0445 COKIMNGAN ký ngày 16/05/2025 (Đợt 1)	 HĐ số 00000010</t>
  </si>
  <si>
    <t>Chi phí đi lại, di chuyển HĐ số 11544086</t>
  </si>
  <si>
    <t>Chi phí đi lại, di chuyển HĐ số 11586768</t>
  </si>
  <si>
    <t>Chi phí đi lại, di chuyển HĐ số 11632474</t>
  </si>
  <si>
    <t>Chi phí đi lại, di chuyển HĐ số 11693772</t>
  </si>
  <si>
    <t>Chi phí đi lại, di chuyển HĐ số 11765838</t>
  </si>
  <si>
    <t>Chi phí tiếp khách, ngoại giao HĐ số 00152377</t>
  </si>
  <si>
    <t>Chi phí tiếp khách, ngoại giao HĐ số 00037735</t>
  </si>
  <si>
    <t>Chi phí tiếp khách, ngoại giao HĐ số 00037948</t>
  </si>
  <si>
    <t>Chi phí đi lại, di chuyển HĐ số 12573000</t>
  </si>
  <si>
    <t>Chi phí đi lại, di chuyển HĐ số 12587035</t>
  </si>
  <si>
    <t>Chi phí đi lại, di chuyển HĐ số 12714333</t>
  </si>
  <si>
    <t>Chi phí đi lại, di chuyển HĐ số 12931545</t>
  </si>
  <si>
    <t>Chi phí đi lại, di chuyển HĐ số 12970233</t>
  </si>
  <si>
    <t>Chi phí đi lại, di chuyển HĐ số 13039084</t>
  </si>
  <si>
    <t>Chi phí đi lại, di chuyển HĐ số 13093981</t>
  </si>
  <si>
    <t>0315087043</t>
  </si>
  <si>
    <t>Chi phí tiếp khách, ngoại giao HĐ số 00002814</t>
  </si>
  <si>
    <t>Chi phí tiếp khách, ngoại giao HĐ số 00064515</t>
  </si>
  <si>
    <t>Chi phí tiếp khách, ngoại giao HĐ số 00038646</t>
  </si>
  <si>
    <t>0318060508</t>
  </si>
  <si>
    <t>Chi phí tiếp khách, ngoại giao HĐ số 00005864</t>
  </si>
  <si>
    <t>0106056281</t>
  </si>
  <si>
    <t>Chi phí dịch vụ giúp việc HĐ số 00002750</t>
  </si>
  <si>
    <t>0318701945</t>
  </si>
  <si>
    <t>Chi phí tiếp khách, ngoại giao HĐ số 00006828</t>
  </si>
  <si>
    <t>Chi phí đi lại, di chuyển HĐ số 14181246</t>
  </si>
  <si>
    <t>Chi phí đi lại, di chuyển HĐ số 14217539</t>
  </si>
  <si>
    <t>Chi phí đi lại, di chuyển HĐ số 14263450</t>
  </si>
  <si>
    <t>0315827587</t>
  </si>
  <si>
    <t>Chi phí tiếp khách, ngoại giao HĐ số 00015133</t>
  </si>
  <si>
    <t>0316680224</t>
  </si>
  <si>
    <t>Doanh thu Dịch vụ quảng cáo và truyền thông theo Hợp đồng số 001/0207/25/HĐDV/LEMON-CN/CANON ký ngày 02/07/2025 (Đợt 1)	 HĐ số 00000007</t>
  </si>
  <si>
    <t>BN</t>
  </si>
  <si>
    <t>Nộp Thuế GTGT, TNCN sàn TMĐT 02/07/2025</t>
  </si>
  <si>
    <t xml:space="preserve">Nhận Doanh thu Dịch vụ quảng cáo và truyền thông theo Hợp đồng số 001/0207/25/HĐDV/LEMON-CN/CANON ký ngày 02/07/2025 (Đợt 1)	</t>
  </si>
  <si>
    <t>0314380673</t>
  </si>
  <si>
    <t>Chi phí tiếp khách, ngoại giao HĐ số 00000594</t>
  </si>
  <si>
    <t>Chi phí tiếp khách, ngoại giao HĐ số 00039533</t>
  </si>
  <si>
    <t>Chi phí tiếp khách, ngoại giao HĐ số 00044279</t>
  </si>
  <si>
    <t>0318678340</t>
  </si>
  <si>
    <t>Doanh thu dịch vụ theo bản mô tả công việc của job YSL - FY - CONTENT CREATION - Scope 3 - 2407 số 18542/2025/WPP-BTL-LO HĐ số 00000008</t>
  </si>
  <si>
    <t>Chi phí tiếp khách, ngoại giao HĐ số 00037837</t>
  </si>
  <si>
    <t>Chi phí tiếp khách, ngoại giao HĐ số 00039871</t>
  </si>
  <si>
    <t>Chi phí tiếp khách, ngoại giao HĐ số 00087538</t>
  </si>
  <si>
    <t>0312886947</t>
  </si>
  <si>
    <t>Chi phí đồ dùng văn phòng HĐ số 00203081</t>
  </si>
  <si>
    <t>0313850968</t>
  </si>
  <si>
    <t>Doanh thu Dịch vụ quảng cáo và truyền thông theo Hợp đồng số 062025/HDVTC-REVIEW TAKASHIMAYA/VFLASH-CỔ NGÂN OFFICIAL ký ngày 07/07/2025	 HĐ số 00000009</t>
  </si>
  <si>
    <t xml:space="preserve">Nhận Doanh thu Dịch vụ quảng cáo và truyền thông theo Hợp đồng số 062025/HDVTC-REVIEW TAKASHIMAYA/VFLASH-CỔ NGÂN OFFICIAL ký ngày 07/07/2025	</t>
  </si>
  <si>
    <t>Chi phí tiếp khách, ngoại giao HĐ số 00088030</t>
  </si>
  <si>
    <t>Chi phí tiếp khách, ngoại giao HĐ số 00040263</t>
  </si>
  <si>
    <t>Chi phí đồ dùng văn phòng HĐ số 00206673</t>
  </si>
  <si>
    <t>Điều chỉnh giảm Chi phí đồ dùng văn phòng HĐ số 00206674</t>
  </si>
  <si>
    <t>Doanh thu Dịch vụ quảng cáo và truyền thông theo Hợp đồng số T08C25HDDV-0154-0445 COKIMNGAN ký ngày 16/05/2025 (Đợt 1)	 HĐ số 00000010</t>
  </si>
  <si>
    <t>Chi phí tiếp khách, ngoại giao HĐ số 00088552</t>
  </si>
  <si>
    <t>Doanh thu Dịch vụ quảng cáo và truyền thông theo Hợp đồng số 001/0207/25/HĐDV/LEMON-CN/CANON ký ngày 02/07/2025 (Đợt 2) và Biên bản nghiệm thu ký ngày 23/07/2025	 HĐ số 00000011</t>
  </si>
  <si>
    <t>0318623817</t>
  </si>
  <si>
    <t>Chi phí tiếp khách, ngoại giao HĐ số 00017352</t>
  </si>
  <si>
    <t>Chi phí tiếp khách, ngoại giao HĐ số 00089081</t>
  </si>
  <si>
    <t>Chi phí tiếp khách, ngoại giao HĐ số 00040772</t>
  </si>
  <si>
    <t>0311241512</t>
  </si>
  <si>
    <t>Chi phí tiếp khách, ngoại giao HĐ số 00231822</t>
  </si>
  <si>
    <t>Chi phí tiếp khách, ngoại giao HĐ số 02355182</t>
  </si>
  <si>
    <t>0108046916</t>
  </si>
  <si>
    <t>Doanh thu cung cấp dịch vụ cho nhãn hàng OMO theo hợp đồng số: 2803/2025/HĐDV - LING/ BNT – CNO và Biên bản nghiệm thu và thanh lý hợp đồng ký ngày 24/07/2025 (Lần 2) HĐ số 00000012</t>
  </si>
  <si>
    <t>Nộp Thuế GTGT, TNCN 2025/Q2</t>
  </si>
  <si>
    <t>Chi phí đi lại, di chuyển HĐ số 16873500</t>
  </si>
  <si>
    <t>Chi phí đi lại, di chuyển HĐ số 15903893</t>
  </si>
  <si>
    <t>Chi phí đi lại, di chuyển HĐ số 15962938</t>
  </si>
  <si>
    <t>Chi phí đi lại, di chuyển HĐ số 17243585</t>
  </si>
  <si>
    <t>Chi phí tiếp khách, ngoại giao HĐ số 00041162</t>
  </si>
  <si>
    <t>0100230800</t>
  </si>
  <si>
    <t>Lãi tiền gửi</t>
  </si>
  <si>
    <t>Chi phí tiếp khách, ngoại giao HĐ số 00009221</t>
  </si>
  <si>
    <t>Chi phí tiếp khách, ngoại giao HĐ số 00041444</t>
  </si>
  <si>
    <t>Chi phí tiếp khách, ngoại giao HĐ số 00090799</t>
  </si>
  <si>
    <t>Chi phí tiếp khách, ngoại giao HĐ số 00041618</t>
  </si>
  <si>
    <t>Chi phí tiếp khách, ngoại giao HĐ số 00091358</t>
  </si>
  <si>
    <t>Chi phí tiếp khách, ngoại giao HĐ số 00041852</t>
  </si>
  <si>
    <t>0311187079</t>
  </si>
  <si>
    <t>Chi phí tiếp khách, ngoại giao HĐ số 00088135</t>
  </si>
  <si>
    <t>Chi phí đi lại, di chuyển HĐ số 17045793</t>
  </si>
  <si>
    <t>Chi phí đi lại, di chuyển HĐ số 18569811</t>
  </si>
  <si>
    <t>Chi phí tiếp khách, ngoại giao HĐ số 00091869</t>
  </si>
  <si>
    <t>0314299599-002</t>
  </si>
  <si>
    <t>Chi phí tiếp khách, ngoại giao HĐ số 00013691</t>
  </si>
  <si>
    <t>0306049362</t>
  </si>
  <si>
    <t>Chi phí tiếp khách, ngoại giao HĐ số 00002413</t>
  </si>
  <si>
    <t>Chi phí tiếp khách, ngoại giao HĐ số 00092441</t>
  </si>
  <si>
    <t>0000000003</t>
  </si>
  <si>
    <t>Chi phí bảo hiểm tháng 2025.07</t>
  </si>
  <si>
    <t>Nhận Doanh thu dịch vụ theo bản mô tả công việc của job YSL - FY - CONTENT CREATION - Scope 3 - 2407 số 18542/2025/WPP-BTL-LO</t>
  </si>
  <si>
    <t>Chi phí tiếp khách, ngoại giao HĐ số 00092917</t>
  </si>
  <si>
    <t>Chi phí đi lại, di chuyển HĐ số 19485291</t>
  </si>
  <si>
    <t>Chi phí đi lại, di chuyển HĐ số 19636688</t>
  </si>
  <si>
    <t>0312345017</t>
  </si>
  <si>
    <t>Chi phí tiếp khách, ngoại giao HĐ số 00002447</t>
  </si>
  <si>
    <t>0314299599-006</t>
  </si>
  <si>
    <t>Chi phí tiếp khách, ngoại giao HĐ số 00018091</t>
  </si>
  <si>
    <t>Chi phí tiếp khách, ngoại giao HĐ số 00093680</t>
  </si>
  <si>
    <t>Chi phí tiếp khách, ngoại giao HĐ số 00042939</t>
  </si>
  <si>
    <t>0109998900</t>
  </si>
  <si>
    <t>Phí dịch vụ tư vấn thuế - kế toán 2025/07 HĐ số 00000093</t>
  </si>
  <si>
    <t>Chi phí tiếp khách, ngoại giao HĐ số 00043109</t>
  </si>
  <si>
    <t>Chi phí tiếp khách, ngoại giao HĐ số 00094081</t>
  </si>
  <si>
    <t>Thuế GTGT, TNCN sàn TMĐT 04/08/2025</t>
  </si>
  <si>
    <t>0107779452-003</t>
  </si>
  <si>
    <t>Chi phí tiếp khách, ngoại giao HĐ số 00005150</t>
  </si>
  <si>
    <t>Chi phí tiếp khách, ngoại giao HĐ số 00094589</t>
  </si>
  <si>
    <t>Doanh thu dịch vụ OAP - Lumi Blush &amp; Setting Mist - Video - Scope 2 - 1008 số No. 19832/2025/WPP-BTL-LO cokimngann HĐ số 00000013</t>
  </si>
  <si>
    <t>Điều chỉnh giảm Doanh thu dịch vụ OAP - Lumi Blush &amp; Setting Mist - Video - Scope 2 - 1008 số No. 19832/2025/WPP-BTL-LO cokimngann HĐ số 00000013</t>
  </si>
  <si>
    <t>Chi phí tiếp khách, ngoại giao HĐ số 00095096</t>
  </si>
  <si>
    <t>0318648794</t>
  </si>
  <si>
    <t>Doanh thu quảng cáo theo Hợp đồng số 2806025/HDDV/TCC-CONGAN ký ngày 28/06/2025 và Biên bản nghiệm thu hợp đồng 2806025/HDDV/TCC-CONGAN ký ngày 06/08/2025 HĐ số 00000014</t>
  </si>
  <si>
    <t>0316126993</t>
  </si>
  <si>
    <t>Doanh thu Dịch vụ quảng cáo và truyền thông theo Hợp đồng số 20250216/HDDV/MTC-KOL ký ngày 01/08/2025 (Đợt 1)	 HĐ số 00000015</t>
  </si>
  <si>
    <t>Điều chỉnh giảm Doanh thu Dịch vụ quảng cáo và truyền thông theo Hợp đồng số 20250216/HDDV/MTC-KOL ký ngày 01/08/2025 (Đợt 1)	 HĐ số 00000015</t>
  </si>
  <si>
    <t>0317557505</t>
  </si>
  <si>
    <t>Chi phí tiếp khách, ngoại giao HĐ số 00169874</t>
  </si>
  <si>
    <t>Chi phí tiếp khách, ngoại giao HĐ số 00095598</t>
  </si>
  <si>
    <t>Chi phí tiếp khách, ngoại giao HĐ số 00060128</t>
  </si>
  <si>
    <t>0317581963</t>
  </si>
  <si>
    <t>Doanh thu Dịch vụ quảng cáo và truyền thông theo Hợp đồng số CREATIVE/05/170725 ký ngày 17/07/2025 và Biên bản nghiệm thu ký ngày 07/08/2025	 HĐ số 00000018</t>
  </si>
  <si>
    <t>Điều chỉnh giảm Doanh thu Dịch vụ quảng cáo và truyền thông theo Hợp đồng số CREATIVE/05/170725 ký ngày 17/07/2025 và Biên bản nghiệm thu ký ngày 07/08/2025	 HĐ số 00000018</t>
  </si>
  <si>
    <t>Nhận Doanh thu quảng cáo theo Hợp đồng số 2806025/HDDV/TCC-CONGAN ký ngày 28/06/2025 và Biên bản nghiệm thu hợp đồng 2806025/HDDV/TCC-CONGAN ký ngày 06/08/2025</t>
  </si>
  <si>
    <t>Chi phí đi lại, di chuyển HĐ số 20146534</t>
  </si>
  <si>
    <t>Chi phí đi lại, di chuyển HĐ số 21480183</t>
  </si>
  <si>
    <t>Chi phí tiếp khách, ngoại giao HĐ số 00009164</t>
  </si>
  <si>
    <t>Chi phí tiếp khách, ngoại giao HĐ số 00096226</t>
  </si>
  <si>
    <t>Doanh thu Phí sử dụng hình ảnh theo Hợp đồng số CREATIVE/03/290725 ký ngày 29/07/2025	 HĐ số 00000019</t>
  </si>
  <si>
    <t>Điều chỉnh giảm Doanh thu Phí sử dụng hình ảnh theo Hợp đồng số CREATIVE/03/290725 ký ngày 29/07/2025	 HĐ số 00000019</t>
  </si>
  <si>
    <t xml:space="preserve">Nhận Doanh thu Dịch vụ quảng cáo và truyền thông theo Hợp đồng số 20250216/HDDV/MTC-KOL ký ngày 01/08/2025 (Đợt 1)	</t>
  </si>
  <si>
    <t>Chi phí đi lại, di chuyển HĐ số 21967583</t>
  </si>
  <si>
    <t>Chi phí tiếp khách, ngoại giao HĐ số 00061210</t>
  </si>
  <si>
    <t>Chi phí đi lại, di chuyển HĐ số 22243851</t>
  </si>
  <si>
    <t>Chi phí đi lại, di chuyển HĐ số 22394209</t>
  </si>
  <si>
    <t>Chi phí tiếp khách, ngoại giao HĐ số 00061943</t>
  </si>
  <si>
    <t>Chi phí dịch vụ giúp việc HĐ số 00013899</t>
  </si>
  <si>
    <t>Chi phí tiếp khách, ngoại giao HĐ số 00097463</t>
  </si>
  <si>
    <t>Chi phí tiếp khách, ngoại giao HĐ số 00062413</t>
  </si>
  <si>
    <t xml:space="preserve">Nhận Doanh thu Phí sử dụng hình ảnh theo Hợp đồng số CREATIVE/03/290725 ký ngày 29/07/2025	</t>
  </si>
  <si>
    <t>Chi phí tiếp khách, ngoại giao HĐ số 00044747</t>
  </si>
  <si>
    <t>0315194091</t>
  </si>
  <si>
    <t>Chi phí tiếp khách, ngoại giao HĐ số 00000377</t>
  </si>
  <si>
    <t>Chi phí tiếp khách, ngoại giao HĐ số 00097946</t>
  </si>
  <si>
    <t>Chi phí tiếp khách, ngoại giao HĐ số 00009774</t>
  </si>
  <si>
    <t>Chi phí tiếp khách, ngoại giao HĐ số 00098401</t>
  </si>
  <si>
    <t>Chi phí tiếp khách, ngoại giao HĐ số 00094177</t>
  </si>
  <si>
    <t>Chi phí tiếp khách, ngoại giao HĐ số 00098873</t>
  </si>
  <si>
    <t>Chi phí tiếp khách, ngoại giao HĐ số 00045215</t>
  </si>
  <si>
    <t>Doanh thu Dịch vụ quảng cáo và truyền thông theo Hợp đồng số 20250216/HDDV/MTC-KOL ký ngày 01/08/2025 (Đợt 2) và Biên bản nghiệm thu ký ngày 14/08/2025	 HĐ số 00000020</t>
  </si>
  <si>
    <t>Điều chỉnh giảm Doanh thu Dịch vụ quảng cáo và truyền thông theo Hợp đồng số 20250216/HDDV/MTC-KOL ký ngày 01/08/2025 (Đợt 2) và Biên bản nghiệm thu ký ngày 14/08/2025	 HĐ số 00000020</t>
  </si>
  <si>
    <t>0108392659-001</t>
  </si>
  <si>
    <t>Chi phí tiếp khách, ngoại giao HĐ số 00770982</t>
  </si>
  <si>
    <t>Chi phí tiếp khách, ngoại giao HĐ số 00099401</t>
  </si>
  <si>
    <t>Chi phí tiếp khách, ngoại giao HĐ số 00064576</t>
  </si>
  <si>
    <t>Doanh thu dịch vụ OAP - Lumi Blush &amp; Setting Mist - Video - Scope 2 - 1008 số No. 19832/2025/WPP-BTL-LO cokimngann HĐ số 00000021</t>
  </si>
  <si>
    <t>Điều chỉnh giảm Doanh thu dịch vụ OAP - Lumi Blush &amp; Setting Mist - Video - Scope 2 - 1008 số No. 19832/2025/WPP-BTL-LO cokimngann HĐ số 00000021</t>
  </si>
  <si>
    <t>Nhận Doanh thu dịch vụ OAP - Lumi Blush &amp; Setting Mist - Video - Scope 2 - 1008 số No. 19832/2025/WPP-BTL-LO cokimngann</t>
  </si>
  <si>
    <t>Chi phí đi lại, di chuyển HĐ số 24427421</t>
  </si>
  <si>
    <t>Chi phí tiếp khách, ngoại giao HĐ số 00001814</t>
  </si>
  <si>
    <t>Chi phí tiếp khách, ngoại giao HĐ số 00065076</t>
  </si>
  <si>
    <t>Chi phí tiếp khách, ngoại giao HĐ số 00079632</t>
  </si>
  <si>
    <t>Chi phí đi lại, di chuyển HĐ số 24818459</t>
  </si>
  <si>
    <t>Chi phí tiếp khách, ngoại giao HĐ số 00100590</t>
  </si>
  <si>
    <t>Chi phí tiếp khách, ngoại giao HĐ số 00074376</t>
  </si>
  <si>
    <t>Chi phí tiếp khách, ngoại giao HĐ số 00100685</t>
  </si>
  <si>
    <t xml:space="preserve">Nhận Doanh thu Dịch vụ quảng cáo và truyền thông theo Hợp đồng số 001/0207/25/HĐDV/LEMON-CN/CANON ký ngày 02/07/2025 (Đợt 2) và Biên bản nghiệm thu ký ngày 23/07/2025	</t>
  </si>
  <si>
    <t>Chi phí đi lại, di chuyển HĐ số 25369313</t>
  </si>
  <si>
    <t>Chi phí tiếp khách, ngoại giao HĐ số 00101080</t>
  </si>
  <si>
    <t>Chi phí tiếp khách, ngoại giao HĐ số 00066607</t>
  </si>
  <si>
    <t>Chi phí tiếp khách, ngoại giao HĐ số 00066609</t>
  </si>
  <si>
    <t>Chi phí tiếp khách, ngoại giao HĐ số 00019586</t>
  </si>
  <si>
    <t>Chi phí đi lại, di chuyển HĐ số 25442022</t>
  </si>
  <si>
    <t>Chi phí đi lại, di chuyển HĐ số 25735458</t>
  </si>
  <si>
    <t>Chi phí tiếp khách, ngoại giao HĐ số 00101554</t>
  </si>
  <si>
    <t>Chi phí tiếp khách, ngoại giao HĐ số 00067226</t>
  </si>
  <si>
    <t xml:space="preserve">Nhận Doanh thu Dịch vụ quảng cáo và truyền thông theo Hợp đồng số CREATIVE/05/170725 ký ngày 17/07/2025 và Biên bản nghiệm thu ký ngày 07/08/2025	</t>
  </si>
  <si>
    <t>Chi phí tiếp khách, ngoại giao HĐ số 00102124</t>
  </si>
  <si>
    <t>Chi phí tiếp khách, ngoại giao HĐ số 00046740</t>
  </si>
  <si>
    <t>0314299599-001</t>
  </si>
  <si>
    <t>Chi phí tiếp khách, ngoại giao HĐ số 00013874</t>
  </si>
  <si>
    <t>0313658809</t>
  </si>
  <si>
    <t>Doanh thu Cung cấp dịch vụ đợt 1 (50%) Hợp đồng số HĐ/1758/2025/METUB ký ngày 01/07/2025	 HĐ số 00000022</t>
  </si>
  <si>
    <t>Điều chỉnh giảm Doanh thu Cung cấp dịch vụ đợt 1 (50%) Hợp đồng số HĐ/1758/2025/METUB ký ngày 01/07/2025	 HĐ số 00000022</t>
  </si>
  <si>
    <t>Chi phí tiếp khách, ngoại giao HĐ số 00102574</t>
  </si>
  <si>
    <t>Chi phí tiếp khách, ngoại giao HĐ số 00068084</t>
  </si>
  <si>
    <t>Chi phí đi lại, di chuyển HĐ số 26739985</t>
  </si>
  <si>
    <t>Chi phí tiếp khách, ngoại giao HĐ số 00068718</t>
  </si>
  <si>
    <t>Chi phí tiếp khách, ngoại giao HĐ số 00068719</t>
  </si>
  <si>
    <t>Chi phí tiếp khách, ngoại giao HĐ số 00082085</t>
  </si>
  <si>
    <t>Chi phí tiếp khách, ngoại giao HĐ số 00103615</t>
  </si>
  <si>
    <t>Doanh thu Dịch vụ quảng cáo và truyền thông theo Hợp đồng số T08C25HDDV-0154-0445 COKIMNGAN ký ngày 16/05/2025 (Đợt 2) và Biên bản nghiệm thu ký ngày 25/08/2025	 HĐ số 00000023</t>
  </si>
  <si>
    <t>Điều chỉnh giảm Doanh thu Dịch vụ quảng cáo và truyền thông theo Hợp đồng số T08C25HDDV-0154-0445 COKIMNGAN ký ngày 16/05/2025 (Đợt 2) và Biên bản nghiệm thu ký ngày 25/08/2025	 HĐ số 00000023</t>
  </si>
  <si>
    <t xml:space="preserve">Nhận Doanh thu Dịch vụ quảng cáo và truyền thông theo Hợp đồng số 20250216/HDDV/MTC-KOL ký ngày 01/08/2025 (Đợt 2) và Biên bản nghiệm thu ký ngày 14/08/2025	</t>
  </si>
  <si>
    <t>0000000001</t>
  </si>
  <si>
    <t>Chi phí đi lại, di chuyển HĐ số 1279794448</t>
  </si>
  <si>
    <t>Chi phí đi lại, di chuyển HĐ số 1279792435</t>
  </si>
  <si>
    <t>Chi phí tiếp khách, ngoại giao HĐ số 00104109</t>
  </si>
  <si>
    <t>Doanh thu Dịch vụ quảng cáo và truyền thông theo Hợp đồng số 20250720/HMC-HKD CONGAN-REVIEW ký ngày 20/07/2025 và Biên bản nghiệm thu ký ngày 26/08/2025	 HĐ số 00000024</t>
  </si>
  <si>
    <t>Điều chỉnh giảm Doanh thu Dịch vụ quảng cáo và truyền thông theo Hợp đồng số 20250720/HMC-HKD CONGAN-REVIEW ký ngày 20/07/2025 và Biên bản nghiệm thu ký ngày 26/08/2025	 HĐ số 00000024</t>
  </si>
  <si>
    <t xml:space="preserve">Nhận Doanh thu Cung cấp dịch vụ đợt 1 (50%) Hợp đồng số HĐ/1758/2025/METUB ký ngày 01/07/2025	</t>
  </si>
  <si>
    <t>0313581779</t>
  </si>
  <si>
    <t>Chi phí đi lại, di chuyển HĐ số 42951</t>
  </si>
  <si>
    <t>Chi phí đi lại, di chuyển HĐ số 42952</t>
  </si>
  <si>
    <t>Chi phí đi lại, di chuyển HĐ số 42955</t>
  </si>
  <si>
    <t>Chi phí đi lại, di chuyển HĐ số 42956</t>
  </si>
  <si>
    <t>Chi phí tiếp khách, ngoại giao HĐ số 00104634</t>
  </si>
  <si>
    <t>Chi phí tiếp khách, ngoại giao HĐ số 00047960</t>
  </si>
  <si>
    <t>Nhận Doanh thu cung cấp dịch vụ cho nhãn hàng OMO theo hợp đồng số: 2803/2025/HĐDV - LING/ BNT – CNO và Biên bản nghiệm thu và thanh lý hợp đồng ký ngày 24/07/2025 (Lần 2)</t>
  </si>
  <si>
    <t>0000000002</t>
  </si>
  <si>
    <t>Tạm ứng tiền sản phẩm</t>
  </si>
  <si>
    <t>Hoàn ứng tiền sản phẩm</t>
  </si>
  <si>
    <t>Chi phí tiếp khách, ngoại giao HĐ số 00071120</t>
  </si>
  <si>
    <t>Chi phí đi lại, di chuyển HĐ số 43298</t>
  </si>
  <si>
    <t>Chi phí tiếp khách, ngoại giao HĐ số 00105594</t>
  </si>
  <si>
    <t>Chi phí tiếp khách, ngoại giao HĐ số 00414243</t>
  </si>
  <si>
    <t>0312885005</t>
  </si>
  <si>
    <t>Doanh thu Dịch vụ quảng cáo và truyền thông theo Hợp đồng số 25072025/HĐDV-ZEE-SKII-CONGAN ký ngày 25/07/2025 và Biên bản nghiệm thu ký ngày 29/08/2025	 HĐ số 00000025</t>
  </si>
  <si>
    <t>Điều chỉnh giảm Doanh thu Dịch vụ quảng cáo và truyền thông theo Hợp đồng số 25072025/HĐDV-ZEE-SKII-CONGAN ký ngày 25/07/2025 và Biên bản nghiệm thu ký ngày 29/08/2025	 HĐ số 00000025</t>
  </si>
  <si>
    <t xml:space="preserve">Nhận Doanh thu Dịch vụ quảng cáo và truyền thông theo Hợp đồng số 20250720/HMC-HKD CONGAN-REVIEW ký ngày 20/07/2025 và Biên bản nghiệm thu ký ngày 26/08/2025	</t>
  </si>
  <si>
    <t>Chi phí tiếp khách, ngoại giao HĐ số 00105884</t>
  </si>
  <si>
    <t>Chi phí tiếp khách, ngoại giao HĐ số 00072046</t>
  </si>
  <si>
    <t>Chi phí bảo hiểm tháng 2025.08</t>
  </si>
  <si>
    <t>Nộp Chi phí bảo hiểm tháng 2025.08</t>
  </si>
  <si>
    <t>Rút tiền mặt nhập quỹ</t>
  </si>
  <si>
    <t>Chi phí tiếp khách, ngoại giao HĐ số 00072874</t>
  </si>
  <si>
    <t>Chi phí tiếp khách, ngoại giao HĐ số 00018946</t>
  </si>
  <si>
    <t>Chi phí tiếp khách, ngoại giao HĐ số 02852882</t>
  </si>
  <si>
    <t>Chi phí tiếp khách, ngoại giao HĐ số 00049212</t>
  </si>
  <si>
    <t>0315803699</t>
  </si>
  <si>
    <t>Doanh thu dịch vụ hợp đồng số 10972025/HĐDV/Y&amp;B ký ngày 28/07/2025 (Đợt 1)	 HĐ số 00000026</t>
  </si>
  <si>
    <t>Điều chỉnh giảm Doanh thu dịch vụ hợp đồng số 10972025/HĐDV/Y&amp;B ký ngày 28/07/2025 (Đợt 1)	 HĐ số 00000026</t>
  </si>
  <si>
    <t>Nộp Thuế GTGT, TNCN sàn TMĐT 04/08/2025</t>
  </si>
  <si>
    <t xml:space="preserve">Nhận Doanh thu dịch vụ hợp đồng số 10972025/HĐDV/Y&amp;B ký ngày 28/07/2025 (Đợt 1)	</t>
  </si>
  <si>
    <t>Chi phí tiếp khách, ngoại giao HĐ số 00107566</t>
  </si>
  <si>
    <t>Chi phí tiếp khách, ngoại giao HĐ số 00107736</t>
  </si>
  <si>
    <t>Phí dịch vụ tư vấn thuế - kế toán 2025/08 HĐ số 00000121</t>
  </si>
  <si>
    <t>Chi phí dịch vụ giúp việc HĐ số 00024181</t>
  </si>
  <si>
    <t>0106773786</t>
  </si>
  <si>
    <t>Chi phí dịch vụ Affiliate 2025.08 HĐ số 01423676</t>
  </si>
  <si>
    <t>Chi phí tiếp khách, ngoại giao HĐ số 00108066</t>
  </si>
  <si>
    <t>0303254860</t>
  </si>
  <si>
    <t>Chi phí dịch vụ văn phòng HĐ số 00007988</t>
  </si>
  <si>
    <t>Chi phí tiếp khách, ngoại giao HĐ số 00074642</t>
  </si>
  <si>
    <t>0318751350</t>
  </si>
  <si>
    <t>Chi phí tiếp khách, ngoại giao HĐ số 00004384</t>
  </si>
  <si>
    <t>Chi phí đi lại, di chuyển HĐ số 31477457</t>
  </si>
  <si>
    <t>Chi phí đi lại, di chuyển HĐ số 31574226</t>
  </si>
  <si>
    <t>Chi phí đi lại, di chuyển HĐ số 31752124</t>
  </si>
  <si>
    <t>Chi phí tiếp khách, ngoại giao HĐ số 00109098</t>
  </si>
  <si>
    <t>Chi phí đi lại, di chuyển HĐ số 31973651</t>
  </si>
  <si>
    <t>Doanh thu dịch vụ hợp đồng số 10972025/HĐDV/Y&amp;B ký ngày 28/07/2025 (Đợt 2) và Biên bản nghiệm thu số 10972025/BBNT-TT/Y&amp;B ký ngày 09/09/2025 HĐ số 00000027</t>
  </si>
  <si>
    <t>Điều chỉnh giảm Doanh thu dịch vụ hợp đồng số 10972025/HĐDV/Y&amp;B ký ngày 28/07/2025 (Đợt 2) và Biên bản nghiệm thu số 10972025/BBNT-TT/Y&amp;B ký ngày 09/09/2025 HĐ số 00000027</t>
  </si>
  <si>
    <t>Chi phí tiếp khách, ngoại giao HĐ số 00110121</t>
  </si>
  <si>
    <t>Chi phí tiếp khách, ngoại giao HĐ số 00110682</t>
  </si>
  <si>
    <t xml:space="preserve">Nhận Doanh thu Dịch vụ quảng cáo và truyền thông theo Hợp đồng số 25072025/HĐDV-ZEE-SKII-CONGAN ký ngày 25/07/2025 và Biên bản nghiệm thu ký ngày 29/08/2025	</t>
  </si>
  <si>
    <t>Chi phí đi lại, di chuyển HĐ số 33540997</t>
  </si>
  <si>
    <t>Chi phí tiếp khách, ngoại giao HĐ số 00020698</t>
  </si>
  <si>
    <t>0110269067-006</t>
  </si>
  <si>
    <t>Chi phí đi lại, di chuyển HĐ số 00362082</t>
  </si>
  <si>
    <t>0312065210-017</t>
  </si>
  <si>
    <t>Chi phí tiếp khách, ngoại giao HĐ số 00066712</t>
  </si>
  <si>
    <t>0312151237</t>
  </si>
  <si>
    <t>Chi phí tiếp khách, ngoại giao HĐ số 00235064</t>
  </si>
  <si>
    <t>Nhận Doanh thu dịch vụ hợp đồng số 10972025/HĐDV/Y&amp;B ký ngày 28/07/2025 (Đợt 2) và Biên bản nghiệm thu số 10972025/BBNT-TT/Y&amp;B ký ngày 09/09/2025</t>
  </si>
  <si>
    <t>0318782567</t>
  </si>
  <si>
    <t>Chi phí vận chuyển HĐ số 00015559</t>
  </si>
  <si>
    <t>Chi phí tiếp khách, ngoại giao HĐ số 00066909</t>
  </si>
  <si>
    <t>Chi phí đi lại, di chuyển HĐ số 34832316</t>
  </si>
  <si>
    <t>Chi phí đi lại, di chuyển HĐ số 00368772</t>
  </si>
  <si>
    <t>Chi phí tiếp khách, ngoại giao HĐ số 00066971</t>
  </si>
  <si>
    <t>Chi phí đi lại, di chuyển HĐ số 34982806</t>
  </si>
  <si>
    <t>Chi phí đi lại, di chuyển HĐ số 35026284</t>
  </si>
  <si>
    <t>Chi phí đi lại, di chuyển HĐ số 35069082</t>
  </si>
  <si>
    <t>Chi phí đi lại, di chuyển HĐ số 35307102</t>
  </si>
  <si>
    <t>Chi phí đi lại, di chuyển HĐ số 35353357</t>
  </si>
  <si>
    <t>Chi phí đi lại, di chuyển HĐ số 35418400</t>
  </si>
  <si>
    <t>0317472153</t>
  </si>
  <si>
    <t>Chi phí tiếp khách, ngoại giao HĐ số 00007950</t>
  </si>
  <si>
    <t>Chi phí đi lại, di chuyển HĐ số 33551506</t>
  </si>
  <si>
    <t>Chi phí đi lại, di chuyển HĐ số 35703697</t>
  </si>
  <si>
    <t>Chi phí đi lại, di chuyển HĐ số 35739016</t>
  </si>
  <si>
    <t>Chi phí đi lại, di chuyển HĐ số 36023606</t>
  </si>
  <si>
    <t>Chi phí đi lại, di chuyển HĐ số 36056566</t>
  </si>
  <si>
    <t>0301464781</t>
  </si>
  <si>
    <t>Chi phí tiếp khách, ngoại giao HĐ số 00034930</t>
  </si>
  <si>
    <t>Chi phí tiếp khách, ngoại giao HĐ số 00115665</t>
  </si>
  <si>
    <t>Chi phí tiếp khách, ngoại giao HĐ số 00115684</t>
  </si>
  <si>
    <t>Chi phí tiếp khách, ngoại giao HĐ số 00112050</t>
  </si>
  <si>
    <t>Chi phí tiếp khách, ngoại giao HĐ số 00053545</t>
  </si>
  <si>
    <t>0308361626</t>
  </si>
  <si>
    <t>Chi phí tiếp khách, ngoại giao HĐ số 00018983</t>
  </si>
  <si>
    <t>0314777492</t>
  </si>
  <si>
    <t>Doanh thu cung cấp dịch vụ đợt 1 theo Hợp đồng số PR25051/17092025/DYSON-UNO-CONGAN ngày 17/09/2025 HĐ số 00000001</t>
  </si>
  <si>
    <t>Điều chỉnh giảm Doanh thu cung cấp dịch vụ đợt 1 theo Hợp đồng số PR25051/17092025/DYSON-UNO-CONGAN ngày 17/09/2025 HĐ số 00000001</t>
  </si>
  <si>
    <t>0318206919</t>
  </si>
  <si>
    <t>Chi phí tiếp khách, ngoại giao HĐ số 00010293</t>
  </si>
  <si>
    <t>Chi phí đi lại, di chuyển HĐ số 37601144</t>
  </si>
  <si>
    <t>Chi phí đi lại, di chuyển HĐ số 37674608</t>
  </si>
  <si>
    <t>Chi phí đi lại, di chuyển HĐ số 37747452</t>
  </si>
  <si>
    <t>0303202799</t>
  </si>
  <si>
    <t>Chi phí tiếp khách, ngoại giao HĐ số 00011629</t>
  </si>
  <si>
    <t>Chi phí tiếp khách, ngoại giao HĐ số 00115503</t>
  </si>
  <si>
    <t>Chi phí tiếp khách, ngoại giao HĐ số 00004443</t>
  </si>
  <si>
    <t>Chi phí tiếp khách, ngoại giao HĐ số 00054479</t>
  </si>
  <si>
    <t>Chi phí đi lại, di chuyển HĐ số 36112036</t>
  </si>
  <si>
    <t>Chi phí đi lại, di chuyển HĐ số 38655798</t>
  </si>
  <si>
    <t>Phí dịch vụ tư vấn thuế - kế toán 2025/09 HĐ số 00000139</t>
  </si>
  <si>
    <t>Chi phí dịch vụ giúp việc HĐ số 00033758</t>
  </si>
  <si>
    <t>Chi phí bảo hiểm tháng 2025.09</t>
  </si>
  <si>
    <t>PC</t>
  </si>
  <si>
    <t>Thanh toán Chi phí đi lại, di chuyển HĐ số 09096622</t>
  </si>
  <si>
    <t>Thanh toán Chi phí tiếp khách, ngoại giao HĐ số 00005088</t>
  </si>
  <si>
    <t>Thanh toán Chi phí tiếp khách, ngoại giao HĐ số 00035865</t>
  </si>
  <si>
    <t>Thanh toán Chi phí đi lại, di chuyển HĐ số 09385452</t>
  </si>
  <si>
    <t>Thanh toán Chi phí tiếp khách, ngoại giao HĐ số 00036057</t>
  </si>
  <si>
    <t>Thanh toán Chi phí đi lại, di chuyển HĐ số 08917836</t>
  </si>
  <si>
    <t>Thanh toán Chi phí đi lại, di chuyển HĐ số 09543039</t>
  </si>
  <si>
    <t>Thanh toán Chi phí đi lại, di chuyển HĐ số 09602980</t>
  </si>
  <si>
    <t>Thanh toán Chi phí đi lại, di chuyển HĐ số 09941494</t>
  </si>
  <si>
    <t>Thanh toán Chi phí tiếp khách, ngoại giao HĐ số 00036507</t>
  </si>
  <si>
    <t>Thanh toán Chi phí đi lại, di chuyển HĐ số 09789353</t>
  </si>
  <si>
    <t>Thanh toán Chi phí đi lại, di chuyển HĐ số 10682650</t>
  </si>
  <si>
    <t>Thanh toán Chi phí đi lại, di chuyển HĐ số 10715218</t>
  </si>
  <si>
    <t>Thanh toán Chi phí đi lại, di chuyển HĐ số 10826813</t>
  </si>
  <si>
    <t>Thanh toán Chi phí tiếp khách, ngoại giao HĐ số 00052407</t>
  </si>
  <si>
    <t>Thanh toán Chi phí tiếp khách, ngoại giao HĐ số 02154283</t>
  </si>
  <si>
    <t>Thanh toán Chi phí đi lại, di chuyển HĐ số 11043881</t>
  </si>
  <si>
    <t>Thanh toán Chi phí đi lại, di chuyển HĐ số 11090226</t>
  </si>
  <si>
    <t>Thanh toán Chi phí đi lại, di chuyển HĐ số 11137620</t>
  </si>
  <si>
    <t>Thanh toán Chi phí tiếp khách, ngoại giao HĐ số 00037030</t>
  </si>
  <si>
    <t>Thanh toán Chi phí tiếp khách, ngoại giao HĐ số 00002629</t>
  </si>
  <si>
    <t>Thanh toán Chi phí tiếp khách, ngoại giao HĐ số 00037204</t>
  </si>
  <si>
    <t>Thanh toán Chi phí đi lại, di chuyển HĐ số 11544086</t>
  </si>
  <si>
    <t>Thanh toán Chi phí đi lại, di chuyển HĐ số 11586768</t>
  </si>
  <si>
    <t>Thanh toán Chi phí đi lại, di chuyển HĐ số 11632474</t>
  </si>
  <si>
    <t>Thanh toán Chi phí đi lại, di chuyển HĐ số 11693772</t>
  </si>
  <si>
    <t>Thanh toán Chi phí đi lại, di chuyển HĐ số 11765838</t>
  </si>
  <si>
    <t>Thanh toán Chi phí tiếp khách, ngoại giao HĐ số 00152377</t>
  </si>
  <si>
    <t>Thanh toán Chi phí tiếp khách, ngoại giao HĐ số 00037735</t>
  </si>
  <si>
    <t>Thanh toán Chi phí tiếp khách, ngoại giao HĐ số 00037948</t>
  </si>
  <si>
    <t>Thanh toán Chi phí đi lại, di chuyển HĐ số 12573000</t>
  </si>
  <si>
    <t>Thanh toán Chi phí đi lại, di chuyển HĐ số 12587035</t>
  </si>
  <si>
    <t>Thanh toán Chi phí đi lại, di chuyển HĐ số 12714333</t>
  </si>
  <si>
    <t>Thanh toán Chi phí đi lại, di chuyển HĐ số 12931545</t>
  </si>
  <si>
    <t>Thanh toán Chi phí đi lại, di chuyển HĐ số 12970233</t>
  </si>
  <si>
    <t>Thanh toán Chi phí đi lại, di chuyển HĐ số 13039084</t>
  </si>
  <si>
    <t>Thanh toán Chi phí đi lại, di chuyển HĐ số 13093981</t>
  </si>
  <si>
    <t>Thanh toán Chi phí tiếp khách, ngoại giao HĐ số 00002814</t>
  </si>
  <si>
    <t>Thanh toán Chi phí tiếp khách, ngoại giao HĐ số 00064515</t>
  </si>
  <si>
    <t>Thanh toán Chi phí tiếp khách, ngoại giao HĐ số 00038646</t>
  </si>
  <si>
    <t>Thanh toán Chi phí tiếp khách, ngoại giao HĐ số 00005864</t>
  </si>
  <si>
    <t>Thanh toán Chi phí dịch vụ giúp việc HĐ số 00002750</t>
  </si>
  <si>
    <t>Thanh toán Chi phí tiếp khách, ngoại giao HĐ số 00006828</t>
  </si>
  <si>
    <t>Thanh toán Chi phí đi lại, di chuyển HĐ số 14181246</t>
  </si>
  <si>
    <t>Thanh toán Chi phí đi lại, di chuyển HĐ số 14217539</t>
  </si>
  <si>
    <t>Thanh toán Chi phí đi lại, di chuyển HĐ số 14263450</t>
  </si>
  <si>
    <t>Thanh toán Chi phí tiếp khách, ngoại giao HĐ số 00015133</t>
  </si>
  <si>
    <t>Thanh toán Chi phí tiếp khách, ngoại giao HĐ số 00000594</t>
  </si>
  <si>
    <t>Thanh toán Chi phí tiếp khách, ngoại giao HĐ số 00039533</t>
  </si>
  <si>
    <t>Thanh toán Chi phí tiếp khách, ngoại giao HĐ số 00044279</t>
  </si>
  <si>
    <t>Thanh toán Chi phí tiếp khách, ngoại giao HĐ số 00037837</t>
  </si>
  <si>
    <t>Thanh toán Chi phí tiếp khách, ngoại giao HĐ số 00039871</t>
  </si>
  <si>
    <t>Thanh toán Chi phí tiếp khách, ngoại giao HĐ số 00087538</t>
  </si>
  <si>
    <t>Thanh toán Chi phí đồ dùng văn phòng HĐ số 00203081</t>
  </si>
  <si>
    <t>Thanh toán Chi phí tiếp khách, ngoại giao HĐ số 00088030</t>
  </si>
  <si>
    <t>Thanh toán Chi phí tiếp khách, ngoại giao HĐ số 00040263</t>
  </si>
  <si>
    <t>Thanh toán Chi phí tiếp khách, ngoại giao HĐ số 00088552</t>
  </si>
  <si>
    <t>Thanh toán Chi phí tiếp khách, ngoại giao HĐ số 00017352</t>
  </si>
  <si>
    <t>Thanh toán Chi phí tiếp khách, ngoại giao HĐ số 00089081</t>
  </si>
  <si>
    <t>Thanh toán Chi phí tiếp khách, ngoại giao HĐ số 00040772</t>
  </si>
  <si>
    <t>Thanh toán Chi phí tiếp khách, ngoại giao HĐ số 00231822</t>
  </si>
  <si>
    <t>Thanh toán Chi phí tiếp khách, ngoại giao HĐ số 02355182</t>
  </si>
  <si>
    <t>Thanh toán Chi phí đi lại, di chuyển HĐ số 16873500</t>
  </si>
  <si>
    <t>Thanh toán Chi phí đi lại, di chuyển HĐ số 15903893</t>
  </si>
  <si>
    <t>Thanh toán Chi phí đi lại, di chuyển HĐ số 15962938</t>
  </si>
  <si>
    <t>Thanh toán Chi phí đi lại, di chuyển HĐ số 17243585</t>
  </si>
  <si>
    <t>Thanh toán Chi phí tiếp khách, ngoại giao HĐ số 00041162</t>
  </si>
  <si>
    <t>Thanh toán Chi phí tiếp khách, ngoại giao HĐ số 00009221</t>
  </si>
  <si>
    <t>Thanh toán Chi phí tiếp khách, ngoại giao HĐ số 00041444</t>
  </si>
  <si>
    <t>Thanh toán Chi phí tiếp khách, ngoại giao HĐ số 00090799</t>
  </si>
  <si>
    <t>Thanh toán Chi phí tiếp khách, ngoại giao HĐ số 00041618</t>
  </si>
  <si>
    <t>Thanh toán Chi phí tiếp khách, ngoại giao HĐ số 00091358</t>
  </si>
  <si>
    <t>Thanh toán Chi phí tiếp khách, ngoại giao HĐ số 00041852</t>
  </si>
  <si>
    <t>Thanh toán Chi phí tiếp khách, ngoại giao HĐ số 00088135</t>
  </si>
  <si>
    <t>Thanh toán Chi phí đi lại, di chuyển HĐ số 17045793</t>
  </si>
  <si>
    <t>Thanh toán Chi phí đi lại, di chuyển HĐ số 18569811</t>
  </si>
  <si>
    <t>Thanh toán Chi phí tiếp khách, ngoại giao HĐ số 00091869</t>
  </si>
  <si>
    <t>Thanh toán Chi phí tiếp khách, ngoại giao HĐ số 00013691</t>
  </si>
  <si>
    <t>Thanh toán Chi phí tiếp khách, ngoại giao HĐ số 00002413</t>
  </si>
  <si>
    <t>Thanh toán Chi phí tiếp khách, ngoại giao HĐ số 00092441</t>
  </si>
  <si>
    <t>Thanh toán Chi phí tiếp khách, ngoại giao HĐ số 00092917</t>
  </si>
  <si>
    <t>Thanh toán Chi phí đi lại, di chuyển HĐ số 19485291</t>
  </si>
  <si>
    <t>Thanh toán Chi phí đi lại, di chuyển HĐ số 19636688</t>
  </si>
  <si>
    <t>Thanh toán Chi phí tiếp khách, ngoại giao HĐ số 00002447</t>
  </si>
  <si>
    <t>Thanh toán Chi phí tiếp khách, ngoại giao HĐ số 00018091</t>
  </si>
  <si>
    <t>Thanh toán Chi phí tiếp khách, ngoại giao HĐ số 00093680</t>
  </si>
  <si>
    <t>Thanh toán Chi phí tiếp khách, ngoại giao HĐ số 00042939</t>
  </si>
  <si>
    <t>Thanh toán Phí dịch vụ tư vấn thuế - kế toán 2025/07 HĐ số 00000093</t>
  </si>
  <si>
    <t>Thanh toán Chi phí tiếp khách, ngoại giao HĐ số 00043109</t>
  </si>
  <si>
    <t>Thanh toán Chi phí tiếp khách, ngoại giao HĐ số 00094081</t>
  </si>
  <si>
    <t>Thanh toán Chi phí tiếp khách, ngoại giao HĐ số 00005150</t>
  </si>
  <si>
    <t>Thanh toán Chi phí tiếp khách, ngoại giao HĐ số 00094589</t>
  </si>
  <si>
    <t>Thanh toán Chi phí tiếp khách, ngoại giao HĐ số 00095096</t>
  </si>
  <si>
    <t>Thanh toán Chi phí tiếp khách, ngoại giao HĐ số 00169874</t>
  </si>
  <si>
    <t>Thanh toán Chi phí tiếp khách, ngoại giao HĐ số 00095598</t>
  </si>
  <si>
    <t>Thanh toán Chi phí tiếp khách, ngoại giao HĐ số 00060128</t>
  </si>
  <si>
    <t>Thanh toán Chi phí đi lại, di chuyển HĐ số 20146534</t>
  </si>
  <si>
    <t>Thanh toán Chi phí đi lại, di chuyển HĐ số 21480183</t>
  </si>
  <si>
    <t>Thanh toán Chi phí tiếp khách, ngoại giao HĐ số 00009164</t>
  </si>
  <si>
    <t>Thanh toán Chi phí tiếp khách, ngoại giao HĐ số 00096226</t>
  </si>
  <si>
    <t>Thanh toán Chi phí đi lại, di chuyển HĐ số 21967583</t>
  </si>
  <si>
    <t>Thanh toán Chi phí tiếp khách, ngoại giao HĐ số 00061210</t>
  </si>
  <si>
    <t>Thanh toán Chi phí đi lại, di chuyển HĐ số 22243851</t>
  </si>
  <si>
    <t>Thanh toán Chi phí đi lại, di chuyển HĐ số 22394209</t>
  </si>
  <si>
    <t>Thanh toán Chi phí tiếp khách, ngoại giao HĐ số 00061943</t>
  </si>
  <si>
    <t>Thanh toán Chi phí dịch vụ giúp việc HĐ số 00013899</t>
  </si>
  <si>
    <t>Thanh toán Chi phí tiếp khách, ngoại giao HĐ số 00097463</t>
  </si>
  <si>
    <t>Thanh toán Chi phí tiếp khách, ngoại giao HĐ số 00062413</t>
  </si>
  <si>
    <t>Thanh toán Chi phí tiếp khách, ngoại giao HĐ số 00044747</t>
  </si>
  <si>
    <t>Thanh toán Chi phí tiếp khách, ngoại giao HĐ số 00000377</t>
  </si>
  <si>
    <t>Thanh toán Chi phí tiếp khách, ngoại giao HĐ số 00097946</t>
  </si>
  <si>
    <t>Thanh toán Chi phí tiếp khách, ngoại giao HĐ số 00009774</t>
  </si>
  <si>
    <t>Thanh toán Chi phí tiếp khách, ngoại giao HĐ số 00098401</t>
  </si>
  <si>
    <t>Thanh toán Chi phí tiếp khách, ngoại giao HĐ số 00094177</t>
  </si>
  <si>
    <t>Thanh toán Chi phí tiếp khách, ngoại giao HĐ số 00098873</t>
  </si>
  <si>
    <t>Thanh toán Chi phí tiếp khách, ngoại giao HĐ số 00045215</t>
  </si>
  <si>
    <t>Thanh toán Chi phí tiếp khách, ngoại giao HĐ số 00770982</t>
  </si>
  <si>
    <t>Thanh toán Chi phí tiếp khách, ngoại giao HĐ số 00099401</t>
  </si>
  <si>
    <t>Thanh toán Chi phí tiếp khách, ngoại giao HĐ số 00064576</t>
  </si>
  <si>
    <t>Thanh toán Chi phí đi lại, di chuyển HĐ số 24427421</t>
  </si>
  <si>
    <t>Thanh toán Chi phí tiếp khách, ngoại giao HĐ số 00001814</t>
  </si>
  <si>
    <t>Thanh toán Chi phí tiếp khách, ngoại giao HĐ số 00065076</t>
  </si>
  <si>
    <t>Thanh toán Chi phí tiếp khách, ngoại giao HĐ số 00079632</t>
  </si>
  <si>
    <t>Thanh toán Chi phí đi lại, di chuyển HĐ số 24818459</t>
  </si>
  <si>
    <t>Thanh toán Chi phí tiếp khách, ngoại giao HĐ số 00100590</t>
  </si>
  <si>
    <t>Thanh toán Chi phí tiếp khách, ngoại giao HĐ số 00074376</t>
  </si>
  <si>
    <t>Thanh toán Chi phí tiếp khách, ngoại giao HĐ số 00100685</t>
  </si>
  <si>
    <t>Thanh toán Chi phí đi lại, di chuyển HĐ số 25369313</t>
  </si>
  <si>
    <t>Thanh toán Chi phí tiếp khách, ngoại giao HĐ số 00101080</t>
  </si>
  <si>
    <t>Thanh toán Chi phí tiếp khách, ngoại giao HĐ số 00066607</t>
  </si>
  <si>
    <t>Thanh toán Chi phí tiếp khách, ngoại giao HĐ số 00066609</t>
  </si>
  <si>
    <t>Thanh toán Chi phí tiếp khách, ngoại giao HĐ số 00019586</t>
  </si>
  <si>
    <t>Thanh toán Chi phí đi lại, di chuyển HĐ số 25442022</t>
  </si>
  <si>
    <t>Thanh toán Chi phí đi lại, di chuyển HĐ số 25735458</t>
  </si>
  <si>
    <t>Thanh toán Chi phí tiếp khách, ngoại giao HĐ số 00101554</t>
  </si>
  <si>
    <t>Thanh toán Chi phí tiếp khách, ngoại giao HĐ số 00067226</t>
  </si>
  <si>
    <t>Thanh toán Chi phí tiếp khách, ngoại giao HĐ số 00102124</t>
  </si>
  <si>
    <t>Thanh toán Chi phí tiếp khách, ngoại giao HĐ số 00046740</t>
  </si>
  <si>
    <t>Thanh toán Chi phí tiếp khách, ngoại giao HĐ số 00013874</t>
  </si>
  <si>
    <t>Thanh toán Chi phí tiếp khách, ngoại giao HĐ số 00102574</t>
  </si>
  <si>
    <t>Thanh toán Chi phí tiếp khách, ngoại giao HĐ số 00068084</t>
  </si>
  <si>
    <t>Thanh toán Chi phí đi lại, di chuyển HĐ số 26739985</t>
  </si>
  <si>
    <t>Thanh toán Chi phí tiếp khách, ngoại giao HĐ số 00068718</t>
  </si>
  <si>
    <t>Thanh toán Chi phí tiếp khách, ngoại giao HĐ số 00068719</t>
  </si>
  <si>
    <t>Thanh toán Chi phí tiếp khách, ngoại giao HĐ số 00082085</t>
  </si>
  <si>
    <t>Thanh toán Chi phí tiếp khách, ngoại giao HĐ số 00103615</t>
  </si>
  <si>
    <t>Thanh toán Chi phí đi lại, di chuyển HĐ số 1279794448</t>
  </si>
  <si>
    <t>Thanh toán Chi phí đi lại, di chuyển HĐ số 1279792435</t>
  </si>
  <si>
    <t>Thanh toán Chi phí tiếp khách, ngoại giao HĐ số 00104109</t>
  </si>
  <si>
    <t>Thanh toán Chi phí đi lại, di chuyển HĐ số 42951</t>
  </si>
  <si>
    <t>Thanh toán Chi phí đi lại, di chuyển HĐ số 42952</t>
  </si>
  <si>
    <t>Thanh toán Chi phí đi lại, di chuyển HĐ số 42955</t>
  </si>
  <si>
    <t>Thanh toán Chi phí đi lại, di chuyển HĐ số 42956</t>
  </si>
  <si>
    <t>Thanh toán Chi phí tiếp khách, ngoại giao HĐ số 00104634</t>
  </si>
  <si>
    <t>Thanh toán Chi phí tiếp khách, ngoại giao HĐ số 00047960</t>
  </si>
  <si>
    <t>Thanh toán Chi phí tiếp khách, ngoại giao HĐ số 00071120</t>
  </si>
  <si>
    <t>Thanh toán Chi phí đi lại, di chuyển HĐ số 43298</t>
  </si>
  <si>
    <t>Thanh toán Chi phí tiếp khách, ngoại giao HĐ số 00105594</t>
  </si>
  <si>
    <t>Thanh toán Chi phí tiếp khách, ngoại giao HĐ số 00414243</t>
  </si>
  <si>
    <t>Thanh toán Chi phí tiếp khách, ngoại giao HĐ số 00105884</t>
  </si>
  <si>
    <t>Thanh toán Chi phí tiếp khách, ngoại giao HĐ số 00072046</t>
  </si>
  <si>
    <t>Thanh toán Chi phí tiếp khách, ngoại giao HĐ số 00072874</t>
  </si>
  <si>
    <t>Thanh toán Chi phí tiếp khách, ngoại giao HĐ số 00018946</t>
  </si>
  <si>
    <t>Thanh toán Chi phí tiếp khách, ngoại giao HĐ số 02852882</t>
  </si>
  <si>
    <t>Thanh toán Chi phí tiếp khách, ngoại giao HĐ số 00049212</t>
  </si>
  <si>
    <t>Thanh toán Chi phí tiếp khách, ngoại giao HĐ số 00107566</t>
  </si>
  <si>
    <t>Thanh toán Chi phí tiếp khách, ngoại giao HĐ số 00107736</t>
  </si>
  <si>
    <t>Thanh toán Phí dịch vụ tư vấn thuế - kế toán 2025/08 HĐ số 00000121</t>
  </si>
  <si>
    <t>Thanh toán Chi phí dịch vụ giúp việc HĐ số 00024181</t>
  </si>
  <si>
    <t>Thanh toán Chi phí dịch vụ Affiliate 2025.08 HĐ số 01423676</t>
  </si>
  <si>
    <t>Thanh toán Chi phí tiếp khách, ngoại giao HĐ số 00108066</t>
  </si>
  <si>
    <t>Thanh toán Chi phí dịch vụ văn phòng HĐ số 00007988</t>
  </si>
  <si>
    <t>Thanh toán Chi phí tiếp khách, ngoại giao HĐ số 00074642</t>
  </si>
  <si>
    <t>Thanh toán Chi phí tiếp khách, ngoại giao HĐ số 00004384</t>
  </si>
  <si>
    <t>Thanh toán Chi phí đi lại, di chuyển HĐ số 31477457</t>
  </si>
  <si>
    <t>Thanh toán Chi phí đi lại, di chuyển HĐ số 31574226</t>
  </si>
  <si>
    <t>Thanh toán Chi phí đi lại, di chuyển HĐ số 31752124</t>
  </si>
  <si>
    <t>Thanh toán Chi phí tiếp khách, ngoại giao HĐ số 00109098</t>
  </si>
  <si>
    <t>Thanh toán Chi phí đi lại, di chuyển HĐ số 31973651</t>
  </si>
  <si>
    <t>Thanh toán Chi phí tiếp khách, ngoại giao HĐ số 00110121</t>
  </si>
  <si>
    <t>Thanh toán Chi phí tiếp khách, ngoại giao HĐ số 00110682</t>
  </si>
  <si>
    <t>Thanh toán Chi phí đi lại, di chuyển HĐ số 33540997</t>
  </si>
  <si>
    <t>Thanh toán Chi phí tiếp khách, ngoại giao HĐ số 00020698</t>
  </si>
  <si>
    <t>Thanh toán Chi phí đi lại, di chuyển HĐ số 00362082</t>
  </si>
  <si>
    <t>Thanh toán Chi phí tiếp khách, ngoại giao HĐ số 00066712</t>
  </si>
  <si>
    <t>Thanh toán Chi phí tiếp khách, ngoại giao HĐ số 00235064</t>
  </si>
  <si>
    <t>Thanh toán Chi phí vận chuyển HĐ số 00015559</t>
  </si>
  <si>
    <t>Thanh toán Chi phí tiếp khách, ngoại giao HĐ số 00066909</t>
  </si>
  <si>
    <t>Thanh toán Chi phí đi lại, di chuyển HĐ số 34832316</t>
  </si>
  <si>
    <t>Thanh toán Chi phí đi lại, di chuyển HĐ số 00368772</t>
  </si>
  <si>
    <t>Thanh toán Chi phí tiếp khách, ngoại giao HĐ số 00066971</t>
  </si>
  <si>
    <t>Thanh toán Chi phí đi lại, di chuyển HĐ số 34982806</t>
  </si>
  <si>
    <t>Thanh toán Chi phí đi lại, di chuyển HĐ số 35026284</t>
  </si>
  <si>
    <t>Thanh toán Chi phí đi lại, di chuyển HĐ số 35069082</t>
  </si>
  <si>
    <t>Thanh toán Chi phí đi lại, di chuyển HĐ số 35307102</t>
  </si>
  <si>
    <t>Thanh toán Chi phí đi lại, di chuyển HĐ số 35353357</t>
  </si>
  <si>
    <t>Thanh toán Chi phí đi lại, di chuyển HĐ số 35418400</t>
  </si>
  <si>
    <t>Thanh toán Chi phí tiếp khách, ngoại giao HĐ số 00007950</t>
  </si>
  <si>
    <t>Thanh toán Chi phí đi lại, di chuyển HĐ số 33551506</t>
  </si>
  <si>
    <t>Thanh toán Chi phí đi lại, di chuyển HĐ số 35703697</t>
  </si>
  <si>
    <t>Thanh toán Chi phí đi lại, di chuyển HĐ số 35739016</t>
  </si>
  <si>
    <t>Thanh toán Chi phí đi lại, di chuyển HĐ số 36023606</t>
  </si>
  <si>
    <t>Thanh toán Chi phí đi lại, di chuyển HĐ số 36056566</t>
  </si>
  <si>
    <t>Thanh toán Chi phí tiếp khách, ngoại giao HĐ số 00034930</t>
  </si>
  <si>
    <t>Thanh toán Chi phí tiếp khách, ngoại giao HĐ số 00115665</t>
  </si>
  <si>
    <t>Thanh toán Chi phí tiếp khách, ngoại giao HĐ số 00115684</t>
  </si>
  <si>
    <t>Thanh toán Chi phí tiếp khách, ngoại giao HĐ số 00112050</t>
  </si>
  <si>
    <t>Thanh toán Chi phí tiếp khách, ngoại giao HĐ số 00053545</t>
  </si>
  <si>
    <t>Thanh toán Chi phí tiếp khách, ngoại giao HĐ số 00018983</t>
  </si>
  <si>
    <t>Thanh toán Chi phí tiếp khách, ngoại giao HĐ số 00010293</t>
  </si>
  <si>
    <t>Thanh toán Chi phí đi lại, di chuyển HĐ số 37601144</t>
  </si>
  <si>
    <t>Thanh toán Chi phí đi lại, di chuyển HĐ số 37674608</t>
  </si>
  <si>
    <t>Thanh toán Chi phí đi lại, di chuyển HĐ số 37747452</t>
  </si>
  <si>
    <t>Thanh toán Chi phí tiếp khách, ngoại giao HĐ số 00011629</t>
  </si>
  <si>
    <t>Thanh toán Chi phí tiếp khách, ngoại giao HĐ số 00115503</t>
  </si>
  <si>
    <t>Thanh toán Chi phí tiếp khách, ngoại giao HĐ số 00004443</t>
  </si>
  <si>
    <t>Thanh toán Chi phí tiếp khách, ngoại giao HĐ số 00054479</t>
  </si>
  <si>
    <t>Thanh toán Chi phí đi lại, di chuyển HĐ số 36112036</t>
  </si>
  <si>
    <t>Thanh toán Chi phí đi lại, di chuyển HĐ số 38655798</t>
  </si>
  <si>
    <t>Thanh toán Phí dịch vụ tư vấn thuế - kế toán 2025/09 HĐ số 00000139</t>
  </si>
  <si>
    <t>Thanh toán Chi phí dịch vụ giúp việc HĐ số 00033758</t>
  </si>
  <si>
    <t>Nhận Doanh thu Dịch vụ quảng cáo và truyền thông theo Hợp đồng số 03062025/HĐDV-ZEEEVENTVSL-CONGAN HĐ số 00000006</t>
  </si>
  <si>
    <t>9</t>
  </si>
  <si>
    <t>Chi phí tư vấn thuế - kế toán HĐ số 00000075</t>
  </si>
  <si>
    <t>Thanh toán Chi phí tư vấn thuế - kế toán</t>
  </si>
  <si>
    <t>0315800401</t>
  </si>
  <si>
    <t>Chi phí tiếp khách, ngoại giao HĐ số 00005239</t>
  </si>
  <si>
    <t>Thanh toán Chi phí tiếp khách, ngoại giao</t>
  </si>
  <si>
    <t>0108951120-002</t>
  </si>
  <si>
    <t>Chi phí tiếp khách, ngoại giao HĐ số 00002526</t>
  </si>
  <si>
    <t>Chuyển khoản nhầm đối tượng</t>
  </si>
  <si>
    <t>Hoàn tiền chuyển khoản nhầm</t>
  </si>
  <si>
    <t>0318445064</t>
  </si>
  <si>
    <t>Nhận Doanh thu Dịch vụ quảng cáo và truyền thông theo Hợp đồng số 20062025HDDV/DANGVI-AMANA HĐ số 00000002</t>
  </si>
  <si>
    <t>Lãi tiền gửi tháng 2025.07</t>
  </si>
  <si>
    <t>Nộp Chi phí bảo hiểm tháng 2025.07</t>
  </si>
  <si>
    <t>0318563029</t>
  </si>
  <si>
    <t>Chi phí tiếp khách, ngoại giao HĐ số 00000586</t>
  </si>
  <si>
    <t>0109612931</t>
  </si>
  <si>
    <t>Doanh thu Dịch vụ quảng cáo và truyền thông theo Hợp đồng số 0807/2025/HĐDV/WEI-HKDDV ký ngày 08/07/2025 và Biên bản nghiệm thu ký ngày 31/07/2025 HĐ số 00000003</t>
  </si>
  <si>
    <t>Điều chỉnh giảm Doanh thu Dịch vụ quảng cáo và truyền thông theo Hợp đồng số 0807/2025/HĐDV/WEI-HKDDV ký ngày 08/07/2025 và Biên bản nghiệm thu ký ngày 31/07/2025 HĐ số 00000003</t>
  </si>
  <si>
    <t>0318821583</t>
  </si>
  <si>
    <t>Doanh thu Dịch vụ quảng cáo và truyền thông theo Hợp đồng số HDDV 2007/LVN/NDV ký ngày 15/07/2025 và Biên bản nghiệm thu ký ngày 31/07/2025 HĐ số 00000004</t>
  </si>
  <si>
    <t>Điều chỉnh giảm Doanh thu Dịch vụ quảng cáo và truyền thông theo Hợp đồng số HDDV 2007/LVN/NDV ký ngày 15/07/2025 và Biên bản nghiệm thu ký ngày 31/07/2025 HĐ số 00000004</t>
  </si>
  <si>
    <t>Chi phí tư vấn thuế - kế toán HĐ số 00000088</t>
  </si>
  <si>
    <t>Doanh thu dịch vụ OAP - Glyco Campaign P2 - Extra - Scope 3 - Video - 3007 SOW số 18799/2025/WPP-BTL-LO - ID Tiktok: dangvbeauty179
 HĐ số 00000005</t>
  </si>
  <si>
    <t>8568979698-001</t>
  </si>
  <si>
    <t>Nhận Doanh thu dịch vụ OAP - Glyco Campaign P2 - Extra - Scope 3 - Video - 3007 SOW số 18799/2025/WPP-BTL-LO - ID Tiktok: dangvbeauty179
 HĐ số 00000005</t>
  </si>
  <si>
    <t>0318475414</t>
  </si>
  <si>
    <t>Doanh thu Dịch vụ quảng cáo và truyền thông theo Hợp đồng số FINTVN-ATTENIR-16-06/25 ngày 31/07/2025 và Biên bản nghiệm thu ký ngày 05/08/2025 HĐ số 00000006</t>
  </si>
  <si>
    <t>Điều chỉnh giảm Doanh thu Dịch vụ quảng cáo và truyền thông theo Hợp đồng số FINTVN-ATTENIR-16-06/25 ngày 31/07/2025 và Biên bản nghiệm thu ký ngày 05/08/2025 HĐ số 00000006</t>
  </si>
  <si>
    <t>Nhận Doanh thu Dịch vụ quảng cáo và truyền thông theo Hợp đồng số FINTVN-ATTENIR-16-06/25 ngày 31/07/2025 và Biên bản nghiệm thu ký ngày 05/08/2025 HĐ số 00000006</t>
  </si>
  <si>
    <t>Chi phí tiếp khách, ngoại giao HĐ số 00001740</t>
  </si>
  <si>
    <t>Chi phí tiếp khách, ngoại giao HĐ số 00000692</t>
  </si>
  <si>
    <t>Doanh thu dịch vụ 3CE - KOC Hub Aug - Video - Scope 3 - 1008 SOW số 19571/2025/WPP-BTL-LO - ID Tiktok: dangvbeauty179 HĐ số 00000007</t>
  </si>
  <si>
    <t>Điều chỉnh giảm Doanh thu dịch vụ 3CE - KOC Hub Aug - Video - Scope 3 - 1008 SOW số 19571/2025/WPP-BTL-LO - ID Tiktok: dangvbeauty179 HĐ số 00000007</t>
  </si>
  <si>
    <t>Chi phí tiếp khách, ngoại giao HĐ số 00024822</t>
  </si>
  <si>
    <t>Nhận Doanh thu dịch vụ 3CE - KOC Hub Aug - Video - Scope 3 - 1008 SOW số 19571/2025/WPP-BTL-LO - ID Tiktok: dangvbeauty179 HĐ số 00000007</t>
  </si>
  <si>
    <t>0108109926</t>
  </si>
  <si>
    <t>Doanh thu dịch vụ quảng cáo theo Hợp đồng số MDA/20250812/1235 ngày 01/07/2025 và Biên bản nghiệm thu và thanh lý ngày 15/08/2025 HĐ số 00000008</t>
  </si>
  <si>
    <t>Điều chỉnh giảm Doanh thu dịch vụ quảng cáo theo Hợp đồng số MDA/20250812/1235 ngày 01/07/2025 và Biên bản nghiệm thu và thanh lý ngày 15/08/2025 HĐ số 00000008</t>
  </si>
  <si>
    <t>Chi khác không hóa đơn</t>
  </si>
  <si>
    <t>Chi phí tiếp khách, ngoại giao HĐ số 00000786</t>
  </si>
  <si>
    <t>0313948307</t>
  </si>
  <si>
    <t>Doanh thu Dịch vụ quảng cáo và truyền thông theo Hợp đồng số 250801/HDDV/BRAINAD-DANGVI ký ngày 01/08/2025 và Biên bản nghiệm thu ký ngày 27/08/2025 HĐ số 00000009</t>
  </si>
  <si>
    <t>Điều chỉnh giảm Doanh thu Dịch vụ quảng cáo và truyền thông theo Hợp đồng số 250801/HDDV/BRAINAD-DANGVI ký ngày 01/08/2025 và Biên bản nghiệm thu ký ngày 27/08/2025 HĐ số 00000009</t>
  </si>
  <si>
    <t>0315872501</t>
  </si>
  <si>
    <t>Doanh thu Dịch vụ quảng cáo và truyền thông theo Hợp đồng số 0808/HDDV/TCELL-DANGVI ký ngày 08/08/2025 và Biên bản nghiệm thu ký ngày 27/08/2025 HĐ số 00000010</t>
  </si>
  <si>
    <t>Điều chỉnh giảm Doanh thu Dịch vụ quảng cáo và truyền thông theo Hợp đồng số 0808/HDDV/TCELL-DANGVI ký ngày 08/08/2025 và Biên bản nghiệm thu ký ngày 27/08/2025 HĐ số 00000010</t>
  </si>
  <si>
    <t>0315847456</t>
  </si>
  <si>
    <t>Chi phí tiếp khách, ngoại giao HĐ số 00030828</t>
  </si>
  <si>
    <t>Lãi tiền gửi tháng 2025.08</t>
  </si>
  <si>
    <t>0315852382</t>
  </si>
  <si>
    <t>Chi phí tiếp khách, ngoại giao HĐ số 00014860</t>
  </si>
  <si>
    <t>Chi phí tư vấn thuế - kế toán HĐ số 00000115</t>
  </si>
  <si>
    <t>Chi phí tiếp khách, ngoại giao HĐ số 00848945</t>
  </si>
  <si>
    <t>Nhận Doanh thu Dịch vụ quảng cáo và truyền thông theo Hợp đồng số 0808/HDDV/TCELL-DANGVI ký ngày 08/08/2025 và Biên bản nghiệm thu ký ngày 27/08/2025 HĐ số 00000010</t>
  </si>
  <si>
    <t>0901158017</t>
  </si>
  <si>
    <t>Doanh thu Dịch vụ quảng cáo và truyền thông theo hợp đồng số QC409/2025/HĐQC/LPCOS- ĐĂNG VI OFFICIAL ký ngày 04/09/2025 và Biên bản nghiệm thu ký ngày 06/09/2025 HĐ số 00000011</t>
  </si>
  <si>
    <t>Điều chỉnh giảm Doanh thu Dịch vụ quảng cáo và truyền thông theo hợp đồng số QC409/2025/HĐQC/LPCOS- ĐĂNG VI OFFICIAL ký ngày 04/09/2025 và Biên bản nghiệm thu ký ngày 06/09/2025 HĐ số 00000011</t>
  </si>
  <si>
    <t>Doanh thu dịch vụ MNY - TEDDY TINT - Video - Scope 3 - 1009 SOW số 21605/2025/WPP-BTL-LO ID Tiktok: dangvbeauty179 HĐ số 00000012</t>
  </si>
  <si>
    <t>Doanh thu dịch vụ 3CE - KOC Hub Sep - Video - Scope 3 - 1009 SOW số 21970/2025/WPP-BTL-LO ID Tiktok: dangvbeauty179 HĐ số 00000013</t>
  </si>
  <si>
    <t>Doanh thu Dịch vụ quảng cáo và truyền thông theo Hợp đồng số FINTVN-KISSME-08/25-03 ký ngày 22/08/2025 và Biên bản nghiệm thu ký ngày 15/09/2025 HĐ số 00000014</t>
  </si>
  <si>
    <t>Điều chỉnh giảm Doanh thu Dịch vụ quảng cáo và truyền thông theo Hợp đồng số FINTVN-KISSME-08/25-03 ký ngày 22/08/2025 và Biên bản nghiệm thu ký ngày 15/09/2025 HĐ số 00000014</t>
  </si>
  <si>
    <t>Nhận Doanh thu Dịch vụ quảng cáo và truyền thông theo hợp đồng số QC409/2025/HĐQC/LPCOS- ĐĂNG VI OFFICIAL ký ngày 04/09/2025 và Biên bản nghiệm thu ký ngày 06/09/2025 HĐ số 00000011</t>
  </si>
  <si>
    <t>Doanh thu Dịch vụ quảng cáo và truyền thông theo Hợp đồng số HDDV 0808/LVN/NDV ký ngày 07/08/2025 và Biên bản nghiệm thu ký ngày 16/09/2025 HĐ số 00000015</t>
  </si>
  <si>
    <t>Điều chỉnh giảm Doanh thu Dịch vụ quảng cáo và truyền thông theo Hợp đồng số HDDV 0808/LVN/NDV ký ngày 07/08/2025 và Biên bản nghiệm thu ký ngày 16/09/2025 HĐ số 00000015</t>
  </si>
  <si>
    <t>0318643958</t>
  </si>
  <si>
    <t>Doanh thu Dịch vụ quảng cáo và truyền thông theo Hợp đồng số VN2025/8/HKD/MAG/033 ký ngày 22/08/2025 (Đợt 1) HĐ số 00000016</t>
  </si>
  <si>
    <t>Điều chỉnh giảm Doanh thu Dịch vụ quảng cáo và truyền thông theo Hợp đồng số VN2025/8/HKD/MAG/033 ký ngày 22/08/2025 (Đợt 1) HĐ số 00000016</t>
  </si>
  <si>
    <t>Nhận Doanh thu dịch vụ quảng cáo theo Hợp đồng số MDA/20250812/1235 ngày 01/07/2025 và Biên bản nghiệm thu và thanh lý ngày 15/08/2025 HĐ số 00000008</t>
  </si>
  <si>
    <t>Doanh thu Dịch vụ quảng cáo và truyền thông theo Hợp đồng số VN2025/8/HKD/MAG/033 ký ngày 22/08/2025 (Đợt 2) và Biên bản nghiệm thu ký ngày 19/09/2025 HĐ số 00000017</t>
  </si>
  <si>
    <t>Điều chỉnh giảm Doanh thu Dịch vụ quảng cáo và truyền thông theo Hợp đồng số VN2025/8/HKD/MAG/033 ký ngày 22/08/2025 (Đợt 2) và Biên bản nghiệm thu ký ngày 19/09/2025 HĐ số 00000017</t>
  </si>
  <si>
    <t>4201994302</t>
  </si>
  <si>
    <t>Chi phí tiếp khách, ngoại giao HĐ số 00001049</t>
  </si>
  <si>
    <t>4201994888</t>
  </si>
  <si>
    <t>Chi phí tiếp khách, ngoại giao HĐ số 00000104</t>
  </si>
  <si>
    <t>Nhận Doanh thu Dịch vụ quảng cáo và truyền thông theo Hợp đồng số VN2025/8/HKD/MAG/033 ký ngày 22/08/2025 (Đợt 1) HĐ số 00000016</t>
  </si>
  <si>
    <t>4200535810</t>
  </si>
  <si>
    <t>Chi phí tiếp khách, ngoại giao HĐ số 00023883</t>
  </si>
  <si>
    <t>4201922097</t>
  </si>
  <si>
    <t>Chi phí dịch vụ phòng HĐ số 00000353</t>
  </si>
  <si>
    <t>Thanh toán Chi phí dịch vụ phòng</t>
  </si>
  <si>
    <t>Doanh thu dịch vụ MNY - Summer Sunkisser - Video - Scope 3 - 1007 SOW số 14742/2025/WPP-BTL-LO ID Tiktok: dangvbeauty179 HĐ số 00000018</t>
  </si>
  <si>
    <t>Điều chỉnh giảm Doanh thu dịch vụ MNY - Summer Sunkisser - Video - Scope 3 - 1007 SOW số 14742/2025/WPP-BTL-LO ID Tiktok: dangvbeauty179 HĐ số 00000018</t>
  </si>
  <si>
    <t>Doanh thu dịch vụ MNY - TEDDY TINT - Video - Scope 3 - 3009 SOW số 22109/2025/WPP-BTL-LO ID Tiktok: dangvbeauty179 HĐ số 00000019</t>
  </si>
  <si>
    <t>4201624326</t>
  </si>
  <si>
    <t>Chi phí tiếp khách, ngoại giao HĐ số 00004719</t>
  </si>
  <si>
    <t>2500712601</t>
  </si>
  <si>
    <t>Chi phí dịch vụ phòng HĐ số 00000046</t>
  </si>
  <si>
    <t>Nhận Doanh thu Dịch vụ quảng cáo và truyền thông theo Hợp đồng số VN2025/8/HKD/MAG/033 ký ngày 22/08/2025 (Đợt 2) và Biên bản nghiệm thu ký ngày 19/09/2025 HĐ số 00000017</t>
  </si>
  <si>
    <t>Doanh thu dịch vụ KIE - Retinol &amp; UFC - Video - Scope 2 - 1009 SOW số 21873/2025/WPP-BTL-LO ID Tiktok: dangvbeauty179 HĐ số 00000020</t>
  </si>
  <si>
    <t>Doanh thu dịch vụ 3CE KOC HUB Jul Video Scope 3 1007 SOW số 13450/2025/WPP-BTL-LO ID Tiktok: dangvbeauty179 HĐ số 00000021</t>
  </si>
  <si>
    <t>0110879376</t>
  </si>
  <si>
    <t>Chi phi di chuyển, đi lại HĐ số 02956121</t>
  </si>
  <si>
    <t>Thanh toán Chi phi di chuyển, đi lại</t>
  </si>
  <si>
    <t>Lãi tiền gửi tháng 2025.09</t>
  </si>
  <si>
    <t>Nộp Chi phí bảo hiểm tháng 2025.09</t>
  </si>
  <si>
    <t>77</t>
  </si>
  <si>
    <t>Chi phí dịch vụ tư vấn tháng 06/2025 HĐ số 00000072</t>
  </si>
  <si>
    <t>0108392659</t>
  </si>
  <si>
    <t>Chi phí tiếp khách, ngoại giao HĐ số 00278937</t>
  </si>
  <si>
    <t>0108829441</t>
  </si>
  <si>
    <t>Chi phí tiếp khách, ngoại giao HĐ số 00051313</t>
  </si>
  <si>
    <t>4101656405</t>
  </si>
  <si>
    <t>Chi phí tiếp khách, ngoại giao HĐ số 00003036</t>
  </si>
  <si>
    <t>0302712571</t>
  </si>
  <si>
    <t>Chi phí Phần mềm hóa đơn điện tử M-100 8710040770-001.matbao.in (1 năm) HĐ số 00069199</t>
  </si>
  <si>
    <t>4101520027</t>
  </si>
  <si>
    <t>Chi phí tiếp khách, ngoại giao HĐ số 00002975</t>
  </si>
  <si>
    <t>4101643357</t>
  </si>
  <si>
    <t>Chi phí tiếp khách, ngoại giao HĐ số 00000763</t>
  </si>
  <si>
    <t>4401077543</t>
  </si>
  <si>
    <t>Chi phí tiếp khách, ngoại giao HĐ số 00001338</t>
  </si>
  <si>
    <t>054189001335</t>
  </si>
  <si>
    <t>Chi phí tiếp khách, ngoại giao HĐ số 00000729</t>
  </si>
  <si>
    <t>Chi phí dịch vụ tư vấn tháng 07/2025 HĐ số 00000085</t>
  </si>
  <si>
    <t>0101100593-002</t>
  </si>
  <si>
    <t>Chi phí tiếp khách, ngoại giao HĐ số 00005405</t>
  </si>
  <si>
    <t>0313716881-001</t>
  </si>
  <si>
    <t>Chi phí tiếp khách, ngoại giao HĐ số 00000833</t>
  </si>
  <si>
    <t>0316612746-006</t>
  </si>
  <si>
    <t>Chi phí tiếp khách, ngoại giao HĐ số 00005404</t>
  </si>
  <si>
    <t>0313505746</t>
  </si>
  <si>
    <t>Chi phí tiếp khách, ngoại giao HĐ số 00010845</t>
  </si>
  <si>
    <t>Chi phí dịch vụ tư vấn tháng 08/2025 HĐ số 00000110</t>
  </si>
  <si>
    <t>001178027470</t>
  </si>
  <si>
    <t>Chi phí tiếp khách, ngoại giao HĐ số 00000056</t>
  </si>
  <si>
    <t>0107456116</t>
  </si>
  <si>
    <t>Chi phí tiếp khách, ngoại giao HĐ số 00032139</t>
  </si>
  <si>
    <t>0310939343</t>
  </si>
  <si>
    <t>Chi phí tiếp khách, ngoại giao HĐ số 00040913</t>
  </si>
  <si>
    <t>0312505165</t>
  </si>
  <si>
    <t>Chi phí tiếp khách, ngoại giao HĐ số 00270439</t>
  </si>
  <si>
    <t>0302249586</t>
  </si>
  <si>
    <t>Chi phí tiếp khách, ngoại giao HĐ số 01453307</t>
  </si>
  <si>
    <t>Chi phí tiếp khách, ngoại giao HĐ số 03101184</t>
  </si>
  <si>
    <t>Chi phí tiếp khách, ngoại giao HĐ số 00041489</t>
  </si>
  <si>
    <t>Thanh toán Chi phí dịch vụ tư vấn tháng 06/2025 HĐ số 00000072</t>
  </si>
  <si>
    <t>Thanh toán Chi phí tiếp khách, ngoại giao HĐ số 00278937</t>
  </si>
  <si>
    <t>Thanh toán Chi phí tiếp khách, ngoại giao HĐ số 00051313</t>
  </si>
  <si>
    <t>Thanh toán Chi phí tiếp khách, ngoại giao HĐ số 00003036</t>
  </si>
  <si>
    <t>Thanh toán Chi phí Phần mềm hóa đơn điện tử M-100 8710040770-001.matbao.in (1 năm) HĐ số 00069199</t>
  </si>
  <si>
    <t>Thanh toán Chi phí tiếp khách, ngoại giao HĐ số 00002975</t>
  </si>
  <si>
    <t>Thanh toán Chi phí tiếp khách, ngoại giao HĐ số 00000763</t>
  </si>
  <si>
    <t>Thanh toán Chi phí tiếp khách, ngoại giao HĐ số 00001338</t>
  </si>
  <si>
    <t>Thanh toán Chi phí tiếp khách, ngoại giao HĐ số 00000729</t>
  </si>
  <si>
    <t>Thanh toán Chi phí dịch vụ tư vấn tháng 07/2025 HĐ số 00000085</t>
  </si>
  <si>
    <t>Thanh toán Chi phí tiếp khách, ngoại giao HĐ số 00005405</t>
  </si>
  <si>
    <t>Thanh toán Chi phí tiếp khách, ngoại giao HĐ số 00000833</t>
  </si>
  <si>
    <t>Thanh toán Chi phí tiếp khách, ngoại giao HĐ số 00005404</t>
  </si>
  <si>
    <t>Thanh toán Chi phí tiếp khách, ngoại giao HĐ số 00010845</t>
  </si>
  <si>
    <t>Thanh toán Chi phí dịch vụ tư vấn tháng 08/2025 HĐ số 00000110</t>
  </si>
  <si>
    <t>Thanh toán Chi phí tiếp khách, ngoại giao HĐ số 00000056</t>
  </si>
  <si>
    <t>Thanh toán Chi phí tiếp khách, ngoại giao HĐ số 00032139</t>
  </si>
  <si>
    <t>Thanh toán Chi phí tiếp khách, ngoại giao HĐ số 00040913</t>
  </si>
  <si>
    <t>Thanh toán Chi phí tiếp khách, ngoại giao HĐ số 00270439</t>
  </si>
  <si>
    <t>Thanh toán Chi phí tiếp khách, ngoại giao HĐ số 01453307</t>
  </si>
  <si>
    <t>Thanh toán Chi phí tiếp khách, ngoại giao HĐ số 03101184</t>
  </si>
  <si>
    <t>Thanh toán Chi phí tiếp khách, ngoại giao HĐ số 00041489</t>
  </si>
  <si>
    <t>0318697431</t>
  </si>
  <si>
    <t>Doanh thu Dịch vụ quảng cáo và truyền thông theo hợp đồng số HACOOKY_RC/072025 ký ngày 02/07/2025 và Biên bản nghiệm thu ký ngày 18/07/2025  HĐ số 00000070</t>
  </si>
  <si>
    <t>0318062865</t>
  </si>
  <si>
    <t>Doanh thu Dịch vụ quảng cáo và truyền thông theo Hợp đồng số 250715/HDDV/MIZUMI-HACOOKIE__-250715MIZUMI ký ngày 15/07/2025  HĐ số 00000071</t>
  </si>
  <si>
    <t>0318303246</t>
  </si>
  <si>
    <t>Doanh thu Dịch vụ quảng cáo và truyền thông theo Hợp đồng số 15-08/07/2025/HĐHTKD ký ngày 08/07/2025 (Đợt 1)  HĐ số 00000072</t>
  </si>
  <si>
    <t>Doanh thu Dịch vụ quảng cáo và truyền thông theo Hợp đồng 250626/HDDV/HABANHQUY ký ngày 26/06/2025 và Biên bản nghiệm thu ký ngày 18/07/2025  HĐ số 00000073</t>
  </si>
  <si>
    <t>0108750008</t>
  </si>
  <si>
    <t>Doanh thu Dịch vụ quảng cáo và truyền thông theo Hợp đồng số HKD HBQ_ Ariel _01072025 ký ngày 01/07/2025 và Biên bản nghiệm thu ký ngày 18/07/2025  HĐ số 00000074</t>
  </si>
  <si>
    <t>Điều chỉnh giảm Doanh thu Dịch vụ quảng cáo và truyền thông theo Hợp đồng số HKD HBQ_ Ariel _01072025 ký ngày 01/07/2025 và Biên bản nghiệm thu ký ngày 18/07/2025  HĐ số 00000074</t>
  </si>
  <si>
    <t>Doanh thu Dịch vụ quảng cáo và truyền thông theo Hợp đồng số HKD HBQ_JUMISO_01072025 ký ngày 01/07/2025 và Biên bản nghiệm thu ký ngày 18/07/2025  HĐ số 00000075</t>
  </si>
  <si>
    <t>Điều chỉnh giảm Doanh thu Dịch vụ quảng cáo và truyền thông theo Hợp đồng số HKD HBQ_JUMISO_01072025 ký ngày 01/07/2025 và Biên bản nghiệm thu ký ngày 18/07/2025  HĐ số 00000075</t>
  </si>
  <si>
    <t>0314839540</t>
  </si>
  <si>
    <t>Doanh thu Dịch vụ quảng cáo và truyền thông theo hợp đồng số 110625/HĐDV/NEOGEN-HC ký ngày 11/06/2025 (Đợt 1)  HĐ số 00000076</t>
  </si>
  <si>
    <t>Doanh thu Dịch vụ quảng cáo và truyền thông theo Hợp đồng số HKD HBQ_ KOTEX_21052025 ký ngày 21/05/2025  HĐ số 00000077</t>
  </si>
  <si>
    <t>Doanh thu Dịch vụ quảng cáo và truyền thông theo hợp đồng số HKD HBQ_ MAYBELLINE _01062025 ký ngày 01/06/2025 (Đợt 2)  HĐ số 00000078</t>
  </si>
  <si>
    <t>Doanh thu Dịch vụ quảng cáo và truyền thông theo Hợp đồng số HKD HBQ_ GERVENNE_14052025 ký ngày 14/05/2025  HĐ số 00000079</t>
  </si>
  <si>
    <t>Doanh thu Dịch vụ quảng cáo và truyền thông theo hợp đồng số 110625/HĐDV/NEOGEN-HC ký ngày 11/06/2025 (Đợt 2) và Biên bản nghiệm thu ký ngày 24/07/2025  HĐ số 00000080</t>
  </si>
  <si>
    <t>Doanh thu Dịch vụ quảng cáo và truyền thông theo Hợp đồng số 15-08/07/2025/HĐHTKD ký ngày 08/07/2025 (Đợt 2)  HĐ số 00000081</t>
  </si>
  <si>
    <t>0315332009</t>
  </si>
  <si>
    <t>Doanh thu Dịch vụ quảng cáo và truyền thông theo Hợp đồng số 1507/2025/HDDV/FAINVN-HABANHQUY ký ngày 15/07/2025 và Biên bản nghiệm thu ký ngày 29/07/2025  HĐ số 00000082</t>
  </si>
  <si>
    <t>Điều chỉnh giảm Doanh thu Dịch vụ quảng cáo và truyền thông theo Hợp đồng số 1507/2025/HDDV/FAINVN-HABANHQUY ký ngày 15/07/2025 và Biên bản nghiệm thu ký ngày 29/07/2025  HĐ số 00000082</t>
  </si>
  <si>
    <t>0318253073</t>
  </si>
  <si>
    <t>Doanh thu Dịch vụ quảng cáo và truyền thông theo Hợp đồng số MOKSA-HAPSODE-20250718 ký ngày 18/07/2025  HĐ số 00000083</t>
  </si>
  <si>
    <t>Điều chỉnh giảm Doanh thu Dịch vụ quảng cáo và truyền thông theo Hợp đồng số MOKSA-HAPSODE-20250718 ký ngày 18/07/2025  HĐ số 00000083</t>
  </si>
  <si>
    <t>0110498677</t>
  </si>
  <si>
    <t>Doanh thu Dịch vụ quảng cáo và truyền thông theo Hợp đồng số 072025/VIET_THI-HKD_HA_BANH_QUY ký ngày 19/07/2025 (Đợt 1)  HĐ số 00000084</t>
  </si>
  <si>
    <t>Điều chỉnh giảm Doanh thu Dịch vụ quảng cáo và truyền thông theo Hợp đồng số 072025/VIET_THI-HKD_HA_BANH_QUY ký ngày 19/07/2025 (Đợt 1)  HĐ số 00000084</t>
  </si>
  <si>
    <t>0315542327</t>
  </si>
  <si>
    <t>Doanh thu Dịch vụ booking KOL theo Hợp đồng số 080725/JEE-MINHHUYEN ký ngày 08/07/2025 và Biên bản nghiệm thu ký ngày 29/07/2025  HĐ số 00000085</t>
  </si>
  <si>
    <t>Doanh thu Dịch vụ quảng cáo và truyền thông theo Hợp đồng số HKD HBQ_ANUA_15072025 ký ngày 15/07/2025 và Biên bản nghiệm thu ký ngày 30/07/2025  HĐ số 00000086</t>
  </si>
  <si>
    <t>Điều chỉnh giảm Doanh thu Dịch vụ quảng cáo và truyền thông theo Hợp đồng số HKD HBQ_ANUA_15072025 ký ngày 15/07/2025 và Biên bản nghiệm thu ký ngày 30/07/2025  HĐ số 00000086</t>
  </si>
  <si>
    <t>0318288157</t>
  </si>
  <si>
    <t>Doanh thu Dịch vụ quảng cáo và truyền thông theo Hợp đồng số 210725/HĐDV/WONJIN-MINHHUYEN ký ngày 21/07/2025 và Biên bản nghiệm thu ký ngày 30/07/2025  HĐ số 00000087</t>
  </si>
  <si>
    <t>Điều chỉnh giảm Doanh thu Dịch vụ quảng cáo và truyền thông theo Hợp đồng số 210725/HĐDV/WONJIN-MINHHUYEN ký ngày 21/07/2025 và Biên bản nghiệm thu ký ngày 30/07/2025  HĐ số 00000087</t>
  </si>
  <si>
    <t>0109990838</t>
  </si>
  <si>
    <t>Doanh thu Hợp đồng số HD01082025/D’ALBA_ASIACONSULTING_HACOOKIE ký ngày 01/08/2025 HĐ số 00000088</t>
  </si>
  <si>
    <t>Điều chỉnh giảm Doanh thu Hợp đồng số HD01082025/D’ALBA_ASIACONSULTING_HACOOKIE ký ngày 01/08/2025 HĐ số 00000088</t>
  </si>
  <si>
    <t>Doanh thu Dịch vụ quảng cáo và truyền thông theo Hợp đồng số 072025/VIET_THI-HKD_HA_BANH_QUY ký ngày 19/07/2025 (Đợt 2)  HĐ số 00000089</t>
  </si>
  <si>
    <t>Điều chỉnh giảm Doanh thu Dịch vụ quảng cáo và truyền thông theo Hợp đồng số 072025/VIET_THI-HKD_HA_BANH_QUY ký ngày 19/07/2025 (Đợt 2)  HĐ số 00000089</t>
  </si>
  <si>
    <t>Doanh thu Dịch vụ quảng cáo và truyền thông theo Hợp đồng số HKD HBQ_L&amp;apos;OREAL MAKEUP WPP_01072025 ký ngày 01/07/2025  HĐ số 00000090</t>
  </si>
  <si>
    <t>Điều chỉnh giảm Doanh thu Dịch vụ quảng cáo và truyền thông theo Hợp đồng số HKD HBQ_L&amp;apos;OREAL MAKEUP WPP_01072025 ký ngày 01/07/2025  HĐ số 00000090</t>
  </si>
  <si>
    <t>8891446995-002</t>
  </si>
  <si>
    <t>Doanh thu Dịch vụ quảng cáo và truyền thông theo Hợp đồng số 06/HĐDV/DE-2025/01 ký ngày 05/08/2025  HĐ số 00000091</t>
  </si>
  <si>
    <t>Điều chỉnh giảm Doanh thu Dịch vụ quảng cáo và truyền thông theo Hợp đồng số 06/HĐDV/DE-2025/01 ký ngày 05/08/2025  HĐ số 00000091</t>
  </si>
  <si>
    <t>Doanh thu Dịch vụ quảng cáo và truyền thông theo hợp đồng số HACOOKY_NINELESS/072025 ký ngày 23/07/2025 và Biên bản nghiệm thu ký ngày 11/08/2025  HĐ số 00000092</t>
  </si>
  <si>
    <t>Điều chỉnh giảm Doanh thu Dịch vụ quảng cáo và truyền thông theo hợp đồng số HACOOKY_NINELESS/072025 ký ngày 23/07/2025 và Biên bản nghiệm thu ký ngày 11/08/2025  HĐ số 00000092</t>
  </si>
  <si>
    <t>Doanh thu Dịch vụ quảng cáo và truyền thông theo Hợp đồng số 04/HĐDV/DE-2025/02 ký ngày 14/08/2025 (Đợt 1)  HĐ số 00000093</t>
  </si>
  <si>
    <t>Điều chỉnh giảm Doanh thu Dịch vụ quảng cáo và truyền thông theo Hợp đồng số 04/HĐDV/DE-2025/02 ký ngày 14/08/2025 (Đợt 1)  HĐ số 00000093</t>
  </si>
  <si>
    <t>Doanh thu dịch vụ LRP_CICAPLAS T AWO AUG_Video_Sco pe 1 _3008 SOW số 20774/2025/WPP-BTL-LO - ID Tiktok: hacookie__ HĐ số 00000094</t>
  </si>
  <si>
    <t>Điều chỉnh giảm Doanh thu dịch vụ LRP_CICAPLAS T AWO AUG_Video_Sco pe 1 _3008 SOW số 20774/2025/WPP-BTL-LO - ID Tiktok: hacookie__ HĐ số 00000094</t>
  </si>
  <si>
    <t>Doanh thu Dịch vụ quảng cáo và truyền thông theo Hợp đồng số 04/HĐDV/DE-2025/02 ký ngày 14/08/2025 (Đợt 2)  HĐ số 00000095</t>
  </si>
  <si>
    <t>Điều chỉnh giảm Doanh thu Dịch vụ quảng cáo và truyền thông theo Hợp đồng số 04/HĐDV/DE-2025/02 ký ngày 14/08/2025 (Đợt 2)  HĐ số 00000095</t>
  </si>
  <si>
    <t>0106915180</t>
  </si>
  <si>
    <t>Doanh thu Dịch vụ quảng cáo và truyền thông theo Hợp đồng số 190825/ HĐHTDV/HMH-TANE ký ngày 19/08/2025 và Biên bản nghiệm thu ký ngày 25/08/2025  HĐ số 00000096</t>
  </si>
  <si>
    <t>Điều chỉnh giảm Doanh thu Dịch vụ quảng cáo và truyền thông theo Hợp đồng số 190825/ HĐHTDV/HMH-TANE ký ngày 19/08/2025 và Biên bản nghiệm thu ký ngày 25/08/2025  HĐ số 00000096</t>
  </si>
  <si>
    <t>Doanh thu Dịch vụ quảng cáo và truyền thông theo Hợp đồng số HKD HBQ_ TOCOBO_07082025 ký ngày 07/08/2025 và Biên bản nghiệm thu ký ngày 25/08/2025  HĐ số 00000097</t>
  </si>
  <si>
    <t>Điều chỉnh giảm Doanh thu Dịch vụ quảng cáo và truyền thông theo Hợp đồng số HKD HBQ_ TOCOBO_07082025 ký ngày 07/08/2025 và Biên bản nghiệm thu ký ngày 25/08/2025  HĐ số 00000097</t>
  </si>
  <si>
    <t>0318330264</t>
  </si>
  <si>
    <t>Doanh thu Dịch vụ quảng cáo theo Hợp đồng số 240825/HDDV/BIOREVELVET/ICON-HACOOKIE ký ngày 25/08/2025 và Biên bản nghiệm thu ký ngày 28/08/2025  HĐ số 00000098</t>
  </si>
  <si>
    <t>Điều chỉnh giảm Doanh thu Dịch vụ quảng cáo theo Hợp đồng số 240825/HDDV/BIOREVELVET/ICON-HACOOKIE ký ngày 25/08/2025 và Biên bản nghiệm thu ký ngày 28/08/2025  HĐ số 00000098</t>
  </si>
  <si>
    <t>0314086054</t>
  </si>
  <si>
    <t>Doanh thu Dịch vụ quảng cáo và truyền thông theo Hợp đồng số AMV/HKD HA BANH QUY/CANESBALANCE/2025-HDDV-1968P ký ngày 01/08/2025 và Biên bản nghiệm thu ký ngày 29/08/2025  HĐ số 00000099</t>
  </si>
  <si>
    <t>Điều chỉnh giảm Doanh thu Dịch vụ quảng cáo và truyền thông theo Hợp đồng số AMV/HKD HA BANH QUY/CANESBALANCE/2025-HDDV-1968P ký ngày 01/08/2025 và Biên bản nghiệm thu ký ngày 29/08/2025  HĐ số 00000099</t>
  </si>
  <si>
    <t>Doanh thu Dịch vụ quảng cáo và truyền thông theo Hợp đồng số FINTVN-ATTENIR-39-06/25 ký ngày 29/08/2025 và Biên bản nghiệm thu ký ngày 05/09/2025  HĐ số 00000100</t>
  </si>
  <si>
    <t>Điều chỉnh giảm Doanh thu Dịch vụ quảng cáo và truyền thông theo Hợp đồng số FINTVN-ATTENIR-39-06/25 ký ngày 29/08/2025 và Biên bản nghiệm thu ký ngày 05/09/2025  HĐ số 00000100</t>
  </si>
  <si>
    <t>0318871601</t>
  </si>
  <si>
    <t>Doanh thu Dịch vụ quảng cáo và truyền thông theo Hợp đồng số 18082025/HDDV/HABANHQUY/BNINE ký ngày 18/08/2025 và Biên bản nghiệm thu ký ngày 05/09/2025  HĐ số 00000101</t>
  </si>
  <si>
    <t>Điều chỉnh giảm Doanh thu Dịch vụ quảng cáo và truyền thông theo Hợp đồng số 18082025/HDDV/HABANHQUY/BNINE ký ngày 18/08/2025 và Biên bản nghiệm thu ký ngày 05/09/2025  HĐ số 00000101</t>
  </si>
  <si>
    <t>0315601406</t>
  </si>
  <si>
    <t>Doanh thu Dịch vụ quảng cáo và truyền thông theo Hợp đồng số 1908/2025 ký ngày 19/08/2025  HĐ số 00000102</t>
  </si>
  <si>
    <t>Điều chỉnh giảm Doanh thu Dịch vụ quảng cáo và truyền thông theo Hợp đồng số 1908/2025 ký ngày 19/08/2025  HĐ số 00000102</t>
  </si>
  <si>
    <t>0318876014</t>
  </si>
  <si>
    <t>Doanh thu Dịch vụ quảng cáo và truyền thông theo Hợp đồng số TP0925-HanFias/hacookie__ ký ngày 03/09/2025 (Đợt 1)  HĐ số 00000103</t>
  </si>
  <si>
    <t>Điều chỉnh giảm Doanh thu Dịch vụ quảng cáo và truyền thông theo Hợp đồng số TP0925-HanFias/hacookie__ ký ngày 03/09/2025 (Đợt 1)  HĐ số 00000103</t>
  </si>
  <si>
    <t>Doanh thu Dịch vụ quảng cáo và truyền thông theo Hợp đồng số TP0925- HanFias/hacookie__ ký ngày 03/09/2025 (Đợt 2) HĐ số 00000001</t>
  </si>
  <si>
    <t>Điều chỉnh giảm Doanh thu Dịch vụ quảng cáo và truyền thông theo Hợp đồng số TP0925- HanFias/hacookie__ ký ngày 03/09/2025 (Đợt 2) HĐ số 00000001</t>
  </si>
  <si>
    <t>2301347055</t>
  </si>
  <si>
    <t>Doanh thu Dịch vụ sử dụng hình ảnh theo Hợp đồng số HDDV/05-SM2025 ký ngày 20/08/2025 và Biên bản nghiệm thu ký ngày 15/09/2025 HĐ số 00000002</t>
  </si>
  <si>
    <t>Điều chỉnh giảm Doanh thu Dịch vụ sử dụng hình ảnh theo Hợp đồng số HDDV/05-SM2025 ký ngày 20/08/2025 và Biên bản nghiệm thu ký ngày 15/09/2025 HĐ số 00000002</t>
  </si>
  <si>
    <t>0318646268</t>
  </si>
  <si>
    <t>Doanh thu Dịch vụ quảng cáo và truyền thông theo Hợp đồng số 01092025/HĐ-DVQC2025 ký ngày 04/09/2025 HĐ số 00000003</t>
  </si>
  <si>
    <t>Điều chỉnh giảm Doanh thu Dịch vụ quảng cáo và truyền thông theo Hợp đồng số 01092025/HĐ-DVQC2025 ký ngày 04/09/2025 HĐ số 00000003</t>
  </si>
  <si>
    <t>0318861674</t>
  </si>
  <si>
    <t>Doanh thu Dịch vụ quảng cáo và truyền thông theo Hợp đồng số 20250901HDDV/TRENDIFY – hacookie__ ký ngày 01/09/2025 (Đợt 1) HĐ số 00000004</t>
  </si>
  <si>
    <t>Điều chỉnh giảm Doanh thu Dịch vụ quảng cáo và truyền thông theo Hợp đồng số 20250901HDDV/TRENDIFY – hacookie__ ký ngày 01/09/2025 (Đợt 1) HĐ số 00000004</t>
  </si>
  <si>
    <t>Doanh thu Dịch vụ quảng cáo và truyền thông theo Hợp đồng số 20250901HDDV/TRENDIFY – hacookie__ ký ngày 01/09/2025 (Đợt 2) và Biên bản nghiệm thu ký ngày 29/09/2025 HĐ số 00000005</t>
  </si>
  <si>
    <t>Điều chỉnh giảm Doanh thu Dịch vụ quảng cáo và truyền thông theo Hợp đồng số 20250901HDDV/TRENDIFY – hacookie__ ký ngày 01/09/2025 (Đợt 2) và Biên bản nghiệm thu ký ngày 29/09/2025 HĐ số 00000005</t>
  </si>
  <si>
    <t>Doanh thu Dịch vụ quảng cáo và truyền thông theo Hợp đồng số TP0925-HanFias/hacookie__01 ký ngày 03/09/2025 HĐ số 00000006</t>
  </si>
  <si>
    <t>Điều chỉnh giảm Doanh thu Dịch vụ quảng cáo và truyền thông theo Hợp đồng số TP0925-HanFias/hacookie__01 ký ngày 03/09/2025 HĐ số 00000006</t>
  </si>
  <si>
    <t>0107532712</t>
  </si>
  <si>
    <t>Doanh thu Dịch vụ quảng cáo và truyền thông theo Hợp đồng Nguyên tắc Số 2908/HĐNT/ADPIA-2025 ký ngày 29/08/2025 và Biên bản nghiệm thu ký ngày 30/09/2025 HĐ số 00000007</t>
  </si>
  <si>
    <t>Điều chỉnh giảm Doanh thu Dịch vụ quảng cáo và truyền thông theo Hợp đồng Nguyên tắc Số 2908/HĐNT/ADPIA-2025 ký ngày 29/08/2025 và Biên bản nghiệm thu ký ngày 30/09/2025 HĐ số 00000007</t>
  </si>
  <si>
    <t>Doanh thu Hoa hồng tiếp thị liên kết TikTok</t>
  </si>
  <si>
    <t>Nhận Doanh thu Hoa hồng tiếp thị liên kết TikTok</t>
  </si>
  <si>
    <t>8710040770-001</t>
  </si>
  <si>
    <t>Nhận Doanh thu Dịch vụ quảng cáo và truyền thông theo hợp đồng số HKD HBQ_Oh!Oh!_05052025 HĐ số 00000066</t>
  </si>
  <si>
    <t>Nhận Doanh thu Dịch vụ quảng cáo và truyền thông theo hợp đồng số HĐ/1294/2025/METUB HĐ số 00000053</t>
  </si>
  <si>
    <t>Nhận Doanh thu Dịch vụ quảng cáo và truyền thông đợt 1 theo Hợp đồng số HKD HBQ_ MAYBELLINE _01062025 HĐ số 00000068</t>
  </si>
  <si>
    <t>Nhận Doanh thu Dịch vụ quảng cáo và truyền thông theo hợp đồng số 250530/HDDV/BRAINAD-HBQ HĐ số 00000063</t>
  </si>
  <si>
    <t>Nhận Doanh thu Dịch vụ quảng cáo và truyền thông theo hợp đồng số 110625/HĐDV/NEOGEN-HC ký ngày 11/06/2025 (Đợt 1)  HĐ số 00000076</t>
  </si>
  <si>
    <t>Nhận Doanh thu Dịch vụ quảng cáo và truyền thông theo Hợp đồng số 250715/HDDV/MIZUMI-HACOOKIE__-250715MIZUMI ký ngày 15/07/2025  HĐ số 00000071</t>
  </si>
  <si>
    <t>0100283873</t>
  </si>
  <si>
    <t>Nhận Doanh thu Dịch vụ quảng cáo và truyền thông theo Hợp đồng số 15-08/07/2025/HĐHTKD ký ngày 08/07/2025 (Đợt 1)  HĐ số 00000072</t>
  </si>
  <si>
    <t>Nhận Doanh thu Dịch vụ quảng cáo và truyền thông theo hợp đồng số HACOOKY_RC/072025 ký ngày 02/07/2025 và Biên bản nghiệm thu ký ngày 18/07/2025  HĐ số 00000070</t>
  </si>
  <si>
    <t>Nhận Doanh thu Dịch vụ quảng cáo và truyền thông theo Hợp đồng số 1507/2025/HDDV/FAINVN-HABANHQUY ký ngày 15/07/2025 và Biên bản nghiệm thu ký ngày 29/07/2025  HĐ số 00000082</t>
  </si>
  <si>
    <t>Nộp Thuế GTGT, TNCN HKD 2025/Q2</t>
  </si>
  <si>
    <t>Nhận Doanh thu Dịch vụ quảng cáo và truyền thông theo Hợp đồng số HKD HBQ_ KOTEX_21052025 ký ngày 21/05/2025  HĐ số 00000077</t>
  </si>
  <si>
    <t>Nhận Doanh thu Dịch vụ quảng cáo và truyền thông theo Hợp đồng số 072025/VIET_THI-HKD_HA_BANH_QUY ký ngày 19/07/2025 (Đợt 1)  HĐ số 00000084</t>
  </si>
  <si>
    <t>Nhận Doanh thu Dịch vụ quảng cáo và truyền thông theo Hợp đồng số 15-08/07/2025/HĐHTKD ký ngày 08/07/2025 (Đợt 2)  HĐ số 00000081</t>
  </si>
  <si>
    <t>Nhận Doanh thu Dịch vụ quảng cáo và truyền thông theo Hợp đồng số MOKSA-HAPSODE-20250718 ký ngày 18/07/2025  HĐ số 00000083</t>
  </si>
  <si>
    <t>Nhận Doanh thu Dịch vụ quảng cáo và truyền thông theo Hợp đồng số HKD HBQ_ Ariel _01072025 ký ngày 01/07/2025 và Biên bản nghiệm thu ký ngày 18/07/2025  HĐ số 00000074</t>
  </si>
  <si>
    <t>Nhận Doanh thu Dịch vụ quảng cáo và truyền thông theo Hợp đồng số HKD HBQ_ GERVENNE_14052025 ký ngày 14/05/2025  HĐ số 00000079</t>
  </si>
  <si>
    <t>Nhận Doanh thu Dịch vụ booking KOL theo Hợp đồng số 080725/JEE-MINHHUYEN ký ngày 08/07/2025 và Biên bản nghiệm thu ký ngày 29/07/2025  HĐ số 00000085</t>
  </si>
  <si>
    <t>Nhận Doanh thu Dịch vụ quảng cáo và truyền thông theo Hợp đồng số 210725/HĐDV/WONJIN-MINHHUYEN ký ngày 21/07/2025 và Biên bản nghiệm thu ký ngày 30/07/2025  HĐ số 00000087</t>
  </si>
  <si>
    <t>Nộp Thuế GTGT, TNCN sàn TMĐT</t>
  </si>
  <si>
    <t>Nhận Doanh thu Dịch vụ quảng cáo và truyền thông theo hợp đồng số HKD HBQ_ MAYBELLINE _01062025 ký ngày 01/06/2025 (Đợt 2)  HĐ số 00000078</t>
  </si>
  <si>
    <t>Nhận Doanh thu Dịch vụ quảng cáo và truyền thông theo Hợp đồng số HKD HBQ_ANUA_15072025 ký ngày 15/07/2025 và Biên bản nghiệm thu ký ngày 30/07/2025  HĐ số 00000086</t>
  </si>
  <si>
    <t>Nhận Doanh thu Dịch vụ quảng cáo và truyền thông theo Hợp đồng số 06/HĐDV/DE-2025/01 ký ngày 05/08/2025  HĐ số 00000091</t>
  </si>
  <si>
    <t>Nhận Doanh thu Hợp đồng số HD01082025/D’ALBA_ASIACONSULTING_HACOOKIE ký ngày 01/08/2025 HĐ số 00000088</t>
  </si>
  <si>
    <t>Nhận Doanh thu Dịch vụ quảng cáo và truyền thông theo hợp đồng số 110625/HĐDV/NEOGEN-HC ký ngày 11/06/2025 (Đợt 2) và Biên bản nghiệm thu ký ngày 24/07/2025  HĐ số 00000080</t>
  </si>
  <si>
    <t>Nhận Doanh thu Dịch vụ quảng cáo và truyền thông theo Hợp đồng số 072025/VIET_THI-HKD_HA_BANH_QUY ký ngày 19/07/2025 (Đợt 2)  HĐ số 00000089</t>
  </si>
  <si>
    <t>Nhận Doanh thu Dịch vụ quảng cáo và truyền thông theo Hợp đồng số 04/HĐDV/DE-2025/02 ký ngày 14/08/2025 (Đợt 1)  HĐ số 00000093</t>
  </si>
  <si>
    <t>Nhận Doanh thu Dịch vụ quảng cáo và truyền thông theo Hợp đồng số HKD HBQ_L&amp;apos;OREAL MAKEUP WPP_01072025 ký ngày 01/07/2025  HĐ số 00000090</t>
  </si>
  <si>
    <t>Nhận Nhận Doanh thu Dịch vụ quảng cáo và truyền thông theo Hợp đồng số 1507/2025/HDDV/FAINVN-HABANHQUY ký ngày 15/07/2025 và Biên bản nghiệm thu ký ngày 29/07/2025  HĐ số 00000082</t>
  </si>
  <si>
    <t>Nhận Doanh thu Dịch vụ quảng cáo và truyền thông theo hợp đồng số HACOOKY_NINELESS/072025 ký ngày 23/07/2025 và Biên bản nghiệm thu ký ngày 11/08/2025  HĐ số 00000092</t>
  </si>
  <si>
    <t>Nhận Doanh thu Dịch vụ quảng cáo và truyền thông theo Hợp đồng số HKD HBQ_JUMISO_01072025 ký ngày 01/07/2025 và Biên bản nghiệm thu ký ngày 18/07/2025  HĐ số 00000075</t>
  </si>
  <si>
    <t>Nhận Doanh thu Dịch vụ quảng cáo và truyền thông theo Hợp đồng số 04/HĐDV/DE-2025/02 ký ngày 14/08/2025 (Đợt 2)  HĐ số 00000095</t>
  </si>
  <si>
    <t>Nhận Doanh thu dịch vụ LRP_CICAPLAS T AWO AUG_Video_Sco pe 1 _3008 SOW số 20774/2025/WPP-BTL-LO - ID Tiktok: hacookie__ HĐ số 00000094</t>
  </si>
  <si>
    <t>Nhận Doanh thu Dịch vụ quảng cáo và truyền thông theo Hợp đồng số 190825/ HĐHTDV/HMH-TANE ký ngày 19/08/2025 và Biên bản nghiệm thu ký ngày 25/08/2025  HĐ số 00000096</t>
  </si>
  <si>
    <t>Nhận Doanh thu Dịch vụ quảng cáo và truyền thông theo Hợp đồng số FINTVN-ATTENIR-39-06/25 ký ngày 29/08/2025 và Biên bản nghiệm thu ký ngày 05/09/2025  HĐ số 00000100</t>
  </si>
  <si>
    <t>Nhận Doanh thu Dịch vụ quảng cáo và truyền thông theo Hợp đồng số 1908/2025 ký ngày 19/08/2025  HĐ số 00000102</t>
  </si>
  <si>
    <t>Nhận Doanh thu Dịch vụ quảng cáo và truyền thông theo Hợp đồng số TP0925-HanFias/hacookie__ ký ngày 03/09/2025 (Đợt 1)  HĐ số 00000103</t>
  </si>
  <si>
    <t>Nhận Doanh thu Dịch vụ quảng cáo theo Hợp đồng số 240825/HDDV/BIOREVELVET/ICON-HACOOKIE ký ngày 25/08/2025 và Biên bản nghiệm thu ký ngày 28/08/2025  HĐ số 00000098</t>
  </si>
  <si>
    <t>Nhận Doanh thu Dịch vụ sử dụng hình ảnh theo Hợp đồng số HDDV/05-SM2025 ký ngày 20/08/2025 và Biên bản nghiệm thu ký ngày 15/09/2025 HĐ số 00000002</t>
  </si>
  <si>
    <t>Nhận Doanh thu Dịch vụ quảng cáo và truyền thông theo Hợp đồng số 18082025/HDDV/HABANHQUY/BNINE ký ngày 18/08/2025 và Biên bản nghiệm thu ký ngày 05/09/2025  HĐ số 00000101</t>
  </si>
  <si>
    <t>Nhận Doanh thu Dịch vụ quảng cáo và truyền thông theo Hợp đồng số 01092025/HĐ-DVQC2025 ký ngày 04/09/2025 HĐ số 00000003</t>
  </si>
  <si>
    <t>Nhận Doanh thu Dịch vụ quảng cáo và truyền thông theo Hợp đồng số 20250901HDDV/TRENDIFY – hacookie__ ký ngày 01/09/2025 (Đợt 1) HĐ số 00000004</t>
  </si>
  <si>
    <t>Nhận Doanh thu Dịch vụ quảng cáo và truyền thông theo Hợp đồng số TP0925- HanFias/hacookie__ ký ngày 03/09/2025 (Đợt 2) HĐ số 00000001</t>
  </si>
  <si>
    <t>43</t>
  </si>
  <si>
    <t>Chi phí dịch vụ tư vấn tháng 06/2025 HĐ số 00000070</t>
  </si>
  <si>
    <t>0316873240</t>
  </si>
  <si>
    <t>Chi phí tiếp khách, ngoại giao HĐ số 00000096</t>
  </si>
  <si>
    <t>Chi phí dịch vụ tư vấn tháng 07/2025 HĐ số 00000094</t>
  </si>
  <si>
    <t>0312788481</t>
  </si>
  <si>
    <t>Chi phí di chuyển, đi lại HĐ số 00042582</t>
  </si>
  <si>
    <t>Chi phí di chuyển, đi lại HĐ số 00042593</t>
  </si>
  <si>
    <t>Chi phí tiếp khách, ngoại giao HĐ số 02742235</t>
  </si>
  <si>
    <t>0307787891</t>
  </si>
  <si>
    <t>Chi phí đồ dùng văn phòng HĐ số 00019920</t>
  </si>
  <si>
    <t>0313936573</t>
  </si>
  <si>
    <t>Chi phí đồ dùng văn phòng HĐ số 00026288</t>
  </si>
  <si>
    <t>0317676608</t>
  </si>
  <si>
    <t>Chi phí tiếp khách, ngoại giao HĐ số 00010310</t>
  </si>
  <si>
    <t>Chi phí dịch vụ tư vấn tháng 08/2025 HĐ số 00000113</t>
  </si>
  <si>
    <t>Chi phí di chuyển, đi lại HĐ số 00054292</t>
  </si>
  <si>
    <t>0317892888</t>
  </si>
  <si>
    <t>Chi phí chăm sóc da HĐ số 00003300</t>
  </si>
  <si>
    <t>0312225168-005</t>
  </si>
  <si>
    <t>Chi phí tiếp khách, ngoại giao HĐ số 00009337</t>
  </si>
  <si>
    <t>0304130177</t>
  </si>
  <si>
    <t>Chi phí đồ dùng văn phòng HĐ số 00010898</t>
  </si>
  <si>
    <t>Chi phí tiếp khách, ngoại giao HĐ số 00010995</t>
  </si>
  <si>
    <t>001200038930</t>
  </si>
  <si>
    <t>Chi phí tiếp khách, ngoại giao HĐ số 00000803</t>
  </si>
  <si>
    <t>Thanh toán Chi phí dịch vụ tư vấn tháng 06/2025 HĐ số 00000070</t>
  </si>
  <si>
    <t>Thanh toán Chi phí tiếp khách, ngoại giao HĐ số 00000096</t>
  </si>
  <si>
    <t>Thanh toán Chi phí dịch vụ tư vấn tháng 07/2025 HĐ số 00000094</t>
  </si>
  <si>
    <t>Thanh toán Chi phí di chuyển, đi lại HĐ số 00042582</t>
  </si>
  <si>
    <t>Thanh toán Chi phí di chuyển, đi lại HĐ số 00042593</t>
  </si>
  <si>
    <t>Thanh toán Chi phí tiếp khách, ngoại giao HĐ số 02742235</t>
  </si>
  <si>
    <t>Thanh toán Chi phí đồ dùng văn phòng HĐ số 00019920</t>
  </si>
  <si>
    <t>Thanh toán Chi phí đồ dùng văn phòng HĐ số 00026288</t>
  </si>
  <si>
    <t>Thanh toán Chi phí tiếp khách, ngoại giao HĐ số 00010310</t>
  </si>
  <si>
    <t>Thanh toán Chi phí dịch vụ tư vấn tháng 08/2025 HĐ số 00000113</t>
  </si>
  <si>
    <t>Thanh toán Chi phí di chuyển, đi lại HĐ số 00054292</t>
  </si>
  <si>
    <t>Thanh toán Chi phí chăm sóc da HĐ số 00003300</t>
  </si>
  <si>
    <t>Thanh toán Chi phí tiếp khách, ngoại giao HĐ số 00009337</t>
  </si>
  <si>
    <t>Thanh toán Chi phí đồ dùng văn phòng HĐ số 00010898</t>
  </si>
  <si>
    <t>Thanh toán Chi phí tiếp khách, ngoại giao HĐ số 00010995</t>
  </si>
  <si>
    <t>Thanh toán Chi phí tiếp khách, ngoại giao HĐ số 00000803</t>
  </si>
  <si>
    <t>0109863389</t>
  </si>
  <si>
    <t>Doanh thu Dịch vụ sử dụng hình ảnh theo Hợp đồng số 06/2025/BESTME-CFR-HT ký ngày 18/06/2025	 HĐ số 00000065</t>
  </si>
  <si>
    <t>Doanh thu Dịch vụ quảng cáo và truyền thông theo hợp đồng số T21C25HDDV-0061-0009 HOANGTHACH ký ngày 11/06/2025 (Đợt 1)	 HĐ số 00000066</t>
  </si>
  <si>
    <t>0318164994</t>
  </si>
  <si>
    <t>Doanh thu Dịch vụ quảng cáo và truyền thông theo hợp đồng số 050/05/025C_ COS_2505_INB_CERAMIDE MOISTURISER_COSRX - hoangthachhh ký ngày 03/05/2025 (Đợt 2) và Biên bản nghiệm thu ký ngày 01/08/2025	 HĐ số 00000067</t>
  </si>
  <si>
    <t>Doanh thu Dịch vụ quảng cáo và truyền thông theo hợp đồng số T08C25HDDV-0167-0009 HOANGTHACH ký ngày 27/05/2025 (Đợt 1)	 HĐ số 00000068</t>
  </si>
  <si>
    <t>Điều chỉnh giảm Doanh thu Dịch vụ quảng cáo và truyền thông theo hợp đồng số T08C25HDDV-0167-0009 HOANGTHACH ký ngày 27/05/2025 (Đợt 1)	 HĐ số 00000068</t>
  </si>
  <si>
    <t>Doanh thu Dịch vụ quảng cáo và truyền thông theo hợp đồng số HKD HOANGTHACH_L’OREAL PARIS_01072025 ký ngày 01/07/2025	 HĐ số 00000069</t>
  </si>
  <si>
    <t>Điều chỉnh giảm Doanh thu Dịch vụ quảng cáo và truyền thông theo hợp đồng số HKD HOANGTHACH_L’OREAL PARIS_01072025 ký ngày 01/07/2025	 HĐ số 00000069</t>
  </si>
  <si>
    <t>Doanh thu Dịch vụ quảng cáo và truyền thông theo Hợp đồng số VN2025/7/HKD/MAG/001 ký ngày 20/07/2025 (Đợt 1)	 HĐ số 00000070</t>
  </si>
  <si>
    <t>Điều chỉnh giảm Doanh thu Dịch vụ quảng cáo và truyền thông theo Hợp đồng số VN2025/7/HKD/MAG/001 ký ngày 20/07/2025 (Đợt 1)	 HĐ số 00000070</t>
  </si>
  <si>
    <t>Doanh thu Dịch vụ quảng cáo và truyền thông theo hợp đồng số HKD HOANGTHACH_GARNIER BOX_01082025 ký ngày 01/08/2025 (Đợt 1)	 HĐ số 00000071</t>
  </si>
  <si>
    <t>Điều chỉnh giảm Doanh thu Dịch vụ quảng cáo và truyền thông theo hợp đồng số HKD HOANGTHACH_GARNIER BOX_01082025 ký ngày 01/08/2025 (Đợt 1)	 HĐ số 00000071</t>
  </si>
  <si>
    <t>Doanh thu Dịch vụ quảng cáo và truyền thông theo hợp đồng số HKD HOANGTHACH_GARNIER BOX_01082025 ký ngày 01/08/2025 (Đợt 2) và Biên bản nghiệm thu ký ngày 17/08/2025	 HĐ số 00000072</t>
  </si>
  <si>
    <t>Điều chỉnh giảm Doanh thu Dịch vụ quảng cáo và truyền thông theo hợp đồng số HKD HOANGTHACH_GARNIER BOX_01082025 ký ngày 01/08/2025 (Đợt 2) và Biên bản nghiệm thu ký ngày 17/08/2025	 HĐ số 00000072</t>
  </si>
  <si>
    <t>Doanh thu Dịch vụ quảng cáo và truyền thông theo Hợp đồng số VT/HDQC/25073101 ký ngày 31/07/2025 (Advertising and communication services under contract number VT/HDQC/25073101 signed on Jul 31, 2025)	 HĐ số 00000073</t>
  </si>
  <si>
    <t>Điều chỉnh giảm Doanh thu Dịch vụ quảng cáo và truyền thông theo Hợp đồng số VT/HDQC/25073101 ký ngày 31/07/2025 (Advertising and communication services under contract number VT/HDQC/25073101 signed on Jul 31, 2025)	 HĐ số 00000073</t>
  </si>
  <si>
    <t>0309822245</t>
  </si>
  <si>
    <t>Doanh thu Dịch vụ quảng cáo và truyên thông theo Hợp đồng số INNITY/KOL/HOANGTHACH/54450/1 ký ngày 18/08/2025	 HĐ số 00000074</t>
  </si>
  <si>
    <t>Điều chỉnh giảm Doanh thu Dịch vụ quảng cáo và truyên thông theo Hợp đồng số INNITY/KOL/HOANGTHACH/54450/1 ký ngày 18/08/2025	 HĐ số 00000074</t>
  </si>
  <si>
    <t>Doanh thu Dịch vụ sử dụng hình ảnh theo Hợp đồng số 010825/HĐHTDV/THT-TANE ký ngày 01/08/2025	 HĐ số 00000075</t>
  </si>
  <si>
    <t>Điều chỉnh giảm Doanh thu Dịch vụ sử dụng hình ảnh theo Hợp đồng số 010825/HĐHTDV/THT-TANE ký ngày 01/08/2025	 HĐ số 00000075</t>
  </si>
  <si>
    <t>2601041519</t>
  </si>
  <si>
    <t>Doanh thu Dịch vụ quảng cáo và truyền thông theo Hợp đồng số 1208/2025/HDBK/TGO-HT ký ngày 12/08/2025 (Đợt 1)	 HĐ số 00000076</t>
  </si>
  <si>
    <t>Điều chỉnh giảm Doanh thu Dịch vụ quảng cáo và truyền thông theo Hợp đồng số 1208/2025/HDBK/TGO-HT ký ngày 12/08/2025 (Đợt 1)	 HĐ số 00000076</t>
  </si>
  <si>
    <t>Doanh thu Dịch vụ quảng cáo và truyền thông theo Hợp đồng số 2708/2025 ký ngày 27/08/2025	 HĐ số 00000077</t>
  </si>
  <si>
    <t>Điều chỉnh giảm Doanh thu Dịch vụ quảng cáo và truyền thông theo Hợp đồng số 2708/2025 ký ngày 27/08/2025	 HĐ số 00000077</t>
  </si>
  <si>
    <t>0318407573</t>
  </si>
  <si>
    <t>Doanh thu Dịch vụ quảng cáo và truyền thông theo Hợp đồng số VN2025/PR/hoangthachhh/19082025/HDDVQC ký ngày 19/08/2025 (Đợt 1)	 HĐ số 00000078</t>
  </si>
  <si>
    <t>Điều chỉnh giảm Doanh thu Dịch vụ quảng cáo và truyền thông theo Hợp đồng số VN2025/PR/hoangthachhh/19082025/HDDVQC ký ngày 19/08/2025 (Đợt 1)	 HĐ số 00000078</t>
  </si>
  <si>
    <t>Doanh thu Dịch vụ sử dụng hình ảnh theo Hợp đồng số 010925/HĐHTDV/THT-TANE ký ngày 01/09/2025	 HĐ số 00000079</t>
  </si>
  <si>
    <t>Điều chỉnh giảm Doanh thu Dịch vụ sử dụng hình ảnh theo Hợp đồng số 010925/HĐHTDV/THT-TANE ký ngày 01/09/2025	 HĐ số 00000079</t>
  </si>
  <si>
    <t>0316191784</t>
  </si>
  <si>
    <t>Doanh thu Dịch vụ quảng cáo và truyền thông theo Hợp đồng số 28/08/2025 ký ngày 01/08/2025	 HĐ số 00000080</t>
  </si>
  <si>
    <t>Điều chỉnh giảm Doanh thu Dịch vụ quảng cáo và truyền thông theo Hợp đồng số 28/08/2025 ký ngày 01/08/2025	 HĐ số 00000080</t>
  </si>
  <si>
    <t>Doanh thu Dịch vụ quảng cáo và truyền thông theo hợp đồng số HKD HOANGTHACH_JUMISO_03092025 ký ngày 03/09/2025 (Đợt 1)	 HĐ số 00000081</t>
  </si>
  <si>
    <t>Điều chỉnh giảm Doanh thu Dịch vụ quảng cáo và truyền thông theo hợp đồng số HKD HOANGTHACH_JUMISO_03092025 ký ngày 03/09/2025 (Đợt 1)	 HĐ số 00000081</t>
  </si>
  <si>
    <t>Doanh thu Dịch vụ quảng cáo và truyền thông theo hợp đồng số HKD HOANGTHACH_ GARNIER_TRI_ACID_01092025 ký ngày 01/09/2025 (Đợt 1)	 HĐ số 00000082</t>
  </si>
  <si>
    <t>Điều chỉnh giảm Doanh thu Dịch vụ quảng cáo và truyền thông theo hợp đồng số HKD HOANGTHACH_ GARNIER_TRI_ACID_01092025 ký ngày 01/09/2025 (Đợt 1)	 HĐ số 00000082</t>
  </si>
  <si>
    <t>Doanh thu Dịch vụ sử dụng hình ảnh theo Hợp đồng số 09/2025/BESTME-CFR-HT ký ngày 01/09/2025 và Biên bản nghiệm thu ký ngày 09/09/2025	 HĐ số 00000083</t>
  </si>
  <si>
    <t>Điều chỉnh giảm Doanh thu Dịch vụ sử dụng hình ảnh theo Hợp đồng số 09/2025/BESTME-CFR-HT ký ngày 01/09/2025 và Biên bản nghiệm thu ký ngày 09/09/2025	 HĐ số 00000083</t>
  </si>
  <si>
    <t>Doanh thu Dịch vụ quảng cáo và truyền thông theo hợp đồng số T21C25HDDV-0061- 0009 HOANGTHACH ký ngày 11/06/2025 (Đợt 2) và Biên bản nghiệm thu ký ngày 11/09/2025 HĐ số 00000001</t>
  </si>
  <si>
    <t>Điều chỉnh giảm Doanh thu Dịch vụ quảng cáo và truyền thông theo hợp đồng số T21C25HDDV-0061- 0009 HOANGTHACH ký ngày 11/06/2025 (Đợt 2) và Biên bản nghiệm thu ký ngày 11/09/2025 HĐ số 00000001</t>
  </si>
  <si>
    <t>5901202018</t>
  </si>
  <si>
    <t>Doanh thu Dịch vụ quảng cáo theo Hợp đồng số: 1109/HDDV-2025/REDAMO-HOANGTHACH/BEPLAIN ký ngày 11/09/2025 (Đợt 1 - 50%) HĐ số 00000003</t>
  </si>
  <si>
    <t>Điều chỉnh giảm Doanh thu Dịch vụ quảng cáo theo Hợp đồng số: 1109/HDDV-2025/REDAMO-HOANGTHACH/BEPLAIN ký ngày 11/09/2025 (Đợt 1 - 50%) HĐ số 00000003</t>
  </si>
  <si>
    <t>0317200311</t>
  </si>
  <si>
    <t>Doanh thu Dịch vụ quảng cáo và truyền thông theo Hợp đồng số 11/09/2025/HĐDV-SE-KOL ký ngày 11/09/2025 HĐ số 00000004</t>
  </si>
  <si>
    <t>Điều chỉnh giảm Doanh thu Dịch vụ quảng cáo và truyền thông theo Hợp đồng số 11/09/2025/HĐDV-SE-KOL ký ngày 11/09/2025 HĐ số 00000004</t>
  </si>
  <si>
    <t>Doanh thu Dịch vụ quảng cáo và truyền thông theo hợp đồng số T08C25HDDV-0167- 0009 HOANGTHACH ký ngày 27/05/2025 (Đợt 2) và Biên bản nghiệm thu ký ngày 15/09/2025 HĐ số 00000005</t>
  </si>
  <si>
    <t>Điều chỉnh giảm Doanh thu Dịch vụ quảng cáo và truyền thông theo hợp đồng số T08C25HDDV-0167- 0009 HOANGTHACH ký ngày 27/05/2025 (Đợt 2) và Biên bản nghiệm thu ký ngày 15/09/2025 HĐ số 00000005</t>
  </si>
  <si>
    <t>Doanh thu Dịch vụ quảng cáo và truyền thông theo Hợp đồng số TP0925-HanFias/Hoangthach ký ngày 03/09/2025 (Đợt 1) HĐ số 00000006</t>
  </si>
  <si>
    <t>Điều chỉnh giảm Doanh thu Dịch vụ quảng cáo và truyền thông theo Hợp đồng số TP0925-HanFias/Hoangthach ký ngày 03/09/2025 (Đợt 1) HĐ số 00000006</t>
  </si>
  <si>
    <t>Doanh thu Dịch vụ MNY - Super Stay Franchise - Video - Scope 2 - 1009- SOW No. 21975/2025/WPP-BTL-LO ID Tiktok: hoangthachhh HĐ số 00000007</t>
  </si>
  <si>
    <t>Điều chỉnh giảm Doanh thu Dịch vụ MNY - Super Stay Franchise - Video - Scope 2 - 1009- SOW No. 21975/2025/WPP-BTL-LO ID Tiktok: hoangthachhh HĐ số 00000007</t>
  </si>
  <si>
    <t>Doanh thu Dịch vụ quảng cáo và truyền thông theo Hợp đồng số 1208/2025/HDBK/TGO-HT ký ngày 12/08/2025 (Đợt 2) và Biên bản nghiệm thu ký ngày 18/09/2025 HĐ số 00000008</t>
  </si>
  <si>
    <t>Điều chỉnh giảm Doanh thu Dịch vụ quảng cáo và truyền thông theo Hợp đồng số 1208/2025/HDBK/TGO-HT ký ngày 12/08/2025 (Đợt 2) và Biên bản nghiệm thu ký ngày 18/09/2025 HĐ số 00000008</t>
  </si>
  <si>
    <t>0313342918</t>
  </si>
  <si>
    <t>Doanh thu Dịch vụ sử dụng hình ảnh theo Hợp đồng số 28072025/HDDV/SGS-EMB-THT ký ngày 28/07/2025 HĐ số 00000009</t>
  </si>
  <si>
    <t>Điều chỉnh giảm Doanh thu Dịch vụ sử dụng hình ảnh theo Hợp đồng số 28072025/HDDV/SGS-EMB-THT ký ngày 28/07/2025 HĐ số 00000009</t>
  </si>
  <si>
    <t>Doanh thu Dịch vụ quảng cáo và truyền thông theo Hợp đồng số VN2025/7/HKD/MAG/001 ký ngày 20/07/2025 (Đợt 2) và Biên bản nghiệm thu ký ngày 25/09/2025 HĐ số 00000010</t>
  </si>
  <si>
    <t>Điều chỉnh giảm Doanh thu Dịch vụ quảng cáo và truyền thông theo Hợp đồng số VN2025/7/HKD/MAG/001 ký ngày 20/07/2025 (Đợt 2) và Biên bản nghiệm thu ký ngày 25/09/2025 HĐ số 00000010</t>
  </si>
  <si>
    <t>0313612829</t>
  </si>
  <si>
    <t>Doanh thu Dịch vụ sử dụng hình ảnh theo Hợp đồng số 0909/HĐCTV/HASAKI-2025 ký ngày 09/09/2025 HĐ số 00000011</t>
  </si>
  <si>
    <t>Điều chỉnh giảm Doanh thu Dịch vụ sử dụng hình ảnh theo Hợp đồng số 0909/HĐCTV/HASAKI-2025 ký ngày 09/09/2025 HĐ số 00000011</t>
  </si>
  <si>
    <t>Doanh thu Dịch vụ quảng cáo và truyền thông theo hợp đồng số HKD HOANGTHACH_ GARNIER_TRI_ACID_01092025 ký ngày 01/09/2025 (Đợt 2) và Biên bản nghiệm thu ký ngày 29/09/2025 HĐ số 00000012</t>
  </si>
  <si>
    <t>Điều chỉnh giảm Doanh thu Dịch vụ quảng cáo và truyền thông theo hợp đồng số HKD HOANGTHACH_ GARNIER_TRI_ACID_01092025 ký ngày 01/09/2025 (Đợt 2) và Biên bản nghiệm thu ký ngày 29/09/2025 HĐ số 00000012</t>
  </si>
  <si>
    <t>Nhận Doanh thu Dịch vụ sử dụng hình ảnh theo Thoả thuận sử dụng hình ảnh số T13C25TTHA-0013-0009 HOANGTHACH HĐ số 00000045</t>
  </si>
  <si>
    <t>Đã hạch toán</t>
  </si>
  <si>
    <t>Nhận Doanh thu Dịch vụ quảng cáo và truyền thông đợt 2 theo Hợp đồng số T12C25HDDV-0295-0009 HOANGTHACH HĐ số 00000044</t>
  </si>
  <si>
    <t>0110010635</t>
  </si>
  <si>
    <t>Nhận Doanh thu Dịch vụ quảng cáo và truyền thông theo Hợp đồng số TP0325- JSY/HOANGTHACH HĐ số 00000042</t>
  </si>
  <si>
    <t>Nhận Doanh thu Dịch vụ quảng cáo và truyền thông theo hợp đồng số T08C25HDDV-0167-0009 HOANGTHACH ký ngày 27/05/2025 (Đợt 1)	 HĐ số 00000068</t>
  </si>
  <si>
    <t>Nộp Thuế GTGT, TNCN sàn TMĐT 30/06/2025</t>
  </si>
  <si>
    <t>Nhận Doanh thu Dịch vụ quảng cáo và truyền thông đợt 2 theo Hợp đồng số HKD HOANGTHACH_GARNIER IHUB_01052025 HĐ số 00000057</t>
  </si>
  <si>
    <t>Nhận Doanh thu Dịch vụ quảng cáo và truyền thông theo hợp đồng số T21C25HDDV-0061-0009 HOANGTHACH ký ngày 11/06/2025 (Đợt 1)	 HĐ số 00000066</t>
  </si>
  <si>
    <t>Lãi chậm nộp thuế</t>
  </si>
  <si>
    <t>8537932805-001</t>
  </si>
  <si>
    <t>Rút tiền gửi ngân hàng nhập quỹ tiền mặt</t>
  </si>
  <si>
    <t>Nhận Doanh thu Dịch vụ quảng cáo và truyền thông theo hợp đồng số 050/05/025C_ COS_2505_INB_CERAMIDE MOISTURISER_COSRX - hoangthachhh ký ngày 03/05/2025 (Đợt 2) và Biên bản nghiệm thu ký ngày 01/08/2025	 HĐ số 00000067</t>
  </si>
  <si>
    <t>Nhận Doanh thu Dịch vụ quảng cáo và truyền thông theo hợp đồng số HKD HOANGTHACH_L’OREAL PARIS_01072025 ký ngày 01/07/2025	 HĐ số 00000069</t>
  </si>
  <si>
    <t>Nhận Doanh thu Dịch vụ quảng cáo và truyền thông theo Hợp đồng số VN2025/7/HKD/MAG/001 ký ngày 20/07/2025 (Đợt 1)	 HĐ số 00000070</t>
  </si>
  <si>
    <t>Nhận Doanh thu Dịch vụ quảng cáo và truyền thông theo hợp đồng số HKD HOANGTHACH_GARNIER BOX_01082025 ký ngày 01/08/2025 (Đợt 1)	 HĐ số 00000071</t>
  </si>
  <si>
    <t>Nhận Doanh thu Dịch vụ quảng cáo và truyền thông theo Hợp đồng số VT/HDQC/25073101 ký ngày 31/07/2025 (Advertising and communication services under contract number VT/HDQC/25073101 signed on Jul 31, 2025)	 HĐ số 00000073</t>
  </si>
  <si>
    <t>Nhận Doanh thu Dịch vụ sử dụng hình ảnh theo Hợp đồng số 010825/HĐHTDV/THT-TANE ký ngày 01/08/2025	 HĐ số 00000075</t>
  </si>
  <si>
    <t>0109361325</t>
  </si>
  <si>
    <t>Nhận trước doanh thu</t>
  </si>
  <si>
    <t>Nhận chuyển tiền nhầm</t>
  </si>
  <si>
    <t>Nhận Doanh thu Dịch vụ quảng cáo và truyền thông theo hợp đồng số HKD HOANGTHACH_GARNIER BOX_01082025 ký ngày 01/08/2025 (Đợt 2) và Biên bản nghiệm thu ký ngày 17/08/2025	 HĐ số 00000072</t>
  </si>
  <si>
    <t>Nhận Doanh thu Dịch vụ quảng cáo và truyền thông theo Hợp đồng số 1208/2025/HDBK/TGO-HT ký ngày 12/08/2025 (Đợt 1)	 HĐ số 00000076</t>
  </si>
  <si>
    <t>Hoàn tiền chuyển tiền nhầm</t>
  </si>
  <si>
    <t>Nhận Doanh thu Dịch vụ quảng cáo và truyên thông theo Hợp đồng số INNITY/KOL/HOANGTHACH/54450/1 ký ngày 18/08/2025	 HĐ số 00000074</t>
  </si>
  <si>
    <t>Nhận Doanh thu Dịch vụ quảng cáo và truyền thông theo Hợp đồng số 2708/2025 ký ngày 27/08/2025	 HĐ số 00000077</t>
  </si>
  <si>
    <t>Nhận Doanh thu Dịch vụ quảng cáo và truyền thông theo Hợp đồng số VN2025/PR/hoangthachhh/19082025/HDDVQC ký ngày 19/08/2025 (Đợt 1)	 HĐ số 00000078</t>
  </si>
  <si>
    <t>Nhận Doanh thu Dịch vụ sử dụng hình ảnh theo Hợp đồng số 010925/HĐHTDV/THT-TANE ký ngày 01/09/2025	 HĐ số 00000079</t>
  </si>
  <si>
    <t>Nhận Doanh thu Dịch vụ quảng cáo và truyền thông theo Hợp đồng số 28/08/2025 ký ngày 01/08/2025	 HĐ số 00000080</t>
  </si>
  <si>
    <t>Nhận Doanh thu Dịch vụ quảng cáo theo Hợp đồng số: 1109/HDDV-2025/REDAMO-HOANGTHACH/BEPLAIN ký ngày 11/09/2025 (Đợt 1 - 50%) HĐ số 00000003</t>
  </si>
  <si>
    <t>Nhận Doanh thu Dịch vụ quảng cáo và truyền thông theo hợp đồng số HKD HOANGTHACH_ GARNIER_TRI_ACID_01092025 ký ngày 01/09/2025 (Đợt 1)	 HĐ số 00000082</t>
  </si>
  <si>
    <t>Nhận Doanh thu Dịch vụ quảng cáo và truyền thông theo hợp đồng số HKD HOANGTHACH_JUMISO_03092025 ký ngày 03/09/2025 (Đợt 1)	 HĐ số 00000081</t>
  </si>
  <si>
    <t>Nhận Doanh thu Dịch vụ MNY - Super Stay Franchise - Video - Scope 2 - 1009- SOW No. 21975/2025/WPP-BTL-LO ID Tiktok: hoangthachhh HĐ số 00000007</t>
  </si>
  <si>
    <t>Nhận Doanh thu Dịch vụ quảng cáo và truyền thông theo Hợp đồng số 1208/2025/HDBK/TGO-HT ký ngày 12/08/2025 (Đợt 2) và Biên bản nghiệm thu ký ngày 18/09/2025 HĐ số 00000008</t>
  </si>
  <si>
    <t>Nhận Doanh thu Dịch vụ quảng cáo và truyền thông theo Hợp đồng số TP0925-HanFias/Hoangthach ký ngày 03/09/2025 (Đợt 1) HĐ số 00000006</t>
  </si>
  <si>
    <t>Nhận Doanh thu Dịch vụ quảng cáo và truyền thông theo Hợp đồng số 11/09/2025/HĐDV-SE-KOL ký ngày 11/09/2025 HĐ số 00000004</t>
  </si>
  <si>
    <t>11</t>
  </si>
  <si>
    <t>12</t>
  </si>
  <si>
    <t>0317476969</t>
  </si>
  <si>
    <t>Doanh thu Dịch vụ quảng cáo và truyền thông theo hợp đồng số 170725/HDDV/HOCNHAN-IBP ký ngày 17/07/2025 và Biên bản nghiệm thu ký ngày 18/07/2025 HĐ số 13</t>
  </si>
  <si>
    <t xml:space="preserve"> Done </t>
  </si>
  <si>
    <t>13</t>
  </si>
  <si>
    <t>Điều chỉnh giảm Doanh thu Dịch vụ quảng cáo và truyền thông theo hợp đồng số 170725/HDDV/HOCNHAN-IBP ký ngày 17/07/2025 và Biên bản nghiệm thu ký ngày 18/07/2025 HĐ số 13</t>
  </si>
  <si>
    <t>14</t>
  </si>
  <si>
    <t>0315098863</t>
  </si>
  <si>
    <t>Doanh thu Dịch vụ quảng cáo và truyền thông theo Hợp đồng số 2705/HĐDV/HIGH-HOCNHANSKINCARE ký ngày 27/05/2025 và Biên bản nghiệm thu ký ngày 18/07/2025 HĐ số 14</t>
  </si>
  <si>
    <t>15</t>
  </si>
  <si>
    <t>0316838976</t>
  </si>
  <si>
    <t>Doanh thu Dịch vụ quảng cáo và truyền thông theo Hợp đồng số 31-072025/HDDV POREVES ký ngày 17/07/2025 và Biên bản nghiệm thu ký ngày 18/07/2025 HĐ số 15</t>
  </si>
  <si>
    <t>16</t>
  </si>
  <si>
    <t>Điều chỉnh giảm Doanh thu Dịch vụ quảng cáo và truyền thông theo Hợp đồng số 31-072025/HDDV POREVES ký ngày 17/07/2025 và Biên bản nghiệm thu ký ngày 18/07/2025 HĐ số 15</t>
  </si>
  <si>
    <t>17</t>
  </si>
  <si>
    <t>0110236368</t>
  </si>
  <si>
    <t>Doanh thu Dịch vụ quảng cáo và truyền thông theo Hợp đồng số 052025-HDDV/KKM-HNS ký ngày 19/05/2025 và Biên bản nghiệm thu ký ngày 18/07/2025 HĐ số 16</t>
  </si>
  <si>
    <t>18</t>
  </si>
  <si>
    <t>Doanh thu Dịch vụ quảng cáo và truyền thông theo Hợp đồng số T12C25HDDV-0112- 0793 HOCNHANSKINCARE ký ngày 15/06/2025 và Biên bản nghiệm thu ký ngày 18/07/2025 HĐ số 17</t>
  </si>
  <si>
    <t>19</t>
  </si>
  <si>
    <t>0314068305</t>
  </si>
  <si>
    <t>Doanh thu Dịch vụ quảng cáo và truyền thông theo Hợp đồng số 01/HĐKD/ESM/EFG/25 ký ngày 05/06/2025 HĐ số 18</t>
  </si>
  <si>
    <t>20</t>
  </si>
  <si>
    <t>Doanh thu Dịch vụ quảng cáo và truyền thông theo hợp đồng số HKD HN_ BIORE_26052025 ký ngày 26/05/2025 và Biên bản nghiệm thu ký ngày 18/07/2025 HĐ số 19</t>
  </si>
  <si>
    <t>21</t>
  </si>
  <si>
    <t>Điều chỉnh giảm Doanh thu Dịch vụ quảng cáo và truyền thông theo hợp đồng số HKD HN_ BIORE_26052025 ký ngày 26/05/2025 và Biên bản nghiệm thu ký ngày 18/07/2025 HĐ số 19</t>
  </si>
  <si>
    <t>22</t>
  </si>
  <si>
    <t>Doanh thu Dịch vụ quảng cáo và truyền thông theo Hợp đồng số 16/06/2025/HĐDV-SE-ANESSA-HOCNHAN ký ngày 16/06/2025 và Biên bản nghiệm thu ký ngày 18/07/2025 HĐ số 20</t>
  </si>
  <si>
    <t>23</t>
  </si>
  <si>
    <t>0108864407</t>
  </si>
  <si>
    <t>Doanh thu Dịch vụ quảng cáo và truyền thông theo hợp đồng số 20250804/HĐDV ký ngày 11/03/2025 (Đợt 2) HĐ số 21</t>
  </si>
  <si>
    <t>24</t>
  </si>
  <si>
    <t>Doanh thu Dịch vụ quảng cáo và truyền thông theo Hợp đồng số 1707/2025/HĐDV/ WEI-HKDHNS ký ngày 17/07/2025 và Biên bản nghiệm thu ký ngày 21/07/2025 HĐ số 22</t>
  </si>
  <si>
    <t>25</t>
  </si>
  <si>
    <t>0317535156</t>
  </si>
  <si>
    <t>Doanh thu Dịch vụ quảng cáo và truyền thông theo Hợp đồng số 03/2025/HĐCTV-HNS ký ngày 10/07/2025 và Biên bản nghiệm thu ký ngày 22/07/2025 HĐ số 23</t>
  </si>
  <si>
    <t>26</t>
  </si>
  <si>
    <t>Điều chỉnh giảm Doanh thu Dịch vụ quảng cáo và truyền thông theo Hợp đồng số 03/2025/HĐCTV-HNS ký ngày 10/07/2025 và Biên bản nghiệm thu ký ngày 22/07/2025 HĐ số 23</t>
  </si>
  <si>
    <t>27</t>
  </si>
  <si>
    <t>Doanh thu Dịch vụ quảng cáo và truyền thông theo Hợp đồng số 17072025/HDDV-ZEE-HOCNHAN ký ngày 17/07/2025 và Biên bản nghiệm thu ký ngày 22/07/2025 HĐ số 24</t>
  </si>
  <si>
    <t>28</t>
  </si>
  <si>
    <t>Điều chỉnh giảm Doanh thu Dịch vụ quảng cáo và truyền thông theo Hợp đồng số 17072025/HDDV-ZEE-HOCNHAN ký ngày 17/07/2025 và Biên bản nghiệm thu ký ngày 22/07/2025 HĐ số 24</t>
  </si>
  <si>
    <t>29</t>
  </si>
  <si>
    <t>0317435899</t>
  </si>
  <si>
    <t>Doanh thu Dịch vụ quảng cáo và truyền thông theo Hợp đồng số 01052025HDDVHOCNHANCELIMAX ký ngày 01/05/2025 và Biên bản nghiệm thu ký ngày 23/07/2025 HĐ số 25</t>
  </si>
  <si>
    <t>30</t>
  </si>
  <si>
    <t>Doanh thu Phí dịch vụ hợp đồng số 9872025/HĐDV/Y&amp;B ký ngày 01/07/2025 và Biên bản nghiệm thu số 9872025/BBNT-TT/Y&amp;B ký ngày 23/07/2025 HĐ số 26</t>
  </si>
  <si>
    <t>31</t>
  </si>
  <si>
    <t>Điều chỉnh giảm Doanh thu Phí dịch vụ hợp đồng số 9872025/HĐDV/Y&amp;B ký ngày 01/07/2025 và Biên bản nghiệm thu số 9872025/BBNT-TT/Y&amp;B ký ngày 23/07/2025 HĐ số 26</t>
  </si>
  <si>
    <t>32</t>
  </si>
  <si>
    <t>0313591495</t>
  </si>
  <si>
    <t>Doanh thu Dịch vụ quảng cáo và truyền thông theo Hợp đồng số 13012024_HDDV/BESO_2025 ký ngày 04/07/2025 và Biên bản nghiệm thu ký ngày 23/07/2025 HĐ số 27</t>
  </si>
  <si>
    <t>33</t>
  </si>
  <si>
    <t>Điều chỉnh giảm Doanh thu Dịch vụ quảng cáo và truyền thông theo Hợp đồng số 13012024_HDDV/BESO_2025 ký ngày 04/07/2025 và Biên bản nghiệm thu ký ngày 23/07/2025 HĐ số 27</t>
  </si>
  <si>
    <t>34</t>
  </si>
  <si>
    <t>Doanh thu Phí dịch vụ hợp đồng số 8142025/HĐDV/Y&amp;B ký ngày 25/06/2025 và Biên bản nghiệm thu số 8142025/HĐDV/Y&amp;B ký ngày 25/07/2025 HĐ số 28</t>
  </si>
  <si>
    <t>35</t>
  </si>
  <si>
    <t>Điều chỉnh giảm Doanh thu Phí dịch vụ hợp đồng số 8142025/HĐDV/Y&amp;B ký ngày 25/06/2025 và Biên bản nghiệm thu số 8142025/HĐDV/Y&amp;B ký ngày 25/07/2025 HĐ số 28</t>
  </si>
  <si>
    <t>36</t>
  </si>
  <si>
    <t>Doanh thu Dịch vụ quảng cáo và truyền thông theo hợp đồng số HKD HN_ GARNIER_01072025 ký ngày 01/07/2025 và Biên bản nghiệm thu ký ngày 28/07/2025 HĐ số 29</t>
  </si>
  <si>
    <t>37</t>
  </si>
  <si>
    <t>Điều chỉnh giảm Doanh thu Dịch vụ quảng cáo và truyền thông theo hợp đồng số HKD HN_ GARNIER_01072025 ký ngày 01/07/2025 và Biên bản nghiệm thu ký ngày 28/07/2025 HĐ số 29</t>
  </si>
  <si>
    <t>38</t>
  </si>
  <si>
    <t>0311774077</t>
  </si>
  <si>
    <t>Doanh thu Phí dịch vụ quảng cáo theo Hợp đồng số eHV/2507221421 và Biên bản nghiệm thu số eHV/2507221421/BBNT HĐ số 30</t>
  </si>
  <si>
    <t>39</t>
  </si>
  <si>
    <t>Điều chỉnh giảm Doanh thu Phí dịch vụ quảng cáo theo Hợp đồng số eHV/2507221421 và Biên bản nghiệm thu số eHV/2507221421/BBNT HĐ số 30</t>
  </si>
  <si>
    <t>40</t>
  </si>
  <si>
    <t>Doanh thu Dịch vụ quảng cáo và truyền thông theo hợp đồng số HKD HN_ BIORE_13062025 ký ngày 13/06/2025 và Biên bản nghiệm thu ký ngày 07/08/2025 HĐ số 31</t>
  </si>
  <si>
    <t>41</t>
  </si>
  <si>
    <t>Doanh thu Dịch vụ quảng cáo và truyền thông theo Hợp đồng số HKD HOCNHAN_JUMISO_29072025 ký ngày 29/07/2025 và Biên bản nghiệm thu ký ngày 12/08/2025 HĐ số 32</t>
  </si>
  <si>
    <t>42</t>
  </si>
  <si>
    <t>Điều chỉnh giảm Doanh thu Dịch vụ quảng cáo và truyền thông theo Hợp đồng số HKD HOCNHAN_JUMISO_29072025 ký ngày 29/07/2025 và Biên bản nghiệm thu ký ngày 12/08/2025 HĐ số 32</t>
  </si>
  <si>
    <t>0312089162</t>
  </si>
  <si>
    <t>Doanh thu Dịch vụ quảng cáo và truyền thông theo Hợp đồng số 11/0825_HĐDV-HKDHOCNHANSKINCARE ký ngày 11/08/2025 HĐ số 33</t>
  </si>
  <si>
    <t>44</t>
  </si>
  <si>
    <t>Điều chỉnh giảm Doanh thu Dịch vụ quảng cáo và truyền thông theo Hợp đồng số 11/0825_HĐDV-HKDHOCNHANSKINCARE ký ngày 11/08/2025 HĐ số 33</t>
  </si>
  <si>
    <t>45</t>
  </si>
  <si>
    <t>Doanh thu Dịch vụ quảng cáo và truyền thông theo Hợp đồng số 250714/HDDV/BRAINAD-HOCNHAN ký ngày 14/07/2025 và Biên bản nghiệm thu ký ngày 14/08/2025 HĐ số 34</t>
  </si>
  <si>
    <t>46</t>
  </si>
  <si>
    <t>Điều chỉnh giảm Doanh thu Dịch vụ quảng cáo và truyền thông theo Hợp đồng số 250714/HDDV/BRAINAD-HOCNHAN ký ngày 14/07/2025 và Biên bản nghiệm thu ký ngày 14/08/2025 HĐ số 34</t>
  </si>
  <si>
    <t>47</t>
  </si>
  <si>
    <t>Doanh thu Dịch vụ quảng cáo và truyền thông theo hợp đồng số HKD HN_GARNIER BOX_01082025 ký ngày 15/08/2025 và Biên bản nghiệm thu ký ngày 19/08/2025 HĐ số 35</t>
  </si>
  <si>
    <t>48</t>
  </si>
  <si>
    <t>Điều chỉnh giảm Doanh thu Dịch vụ quảng cáo và truyền thông theo hợp đồng số HKD HN_GARNIER BOX_01082025 ký ngày 15/08/2025 và Biên bản nghiệm thu ký ngày 19/08/2025 HĐ số 35</t>
  </si>
  <si>
    <t>49</t>
  </si>
  <si>
    <t>Doanh thu Dịch vụ quảng cáo và truyền thông theo Hợp đồng số 1108/HDDV/TCELL-HOCNHAN ký ngày 11/08/2025 và Biên bản nghiệm thu ký ngày 26/08/2025 HĐ số 36</t>
  </si>
  <si>
    <t>50</t>
  </si>
  <si>
    <t>Điều chỉnh giảm Doanh thu Dịch vụ quảng cáo và truyền thông theo Hợp đồng số 1108/HDDV/TCELL-HOCNHAN ký ngày 11/08/2025 và Biên bản nghiệm thu ký ngày 26/08/2025 HĐ số 36</t>
  </si>
  <si>
    <t>51</t>
  </si>
  <si>
    <t>Doanh thu Phí dịch vụ hợp đồng số 11752025/HĐDV/Y&amp;B ký ngày 15/08/2025 và Biên bản nghiệm thu số 11752025/BBNT-TT/Y&amp;B ký ngày 28/08/2025 HĐ số 37</t>
  </si>
  <si>
    <t>52</t>
  </si>
  <si>
    <t>Điều chỉnh giảm Doanh thu Phí dịch vụ hợp đồng số 11752025/HĐDV/Y&amp;B ký ngày 15/08/2025 và Biên bản nghiệm thu số 11752025/BBNT-TT/Y&amp;B ký ngày 28/08/2025 HĐ số 37</t>
  </si>
  <si>
    <t>53</t>
  </si>
  <si>
    <t>Doanh thu Dịch vụ quảng cáo và truyền thông theo Hợp đồng số 082025-HDDV/KKM-HNS ký ngày 11/08/2025 và Biên bản nghiệm thu ký ngày 29/08/2025 HĐ số 38</t>
  </si>
  <si>
    <t>54</t>
  </si>
  <si>
    <t>Điều chỉnh giảm Doanh thu Dịch vụ quảng cáo và truyền thông theo Hợp đồng số 082025-HDDV/KKM-HNS ký ngày 11/08/2025 và Biên bản nghiệm thu ký ngày 29/08/2025 HĐ số 38</t>
  </si>
  <si>
    <t>55</t>
  </si>
  <si>
    <t>Doanh thu Dịch vụ quảng cáo và truyền thông theo Hợp đồng số 2508/2025/HDDV/FAINVN-HOCNHANSKINCARE ký ngày 25/08/2025 và Biên bản nghiệm thu ký ngày 05/09/2025 HĐ số 39</t>
  </si>
  <si>
    <t>56</t>
  </si>
  <si>
    <t>Điều chỉnh giảm Doanh thu Dịch vụ quảng cáo và truyền thông theo Hợp đồng số 2508/2025/HDDV/FAINVN-HOCNHANSKINCARE ký ngày 25/08/2025 và Biên bản nghiệm thu ký ngày 05/09/2025 HĐ số 39</t>
  </si>
  <si>
    <t>57</t>
  </si>
  <si>
    <t>0313492494</t>
  </si>
  <si>
    <t>Doanh thu Dịch vụ quảng cáo và truyền thông theo Hợp đồng số 290825/HDDV/UNICORN/HOCNHAN ký ngày 29/08/2025 và Biên bản nghiệm thu ký ngày 09/09/2025 HĐ số 40</t>
  </si>
  <si>
    <t>58</t>
  </si>
  <si>
    <t>Điều chỉnh giảm Doanh thu Dịch vụ quảng cáo và truyền thông theo Hợp đồng số 290825/HDDV/UNICORN/HOCNHAN ký ngày 29/08/2025 và Biên bản nghiệm thu ký ngày 09/09/2025 HĐ số 40</t>
  </si>
  <si>
    <t>59</t>
  </si>
  <si>
    <t>0110418262</t>
  </si>
  <si>
    <t>Doanh thu Dịch vụ quảng cáo và truyền thông theo Hợp đồng dịch vụ ký ngày 08/08/2025 HĐ số 1</t>
  </si>
  <si>
    <t>60</t>
  </si>
  <si>
    <t>Điều chỉnh giảm Doanh thu Dịch vụ quảng cáo và truyền thông theo Hợp đồng dịch vụ ký ngày 08/08/2025 HĐ số 1</t>
  </si>
  <si>
    <t>61</t>
  </si>
  <si>
    <t>Doanh thu Dịch vụ quảng cáo và truyền thông theo Hợp đồng số HKD HOCNHAN_BIORE_06082025 ký ngày 06/08/2025 HĐ số 2</t>
  </si>
  <si>
    <t>62</t>
  </si>
  <si>
    <t>Điều chỉnh giảm Doanh thu Dịch vụ quảng cáo và truyền thông theo Hợp đồng số HKD HOCNHAN_BIORE_06082025 ký ngày 06/08/2025 HĐ số 2</t>
  </si>
  <si>
    <t>63</t>
  </si>
  <si>
    <t>Doanh thu Dịch vụ quảng cáo và truyền thông theo Hợp đồng số HKD HN_ GARNIER_TRI_ACID_01092025 ký ngày 01/09/2025 HĐ số 3</t>
  </si>
  <si>
    <t>64</t>
  </si>
  <si>
    <t>Điều chỉnh giảm Doanh thu Dịch vụ quảng cáo và truyền thông theo Hợp đồng số HKD HN_ GARNIER_TRI_ACID_01092025 ký ngày 01/09/2025 HĐ số 3</t>
  </si>
  <si>
    <t>65</t>
  </si>
  <si>
    <t>Doanh thu Dịch vụ quảng cáo và truyền thông theo Hợp đồng số T03T25HDDV-0012-0793 HOCNHANSKINCARE ký ngày 15/08/2025 và Biên bản nghiệm thu ký ngày 30/09/2025 HĐ số 4</t>
  </si>
  <si>
    <t>66</t>
  </si>
  <si>
    <t>Điều chỉnh giảm Doanh thu Dịch vụ quảng cáo và truyền thông theo Hợp đồng số T03T25HDDV-0012-0793 HOCNHANSKINCARE ký ngày 15/08/2025 và Biên bản nghiệm thu ký ngày 30/09/2025 HĐ số 4</t>
  </si>
  <si>
    <t>67</t>
  </si>
  <si>
    <t>Phí dịch vụ tư vấn tháng 06/2025 HĐ số 74</t>
  </si>
  <si>
    <t>68</t>
  </si>
  <si>
    <t>Phí dịch vụ tư vấn tháng 07/2025 HĐ số 90</t>
  </si>
  <si>
    <t>69</t>
  </si>
  <si>
    <t>Phí dịch vụ tư vấn tháng 08/2025 HĐ số 114</t>
  </si>
  <si>
    <t>70</t>
  </si>
  <si>
    <t>0314867731</t>
  </si>
  <si>
    <t>Chi phí đồ dùng văn phòng HĐ số 628</t>
  </si>
  <si>
    <t>71</t>
  </si>
  <si>
    <t>Chi phí tiếp khách, ngoại giao HĐ số 2093794</t>
  </si>
  <si>
    <t>72</t>
  </si>
  <si>
    <t>0108029533</t>
  </si>
  <si>
    <t>Chi phí thiết kế công trình Spa Phan Hu…hân theo Hợp đồng số 1208/25/HĐTKNS_NHAN HĐ số 99</t>
  </si>
  <si>
    <t>139</t>
  </si>
  <si>
    <t>Thanh toán Phí dịch vụ tư vấn tháng 06/2025 HĐ số 74</t>
  </si>
  <si>
    <t>140</t>
  </si>
  <si>
    <t>Thanh toán Phí dịch vụ tư vấn tháng 07/2025 HĐ số 90</t>
  </si>
  <si>
    <t>141</t>
  </si>
  <si>
    <t>Thanh toán Phí dịch vụ tư vấn tháng 08/2025 HĐ số 114</t>
  </si>
  <si>
    <t>142</t>
  </si>
  <si>
    <t>Thanh toán Chi phí đồ dùng văn phòng HĐ số 628</t>
  </si>
  <si>
    <t>143</t>
  </si>
  <si>
    <t>Thanh toán Chi phí tiếp khách, ngoại giao HĐ số 2093794</t>
  </si>
  <si>
    <t>144</t>
  </si>
  <si>
    <t>Thanh toán Chi phí thiết kế công trình Spa Phan Hu…hân theo Hợp đồng số 1208/25/HĐTKNS_NHAN HĐ số 99</t>
  </si>
  <si>
    <t>73</t>
  </si>
  <si>
    <t>8783523554-001</t>
  </si>
  <si>
    <t>74</t>
  </si>
  <si>
    <t>0301103908</t>
  </si>
  <si>
    <t>Phí ngân hàng</t>
  </si>
  <si>
    <t>75</t>
  </si>
  <si>
    <t>Nhận Doanh thu Dịch vụ quảng cáo và truyền thông theo Hợp đồng số HKD HN_ INSTITUTO ESPANOL_09052025 HĐ số 00000007</t>
  </si>
  <si>
    <t>76</t>
  </si>
  <si>
    <t>Nhận Doanh thu Dịch vụ quảng cáo và truyền thông theo Hợp đồng số 01/HĐKD/ESM/EFG/25 ký ngày 05/06/2025 HĐ số 18</t>
  </si>
  <si>
    <t>Nhận Doanh thu Dịch vụ quảng cáo và truyền thông theo Hợp đồng số 31-072025/HDDV POREVES ký ngày 17/07/2025 và Biên bản nghiệm thu ký ngày 18/07/2025 HĐ số 15</t>
  </si>
  <si>
    <t>78</t>
  </si>
  <si>
    <t>Nhận Doanh thu Dịch vụ quảng cáo và truyền thông theo Hợp đồng số 052025-HDDV/KKM-HNS ký ngày 19/05/2025 và Biên bản nghiệm thu ký ngày 18/07/2025 HĐ số 16</t>
  </si>
  <si>
    <t>79</t>
  </si>
  <si>
    <t>0313710696</t>
  </si>
  <si>
    <t>Nhận Doanh thu Dịch vụ quảng cáo và truyền thông theo Hợp đồng số CTV-268/HĐDV/HH-TV HĐ số 00000012</t>
  </si>
  <si>
    <t>80</t>
  </si>
  <si>
    <t>Nhận Doanh thu Dịch vụ quảng cáo và truyền thông theo Hợp đồng số 13012024_HDDV/BESO_2025 ký ngày 04/07/2025 và Biên bản nghiệm thu ký ngày 23/07/2025 HĐ số 27</t>
  </si>
  <si>
    <t>81</t>
  </si>
  <si>
    <t>82</t>
  </si>
  <si>
    <t>Nhận Doanh thu Dịch vụ quảng cáo và truyền thông theo Hợp đồng số 1707/2025/HĐDV/ WEI-HKDHNS ký ngày 17/07/2025 và Biên bản nghiệm thu ký ngày 21/07/2025 HĐ số 22</t>
  </si>
  <si>
    <t>145</t>
  </si>
  <si>
    <t>Nhận Doanh thu Dịch vụ quảng cáo và truyền thông theo hợp đồng số 170725/HDDV/HOCNHAN-IBP ký ngày 17/07/2025 và Biên bản nghiệm thu ký ngày 18/07/2025 HĐ số 13</t>
  </si>
  <si>
    <t>83</t>
  </si>
  <si>
    <t>84</t>
  </si>
  <si>
    <t>Nộp vào tiền gửi ngân hàng</t>
  </si>
  <si>
    <t>85</t>
  </si>
  <si>
    <t>86</t>
  </si>
  <si>
    <t>Nhận Doanh thu Dịch vụ quảng cáo và truyền thông theo Hợp đồng số 2705/HĐDV/HIGH-HOCNHANSKINCARE ký ngày 27/05/2025 và Biên bản nghiệm thu ký ngày 18/07/2025 HĐ số 14</t>
  </si>
  <si>
    <t>87</t>
  </si>
  <si>
    <t>Nhận Doanh thu Phí dịch vụ hợp đồng số 9872025/HĐDV/Y&amp;B ký ngày 01/07/2025 và Biên bản nghiệm thu số 9872025/BBNT-TT/Y&amp;B ký ngày 23/07/2025 HĐ số 26</t>
  </si>
  <si>
    <t>88</t>
  </si>
  <si>
    <t>Nhận Doanh thu Dịch vụ quảng cáo và truyền thông theo Hợp đồng số 17072025/HDDV-ZEE-HOCNHAN ký ngày 17/07/2025 và Biên bản nghiệm thu ký ngày 22/07/2025 HĐ số 24</t>
  </si>
  <si>
    <t>89</t>
  </si>
  <si>
    <t>90</t>
  </si>
  <si>
    <t>Nhận Doanh thu Dịch vụ quảng cáo và truyền thông theo Hợp đồng số 03/2025/HĐCTV-HNS ký ngày 10/07/2025 và Biên bản nghiệm thu ký ngày 22/07/2025 HĐ số 23</t>
  </si>
  <si>
    <t>91</t>
  </si>
  <si>
    <t>92</t>
  </si>
  <si>
    <t>Nhận Doanh thu Phí dịch vụ hợp đồng số 8142025/HĐDV/Y&amp;B ký ngày 25/06/2025 và Biên bản nghiệm thu số 8142025/HĐDV/Y&amp;B ký ngày 25/07/2025 HĐ số 28</t>
  </si>
  <si>
    <t>93</t>
  </si>
  <si>
    <t>94</t>
  </si>
  <si>
    <t>95</t>
  </si>
  <si>
    <t>96</t>
  </si>
  <si>
    <t>97</t>
  </si>
  <si>
    <t>98</t>
  </si>
  <si>
    <t>99</t>
  </si>
  <si>
    <t>Nhận Doanh thu Dịch vụ quảng cáo và truyền thông theo Hợp đồng số 16/06/2025/HĐDV-SE-ANESSA-HOCNHAN ký ngày 16/06/2025 và Biên bản nghiệm thu ký ngày 18/07/2025 HĐ số 20</t>
  </si>
  <si>
    <t>100</t>
  </si>
  <si>
    <t>101</t>
  </si>
  <si>
    <t>102</t>
  </si>
  <si>
    <t>Nhận Doanh thu Dịch vụ quảng cáo và truyền thông theo Hợp đồng số 01052025HDDVHOCNHANCELIMAX ký ngày 01/05/2025 và Biên bản nghiệm thu ký ngày 23/07/2025 HĐ số 25</t>
  </si>
  <si>
    <t>103</t>
  </si>
  <si>
    <t>104</t>
  </si>
  <si>
    <t>0000000000</t>
  </si>
  <si>
    <t>Nhận tiền chuyển khoản nhầm</t>
  </si>
  <si>
    <t>105</t>
  </si>
  <si>
    <t>Hoàn tiền nhận chuyển khoản nhầm</t>
  </si>
  <si>
    <t>106</t>
  </si>
  <si>
    <t>Nhận Doanh thu Dịch vụ quảng cáo và truyền thông theo hợp đồng số HKD HN_ BIORE_26052025 ký ngày 26/05/2025 và Biên bản nghiệm thu ký ngày 18/07/2025 HĐ số 19</t>
  </si>
  <si>
    <t>107</t>
  </si>
  <si>
    <t>108</t>
  </si>
  <si>
    <t>0315343473</t>
  </si>
  <si>
    <t>Nhận doanh thu</t>
  </si>
  <si>
    <t>109</t>
  </si>
  <si>
    <t>110</t>
  </si>
  <si>
    <t>Nhận Doanh thu Dịch vụ quảng cáo và truyền thông theo Hợp đồng số 11/0825_HĐDV-HKDHOCNHANSKINCARE ký ngày 11/08/2025 HĐ số 33</t>
  </si>
  <si>
    <t>111</t>
  </si>
  <si>
    <t>Nhận Doanh thu Dịch vụ quảng cáo và truyền thông theo hợp đồng số HKD HN_ GARNIER_01072025 ký ngày 01/07/2025 và Biên bản nghiệm thu ký ngày 28/07/2025 HĐ số 29</t>
  </si>
  <si>
    <t>112</t>
  </si>
  <si>
    <t>Nhận Doanh thu Dịch vụ quảng cáo và truyền thông theo Hợp đồng số 1108/HDDV/TCELL-HOCNHAN ký ngày 11/08/2025 và Biên bản nghiệm thu ký ngày 26/08/2025 HĐ số 36</t>
  </si>
  <si>
    <t>113</t>
  </si>
  <si>
    <t>114</t>
  </si>
  <si>
    <t>115</t>
  </si>
  <si>
    <t>Nhận Doanh thu Dịch vụ quảng cáo và truyền thông theo Hợp đồng số 082025-HDDV/KKM-HNS ký ngày 11/08/2025 và Biên bản nghiệm thu ký ngày 29/08/2025 HĐ số 38</t>
  </si>
  <si>
    <t>116</t>
  </si>
  <si>
    <t>Nhận Doanh thu Dịch vụ quảng cáo và truyền thông theo Hợp đồng dịch vụ ký ngày 08/08/2025 HĐ số 1</t>
  </si>
  <si>
    <t>117</t>
  </si>
  <si>
    <t>118</t>
  </si>
  <si>
    <t>119</t>
  </si>
  <si>
    <t>120</t>
  </si>
  <si>
    <t>Nhận Doanh thu Dịch vụ quảng cáo và truyền thông theo Hợp đồng số 2508/2025/HDDV/FAINVN-HOCNHANSKINCARE ký ngày 25/08/2025 và Biên bản nghiệm thu ký ngày 05/09/2025 HĐ số 39</t>
  </si>
  <si>
    <t>121</t>
  </si>
  <si>
    <t>122</t>
  </si>
  <si>
    <t>Nhận Doanh thu Dịch vụ quảng cáo và truyền thông theo Hợp đồng số T11C25HDDV-0223- 0793 HOCNHANSKINCARE HĐ số 00000010</t>
  </si>
  <si>
    <t>123</t>
  </si>
  <si>
    <t>Nhận Doanh thu Dịch vụ quảng cáo và truyền thông theo Hợp đồng số 250714/HDDV/BRAINAD-HOCNHAN ký ngày 14/07/2025 và Biên bản nghiệm thu ký ngày 14/08/2025 HĐ số 34</t>
  </si>
  <si>
    <t>124</t>
  </si>
  <si>
    <t>Nhận Doanh thu Dịch vụ quảng cáo và truyền thông theo Hợp đồng số HKD HOCNHAN_JUMISO_29072025 ký ngày 29/07/2025 và Biên bản nghiệm thu ký ngày 12/08/2025 HĐ số 32</t>
  </si>
  <si>
    <t>125</t>
  </si>
  <si>
    <t>Nhận Doanh thu Dịch vụ quảng cáo và truyền thông theo Hợp đồng số 290825/HDDV/UNICORN/HOCNHAN ký ngày 29/08/2025 và Biên bản nghiệm thu ký ngày 09/09/2025 HĐ số 40</t>
  </si>
  <si>
    <t>126</t>
  </si>
  <si>
    <t>127</t>
  </si>
  <si>
    <t>128</t>
  </si>
  <si>
    <t>129</t>
  </si>
  <si>
    <t>Nhận Doanh thu Phí dịch vụ hợp đồng số 11752025/HĐDV/Y&amp;B ký ngày 15/08/2025 và Biên bản nghiệm thu số 11752025/BBNT-TT/Y&amp;B ký ngày 28/08/2025 HĐ số 37</t>
  </si>
  <si>
    <t>130</t>
  </si>
  <si>
    <t>131</t>
  </si>
  <si>
    <t>Nhận Doanh thu Phí dịch vụ quảng cáo theo Hợp đồng số eHV/2507221421 và Biên bản nghiệm thu số eHV/2507221421/BBNT HĐ số 30</t>
  </si>
  <si>
    <t>2803062864</t>
  </si>
  <si>
    <t>Nhận Doanh thu Dịch vụ quảng cáo và truyền thông theo Hợp đồng số 05.2025 HĐ số 00000006</t>
  </si>
  <si>
    <t>Nhận Doanh thu Dịch vụ quảng cáo và truyền thông theo Hợp đồng số T12C25HDDV-0112- 0793 HOCNHANSKINCARE ký ngày 15/06/2025 và Biên bản nghiệm thu ký ngày 18/07/2025 HĐ số 17</t>
  </si>
  <si>
    <t>0314905391</t>
  </si>
  <si>
    <t xml:space="preserve">Nhận Doanh thu Dịch vụ quảng cáo và truyền thông theo Hợp đồng số 10/09/2025/HDDV/ZAKKA- HỌC NHÂN ký ngày 10/09/2025 và Biên bản nghiệm thu ký ngày 06/10/2025 </t>
  </si>
  <si>
    <t>0305887996</t>
  </si>
  <si>
    <t>Nhận Doanh thu Dịch vụ quảng cáo và truyền thông theo hợp đồng số HKD HN_ BIORE_13062025 ký ngày 13/06/2025 và Biên bản nghiệm thu ký ngày 07/08/2025 HĐ số 31</t>
  </si>
  <si>
    <t xml:space="preserve"> NGUYÊN TỆ </t>
  </si>
  <si>
    <t xml:space="preserve"> THÀNH TIỀN </t>
  </si>
  <si>
    <t> </t>
  </si>
  <si>
    <t>Chi phí tư vấn thuế - kế toán HĐ số 00000076</t>
  </si>
  <si>
    <t>Chi phí di chuyển, đi lại HĐ số 00038038</t>
  </si>
  <si>
    <t>Chi phí di chuyển, đi lại HĐ số 05879146</t>
  </si>
  <si>
    <t>Chi phí tiếp khách, ngoại giao HĐ số 00718552</t>
  </si>
  <si>
    <t>Chi phí di chuyển, đi lại HĐ số 00044105</t>
  </si>
  <si>
    <t>Chi phí di chuyển, đi lại HĐ số 06341538</t>
  </si>
  <si>
    <t>Chi phí di chuyển, đi lại HĐ số 06438607</t>
  </si>
  <si>
    <t>Chi phí di chuyển, đi lại HĐ số 06537009</t>
  </si>
  <si>
    <t>Chi phí di chuyển, đi lại HĐ số 06976709</t>
  </si>
  <si>
    <t>Chi phí tiếp khách, ngoại giao HĐ số 00037021</t>
  </si>
  <si>
    <t>Chi phí tiếp khách, ngoại giao HĐ số 00016773</t>
  </si>
  <si>
    <t>Chi phí tư vấn thuế - kế toán HĐ số 00000102</t>
  </si>
  <si>
    <t>Chi phí di chuyển, đi lại HĐ số 08945892</t>
  </si>
  <si>
    <t>Chi phí di chuyển, đi lại HĐ số 08946092</t>
  </si>
  <si>
    <t>Chi phí di chuyển, đi lại HĐ số 00048481</t>
  </si>
  <si>
    <t>Chi phí tiếp khách, ngoại giao HĐ số 00030930</t>
  </si>
  <si>
    <t>Chi phí đồ dùng văn phòng HĐ số 00249298</t>
  </si>
  <si>
    <t>Chi phí tiếp khách, ngoại giao HĐ số 00023119</t>
  </si>
  <si>
    <t>0311854540-004</t>
  </si>
  <si>
    <t>Chi phí đồ dùng văn phòng HĐ số 00251290</t>
  </si>
  <si>
    <t>Chi phí đồ dùng văn phòng HĐ số 00061807</t>
  </si>
  <si>
    <t>Chi phí đồ dùng văn phòng HĐ số 00061808</t>
  </si>
  <si>
    <t>Chi phí đồ dùng văn phòng HĐ số 00256472</t>
  </si>
  <si>
    <t>Chi phí tư vấn thuế - kế toán HĐ số 00000124</t>
  </si>
  <si>
    <t>Chi phí di chuyển, đi lại HĐ số 13745035</t>
  </si>
  <si>
    <t>Chi phí di chuyển, đi lại HĐ số 13783308</t>
  </si>
  <si>
    <t>Chi phí tiếp khách, ngoại giao HĐ số 00001806</t>
  </si>
  <si>
    <t>Chi phí đồ dùng văn phòng HĐ số 00265913</t>
  </si>
  <si>
    <t>Thanh toán Chi phí tư vấn thuế - kế toán HĐ số 00000076</t>
  </si>
  <si>
    <t>Thanh toán Chi phí di chuyển, đi lại HĐ số 00038038</t>
  </si>
  <si>
    <t>Thanh toán Chi phí di chuyển, đi lại HĐ số 05879146</t>
  </si>
  <si>
    <t>Thanh toán Chi phí tiếp khách, ngoại giao HĐ số 00718552</t>
  </si>
  <si>
    <t>Thanh toán Chi phí di chuyển, đi lại HĐ số 00044105</t>
  </si>
  <si>
    <t>Thanh toán Chi phí di chuyển, đi lại HĐ số 06341538</t>
  </si>
  <si>
    <t>Thanh toán Chi phí di chuyển, đi lại HĐ số 06438607</t>
  </si>
  <si>
    <t>Thanh toán Chi phí di chuyển, đi lại HĐ số 06537009</t>
  </si>
  <si>
    <t>Thanh toán Chi phí di chuyển, đi lại HĐ số 06976709</t>
  </si>
  <si>
    <t>Thanh toán Chi phí tiếp khách, ngoại giao HĐ số 00037021</t>
  </si>
  <si>
    <t>Thanh toán Chi phí tiếp khách, ngoại giao HĐ số 00016773</t>
  </si>
  <si>
    <t>Thanh toán Chi phí tư vấn thuế - kế toán HĐ số 00000102</t>
  </si>
  <si>
    <t>Thanh toán Chi phí di chuyển, đi lại HĐ số 08945892</t>
  </si>
  <si>
    <t>Thanh toán Chi phí di chuyển, đi lại HĐ số 08946092</t>
  </si>
  <si>
    <t>Thanh toán Chi phí di chuyển, đi lại HĐ số 00048481</t>
  </si>
  <si>
    <t>Thanh toán Chi phí tiếp khách, ngoại giao HĐ số 00030930</t>
  </si>
  <si>
    <t>Thanh toán Chi phí đồ dùng văn phòng HĐ số 00249298</t>
  </si>
  <si>
    <t>Thanh toán Chi phí tiếp khách, ngoại giao HĐ số 00023119</t>
  </si>
  <si>
    <t>Thanh toán Chi phí đồ dùng văn phòng HĐ số 00251290</t>
  </si>
  <si>
    <t>Thanh toán Chi phí đồ dùng văn phòng HĐ số 00061807</t>
  </si>
  <si>
    <t>Thanh toán Chi phí đồ dùng văn phòng HĐ số 00061808</t>
  </si>
  <si>
    <t>Thanh toán Chi phí đồ dùng văn phòng HĐ số 00256472</t>
  </si>
  <si>
    <t>Thanh toán Chi phí tư vấn thuế - kế toán HĐ số 00000124</t>
  </si>
  <si>
    <t>Thanh toán Chi phí di chuyển, đi lại HĐ số 13745035</t>
  </si>
  <si>
    <t>Thanh toán Chi phí di chuyển, đi lại HĐ số 13783308</t>
  </si>
  <si>
    <t>Thanh toán Chi phí tiếp khách, ngoại giao HĐ số 00001806</t>
  </si>
  <si>
    <t>Thanh toán Chi phí đồ dùng văn phòng HĐ số 00265913</t>
  </si>
  <si>
    <t>8077953218-001</t>
  </si>
  <si>
    <t>Nhận Doanh thu Dịch vụ quảng cáo và truyền thông theo Hợp đồng số HKD HT_ABIB_31082025 ký ngày 31/08/2025 và Biên bản nghiệm thu ký ngày 10/09/2025 HĐ số 00000022</t>
  </si>
  <si>
    <t>Nhận Doanh thu Dịch vụ quảng cáo và truyền thông theo Hợp đồng số HKD HT_ Nineless_01092025 ký ngày 01/09/2025 và Biên bản nghiệm thu ký ngày 10/09/2025 HĐ số 00000023</t>
  </si>
  <si>
    <t>Nhận Doanh thu Dịch vụ quảng cáo và truyền thông theo Hợp đồng số 17/09/2025/HĐDVSE-KOL ký ngày 17/09/2025 HĐ số 00000001</t>
  </si>
  <si>
    <t>Nhận Doanh thu Dịch vụ quảng cáo và truyền thông theo HKD HUYNHTHUYEN_ GARNIER_TRI_ACID_01092025 ký ngày 01/09/2025 và Biên bản nghiệm thu ký ngày 19/09/2025 HĐ số 00000002</t>
  </si>
  <si>
    <t>Chi phí di chuyển, đi lại HĐ số 04734318</t>
  </si>
  <si>
    <t>0108269207-003</t>
  </si>
  <si>
    <t>Chi phí tiếp khách, ngoại giao HĐ số 00000612</t>
  </si>
  <si>
    <t>Chi phí dịch vụ mua ngoài HĐ số 00034624</t>
  </si>
  <si>
    <t>Chi phí tiếp khách, ngoại giao HĐ số 00002471</t>
  </si>
  <si>
    <t>Chi phí di chuyển, đi lại HĐ số 13636959</t>
  </si>
  <si>
    <t>Chi phí di chuyển, đi lại HĐ số 13892519</t>
  </si>
  <si>
    <t>Chi phí di chuyển, đi lại HĐ số 15601016</t>
  </si>
  <si>
    <t>Chi phí di chuyển, đi lại HĐ số 15638326</t>
  </si>
  <si>
    <t>Chi phí tiếp khách, ngoại giao HĐ số 00007627</t>
  </si>
  <si>
    <t>Chi phí tư vấn thuế - kế toán HĐ số 00000084</t>
  </si>
  <si>
    <t>Chi phí tiếp khách, ngoại giao HĐ số 00003267</t>
  </si>
  <si>
    <t>Chi phí di chuyển, đi lại HĐ số 09760127</t>
  </si>
  <si>
    <t>Chi phí di chuyển, đi lại HĐ số 09998146</t>
  </si>
  <si>
    <t>Chi phí di chuyển, đi lại HĐ số 10040348</t>
  </si>
  <si>
    <t>Chi phí tiếp khách, ngoại giao HĐ số 00009352</t>
  </si>
  <si>
    <t>Chi phí di chuyển, đi lại HĐ số 20473039</t>
  </si>
  <si>
    <t>Chi phí di chuyển, đi lại HĐ số 21065830</t>
  </si>
  <si>
    <t>Chi phí di chuyển, đi lại HĐ số 22467395</t>
  </si>
  <si>
    <t>Chi phí đồ dùng văn phòng HĐ số 00000232</t>
  </si>
  <si>
    <t>Chi phí tư vấn thuế - kế toán HĐ số 00000109</t>
  </si>
  <si>
    <t>Chi phí di chuyển, đi lại HĐ số 14920729</t>
  </si>
  <si>
    <t>Chi phí đồ dùng văn phòng HĐ số 00000322</t>
  </si>
  <si>
    <t>Chi phí đồ dùng văn phòng HĐ số 00085437</t>
  </si>
  <si>
    <t>Chi phí di chuyển, đi lại HĐ số 33112612</t>
  </si>
  <si>
    <t>Chi phí di chuyển, đi lại HĐ số 33137947</t>
  </si>
  <si>
    <t>Chi phí di chuyển, đi lại HĐ số 33313568</t>
  </si>
  <si>
    <t>Chi phí di chuyển, đi lại HĐ số 15954327</t>
  </si>
  <si>
    <t>Chi phí di chuyển, đi lại HĐ số 34834566</t>
  </si>
  <si>
    <t>Chi phí di chuyển, đi lại HĐ số 00004010</t>
  </si>
  <si>
    <t>Chi phí di chuyển, đi lại HĐ số 35706112</t>
  </si>
  <si>
    <t>Thanh toán Chi phí di chuyển, đi lại HĐ số 04734318</t>
  </si>
  <si>
    <t>Thanh toán Chi phí tiếp khách, ngoại giao HĐ số 00000612</t>
  </si>
  <si>
    <t>Thanh toán Chi phí dịch vụ mua ngoài HĐ số 00034624</t>
  </si>
  <si>
    <t>Thanh toán Chi phí tiếp khách, ngoại giao HĐ số 00002471</t>
  </si>
  <si>
    <t>Thanh toán Chi phí di chuyển, đi lại HĐ số 13636959</t>
  </si>
  <si>
    <t>Thanh toán Chi phí di chuyển, đi lại HĐ số 13892519</t>
  </si>
  <si>
    <t>Thanh toán Chi phí di chuyển, đi lại HĐ số 15601016</t>
  </si>
  <si>
    <t>Thanh toán Chi phí di chuyển, đi lại HĐ số 15638326</t>
  </si>
  <si>
    <t>Thanh toán Chi phí tiếp khách, ngoại giao HĐ số 00007627</t>
  </si>
  <si>
    <t>Thanh toán Chi phí tư vấn thuế - kế toán HĐ số 00000084</t>
  </si>
  <si>
    <t>Thanh toán Chi phí tiếp khách, ngoại giao HĐ số 00003267</t>
  </si>
  <si>
    <t>Thanh toán Chi phí di chuyển, đi lại HĐ số 09760127</t>
  </si>
  <si>
    <t>Thanh toán Chi phí di chuyển, đi lại HĐ số 09998146</t>
  </si>
  <si>
    <t>Thanh toán Chi phí di chuyển, đi lại HĐ số 10040348</t>
  </si>
  <si>
    <t>Thanh toán Chi phí tiếp khách, ngoại giao HĐ số 00009352</t>
  </si>
  <si>
    <t>Thanh toán Chi phí di chuyển, đi lại HĐ số 20473039</t>
  </si>
  <si>
    <t>Thanh toán Chi phí di chuyển, đi lại HĐ số 21065830</t>
  </si>
  <si>
    <t>Thanh toán Chi phí di chuyển, đi lại HĐ số 22467395</t>
  </si>
  <si>
    <t>Thanh toán Chi phí đồ dùng văn phòng HĐ số 00000232</t>
  </si>
  <si>
    <t>Thanh toán Chi phí tư vấn thuế - kế toán HĐ số 00000109</t>
  </si>
  <si>
    <t>Thanh toán Chi phí di chuyển, đi lại HĐ số 14920729</t>
  </si>
  <si>
    <t>Thanh toán Chi phí đồ dùng văn phòng HĐ số 00000322</t>
  </si>
  <si>
    <t>Thanh toán Chi phí đồ dùng văn phòng HĐ số 00085437</t>
  </si>
  <si>
    <t>Thanh toán Chi phí di chuyển, đi lại HĐ số 33112612</t>
  </si>
  <si>
    <t>Thanh toán Chi phí di chuyển, đi lại HĐ số 33137947</t>
  </si>
  <si>
    <t>Thanh toán Chi phí di chuyển, đi lại HĐ số 33313568</t>
  </si>
  <si>
    <t>Thanh toán Chi phí di chuyển, đi lại HĐ số 15954327</t>
  </si>
  <si>
    <t>Thanh toán Chi phí di chuyển, đi lại HĐ số 34834566</t>
  </si>
  <si>
    <t>Thanh toán Chi phí di chuyển, đi lại HĐ số 00004010</t>
  </si>
  <si>
    <t>Thanh toán Chi phí di chuyển, đi lại HĐ số 35706112</t>
  </si>
  <si>
    <t>07/08/2025</t>
  </si>
  <si>
    <t>11/08/2025</t>
  </si>
  <si>
    <t>12/08/2025</t>
  </si>
  <si>
    <t>15/08/2025</t>
  </si>
  <si>
    <t>19/08/2025</t>
  </si>
  <si>
    <t>21/08/2025</t>
  </si>
  <si>
    <t>26/08/2025</t>
  </si>
  <si>
    <t>28/08/2025</t>
  </si>
  <si>
    <t>08/09/2025</t>
  </si>
  <si>
    <t>09/09/2025</t>
  </si>
  <si>
    <t>10/09/2025</t>
  </si>
  <si>
    <t>11/09/2025</t>
  </si>
  <si>
    <t>16/09/2025</t>
  </si>
  <si>
    <t>25/09/2025</t>
  </si>
  <si>
    <t>26/09/2025</t>
  </si>
  <si>
    <t>0315771895</t>
  </si>
  <si>
    <t>0315391861</t>
  </si>
  <si>
    <t>0315484869</t>
  </si>
  <si>
    <t>0111024165</t>
  </si>
  <si>
    <t>0108493600</t>
  </si>
  <si>
    <t>0317776715</t>
  </si>
  <si>
    <t>0109120150</t>
  </si>
  <si>
    <t>0312959095</t>
  </si>
  <si>
    <t>0311537679</t>
  </si>
  <si>
    <t>0318723201</t>
  </si>
  <si>
    <t>0315441181</t>
  </si>
  <si>
    <t>0101063172</t>
  </si>
  <si>
    <t>Doanh thu Phí dịch vụ quảng cáo theo Hợp đồng số MDA/20250724/967 ngày 16/07/2025 và Biên bản nghiệm thu và thanh lý ngày 07/08/2025 HĐ số 1</t>
  </si>
  <si>
    <t>Điều chỉnh giảm Doanh thu Phí dịch vụ quảng cáo theo Hợp đồng số MDA/20250724/967 ngày 16/07/2025 và Biên bản nghiệm thu và thanh lý ngày 07/08/2025 HĐ số 1</t>
  </si>
  <si>
    <t>Doanh thu Dịch vụ quảng cáo và truyền thông theo Hợp đồng số FINTVN-LAURIER-06/25-32 ký ngày 25/07/2025 và Biên bản nghiệm thu ký ngày 07/08/2025 HĐ số 2</t>
  </si>
  <si>
    <t>Điều chỉnh giảm Doanh thu Dịch vụ quảng cáo và truyền thông theo Hợp đồng số FINTVN-LAURIER-06/25-32 ký ngày 25/07/2025 và Biên bản nghiệm thu ký ngày 07/08/2025 HĐ số 2</t>
  </si>
  <si>
    <t>Doanh thu Dịch vụ quảng cáo và truyền thông theo Hợp đồng số 01-2025/HDDV/WM-ONGTHIBALONG ký ngày 05/06/2025 và Biên bản nghiệm thu ký ngày 11/08/2025 HĐ số 3</t>
  </si>
  <si>
    <t>Điều chỉnh giảm Doanh thu Dịch vụ quảng cáo và truyền thông theo Hợp đồng số 01-2025/HDDV/WM-ONGTHIBALONG ký ngày 05/06/2025 và Biên bản nghiệm thu ký ngày 11/08/2025 HĐ số 3</t>
  </si>
  <si>
    <t>Doanh thu Dịch vụ quảng cáo và truyền thông theo Hợp đồng số MSS-NTTT/280725/HDDV ký ngày 28/07/2025 và Biên bản nghiệm thu và thanh lý hợp đồng ký ngày 12/08/2025 HĐ số 4</t>
  </si>
  <si>
    <t>Điều chỉnh giảm Doanh thu Dịch vụ quảng cáo và truyền thông theo Hợp đồng số MSS-NTTT/280725/HDDV ký ngày 28/07/2025 và Biên bản nghiệm thu và thanh lý hợp đồng ký ngày 12/08/2025 HĐ số 4</t>
  </si>
  <si>
    <t>Doanh thu Dịch vụ quảng cáo và truyền thông theo Hợp đồng số 310725/HDDV/STRONGBOW THEMATIC/BTVN-ONGTHIBALONG ký ngày 31/07/2025 và Biên bản nghiệm thu ký ngày 15/08/2025 HĐ số 5</t>
  </si>
  <si>
    <t>Điều chỉnh giảm Doanh thu Dịch vụ quảng cáo và truyền thông theo Hợp đồng số 310725/HDDV/STRONGBOW THEMATIC/BTVN-ONGTHIBALONG ký ngày 31/07/2025 và Biên bản nghiệm thu ký ngày 15/08/2025 HĐ số 5</t>
  </si>
  <si>
    <t>Doanh thu Phí dịch vụ quảng cáo theo Hợp đồng số MDA/20250808/1181 ngày 01/08/2025 và Biên bản nghiệm thu và thanh lý ngày 19/08/2025 HĐ số 7</t>
  </si>
  <si>
    <t>Điều chỉnh giảm Doanh thu Phí dịch vụ quảng cáo theo Hợp đồng số MDA/20250808/1181 ngày 01/08/2025 và Biên bản nghiệm thu và thanh lý ngày 19/08/2025 HĐ số 7</t>
  </si>
  <si>
    <t>Doanh thu Dịch vụ quảng cáo và truyền thông theo Hợp đồng số 2025/HDDV/VTM-ONGTHIBALONG ký ngày 19/08/2025 HĐ số 8</t>
  </si>
  <si>
    <t>Điều chỉnh giảm Doanh thu Dịch vụ quảng cáo và truyền thông theo Hợp đồng số 2025/HDDV/VTM-ONGTHIBALONG ký ngày 19/08/2025 HĐ số 8</t>
  </si>
  <si>
    <t>Doanh thu Dịch vụ quảng cáo và truyền thông cho nhãn hàng 3M™ Scotch-Brite theo Hợp đồng số 680707202504/HDDV/RV/KOL ký ngày 07/07/2025 và Biên bản nghiệm thu &amp; thanh lý ký ngày 26/08/2025 HĐ số 9</t>
  </si>
  <si>
    <t>Điều chỉnh giảm Doanh thu Dịch vụ quảng cáo và truyền thông cho nhãn hàng 3M™ Scotch-Brite theo Hợp đồng số 680707202504/HDDV/RV/KOL ký ngày 07/07/2025 và Biên bản nghiệm thu &amp; thanh lý ký ngày 26/08/2025 HĐ số 9</t>
  </si>
  <si>
    <t>Doanh thu Dịch vụ quảng cáo và truyền thông theo Hợp đồng số 18082025/HDDV-K&amp;K-ONGTHIBALONG-FPT ký ngày 18/08/2025 và Biên bản nghiệm thu ký ngày 28/08/2025 HĐ số 10</t>
  </si>
  <si>
    <t>Điều chỉnh giảm Doanh thu Dịch vụ quảng cáo và truyền thông theo Hợp đồng số 18082025/HDDV-K&amp;K-ONGTHIBALONG-FPT ký ngày 18/08/2025 và Biên bản nghiệm thu ký ngày 28/08/2025 HĐ số 10</t>
  </si>
  <si>
    <t>Doanh thu Dịch vụ quảng cáo và truyền thông theo Hợp đồng số 250811/HDDV/BRAINAD-OTBL ký ngày 11/08/2025 và Biên bản nghiệm thu thanh lý ký ngày 08/09/2025 HĐ số 11</t>
  </si>
  <si>
    <t>Điều chỉnh giảm Doanh thu Dịch vụ quảng cáo và truyền thông theo Hợp đồng số 250811/HDDV/BRAINAD-OTBL ký ngày 11/08/2025 và Biên bản nghiệm thu thanh lý ký ngày 08/09/2025 HĐ số 11</t>
  </si>
  <si>
    <t>Doanh thu Chi phí cung cấp dịch vụ cho nhãn hàng KFC theo hợp đồng số 1508/2025/HĐDV - GAXOMATO/TAL - OTBL ký ngày 08/09/2025 và Biên bản nghiệm thu và thanh lý hợp đồng kỳ ngày 09/09/2025 HĐ số 12</t>
  </si>
  <si>
    <t>Điều chỉnh giảm Doanh thu Chi phí cung cấp dịch vụ cho nhãn hàng KFC theo hợp đồng số 1508/2025/HĐDV - GAXOMATO/TAL - OTBL ký ngày 08/09/2025 và Biên bản nghiệm thu và thanh lý hợp đồng kỳ ngày 09/09/2025 HĐ số 12</t>
  </si>
  <si>
    <t>Doanh thu Dịch vụ quảng cáo và truyền thông theo Hợp đồng số 0809.25/VL ký ngày 08/09/2025 và Biên bản nghiệm thu ký ngày 10/09/2025 HĐ số 13</t>
  </si>
  <si>
    <t>Điều chỉnh giảm Doanh thu Dịch vụ quảng cáo và truyền thông theo Hợp đồng số 0809.25/VL ký ngày 08/09/2025 và Biên bản nghiệm thu ký ngày 10/09/2025 HĐ số 13</t>
  </si>
  <si>
    <t>Doanh thu Dịch vụ quảng cáo và truyền thông theo Hợp đồng số MSS-NTTT/210825/HDDV ký ngày 21/08/2025 và Biên bản nghiệm thu và thanh lý hợp đồng ký ngày 10/09/2025 HĐ số 14</t>
  </si>
  <si>
    <t>Điều chỉnh giảm Doanh thu Dịch vụ quảng cáo và truyền thông theo Hợp đồng số MSS-NTTT/210825/HDDV ký ngày 21/08/2025 và Biên bản nghiệm thu và thanh lý hợp đồng ký ngày 10/09/2025 HĐ số 14</t>
  </si>
  <si>
    <t>Doanh thu Dịch vụ quảng cáo và truyền thông cho nhãn hàng NIVEA theo Hợp đồng số 0809/ONGTHIBALONG-LAVA/2025 ký ngày 08/09/2025 và Biên bản nghiệm thu ký ngày 11/09/2025 HĐ số 15</t>
  </si>
  <si>
    <t>Điều chỉnh giảm Doanh thu Dịch vụ quảng cáo và truyền thông cho nhãn hàng NIVEA theo Hợp đồng số 0809/ONGTHIBALONG-LAVA/2025 ký ngày 08/09/2025 và Biên bản nghiệm thu ký ngày 11/09/2025 HĐ số 15</t>
  </si>
  <si>
    <t>Doanh thu Dịch vụ quảng cáo và truyền thông theo Hợp đồng số 364/2025/HDDV – TM ký ngày 14/08/2025 và Biên bản nghiệm thu ký ngày 16/09/2025 HĐ số 16</t>
  </si>
  <si>
    <t>Điều chỉnh giảm Doanh thu Dịch vụ quảng cáo và truyền thông theo Hợp đồng số 364/2025/HDDV – TM ký ngày 14/08/2025 và Biên bản nghiệm thu ký ngày 16/09/2025 HĐ số 16</t>
  </si>
  <si>
    <t>Doanh thu Dịch vụ quảng cáo và truyền thông theo Hợp đồng số AME/OTBL/FIESTA/2025-HDDV-2125P ký ngày 09/09/2025 và Biên bản nghiệm thu ký ngày 25/09/2025 HĐ số 17</t>
  </si>
  <si>
    <t>Điều chỉnh giảm Doanh thu Dịch vụ quảng cáo và truyền thông theo Hợp đồng số AME/OTBL/FIESTA/2025-HDDV-2125P ký ngày 09/09/2025 và Biên bản nghiệm thu ký ngày 25/09/2025 HĐ số 17</t>
  </si>
  <si>
    <t>Doanh thu Dịch vụ quảng cáo và truyền thông theo Hợp đồng số 861108202501/HDDV/RV/KOL ký ngày 01/08/2025 và Biên bản nghiệm thu ký ngày 25/09/2025 HĐ số 18</t>
  </si>
  <si>
    <t>Điều chỉnh giảm Doanh thu Dịch vụ quảng cáo và truyền thông theo Hợp đồng số 861108202501/HDDV/RV/KOL ký ngày 01/08/2025 và Biên bản nghiệm thu ký ngày 25/09/2025 HĐ số 18</t>
  </si>
  <si>
    <t>Doanh thu Dịch vụ quảng cáo và truyền thông theo Hợp đồng số HDDV/VNMxVĐxHKDOTBL/290825 kýngày 29/08/2025 và Biên bản nghiệm thu ký ngày 26/09/2025 HĐ số 19</t>
  </si>
  <si>
    <t>Điều chỉnh giảm Doanh thu Dịch vụ quảng cáo và truyền thông theo Hợp đồng số HDDV/VNMxVĐxHKDOTBL/290825 kýngày 29/08/2025 và Biên bản nghiệm thu ký ngày 26/09/2025 HĐ số 19</t>
  </si>
  <si>
    <t>28/07/2025</t>
  </si>
  <si>
    <t>04/08/2025</t>
  </si>
  <si>
    <t>09/08/2025</t>
  </si>
  <si>
    <t>16/08/2025</t>
  </si>
  <si>
    <t>01/09/2025</t>
  </si>
  <si>
    <t>02/09/2025</t>
  </si>
  <si>
    <t>05/09/2025</t>
  </si>
  <si>
    <t>15/09/2025</t>
  </si>
  <si>
    <t>4200700454</t>
  </si>
  <si>
    <t>0316204987</t>
  </si>
  <si>
    <t>0316670804</t>
  </si>
  <si>
    <t>0317343246</t>
  </si>
  <si>
    <t>0313596856</t>
  </si>
  <si>
    <t>0304692137</t>
  </si>
  <si>
    <t>Lệ phí Chứng thư CKS Token-HKD-MBCA (3 năm), USB Token-DN/HKD-MBCA, Phí duy trì Chứng thư CKS Token-HKD-MBCA (3 năm) HĐ số 68623</t>
  </si>
  <si>
    <t>Chi phí Phần mềm hóa đơn điện tử M-100 079200020738.matbao.in (1 năm) HĐ số 68559</t>
  </si>
  <si>
    <t>Chi phí tiếp khách, ngoại giao HĐ số 4388</t>
  </si>
  <si>
    <t>Chi phí tiếp khách, ngoại giao HĐ số 3079</t>
  </si>
  <si>
    <t>Chi phí tiếp khách, ngoại giao HĐ số 859</t>
  </si>
  <si>
    <t>Chi phí tiếp khách, ngoại giao HĐ số 354283</t>
  </si>
  <si>
    <t>Chi phí đồ dùng văn phòng HĐ số 37976</t>
  </si>
  <si>
    <t>Phí dịch vụ tư vấn tháng 08/2025 HĐ số 120 HĐ số 120</t>
  </si>
  <si>
    <t>Chi phí đồ dùng văn phòng HĐ số 887453</t>
  </si>
  <si>
    <t>Chi phí tiếp khách, ngoại giao HĐ số 1272</t>
  </si>
  <si>
    <t>Chi phí tiếp khách, ngoại giao HĐ số 938756</t>
  </si>
  <si>
    <t>Chi phí dịch vụ Affiliate tháng 2025.06 HĐ số 1128249</t>
  </si>
  <si>
    <t>Thanh toán Chi phí Phần mềm hóa đơn điện tử M-100 079200020738.matbao.in (1 năm) HĐ số 68559</t>
  </si>
  <si>
    <t>Thanh toán Lệ phí Chứng thư CKS Token-HKD-MBCA (3 năm), USB Token-DN/HKD-MBCA, Phí duy trì Chứng thư CKS Token-HKD-MBCA (3 năm) HĐ số 68623</t>
  </si>
  <si>
    <t>Thanh toán Chi phí tiếp khách, ngoại giao HĐ số 4388</t>
  </si>
  <si>
    <t>Thanh toán Chi phí tiếp khách, ngoại giao HĐ số 3079</t>
  </si>
  <si>
    <t>Thanh toán Chi phí tiếp khách, ngoại giao HĐ số 859</t>
  </si>
  <si>
    <t>Thanh toán Chi phí tiếp khách, ngoại giao HĐ số 354283</t>
  </si>
  <si>
    <t>Thanh toán Chi phí đồ dùng văn phòng HĐ số 37976</t>
  </si>
  <si>
    <t>Thanh toán Phí dịch vụ tư vấn tháng 08/2025 HĐ số 120 HĐ số 120</t>
  </si>
  <si>
    <t>Thanh toán Chi phí đồ dùng văn phòng HĐ số 887453</t>
  </si>
  <si>
    <t>Thanh toán Chi phí tiếp khách, ngoại giao HĐ số 1272</t>
  </si>
  <si>
    <t>Thanh toán Chi phí tiếp khách, ngoại giao HĐ số 938756</t>
  </si>
  <si>
    <t>Thanh toán Chi phí dịch vụ Affiliate tháng 2025.06 HĐ số 1128249</t>
  </si>
  <si>
    <t>Nộp tiền gửi ngân hàng</t>
  </si>
  <si>
    <t>Nhận Doanh thu Dịch vụ quảng cáo và truyền thông theo Hợp đồng số 01-2025/HDDV/WM-ONGTHIBALONG ký ngày 05/06/2025 và Biên bản nghiệm thu ký ngày 11/08/2025 HĐ số 3</t>
  </si>
  <si>
    <t>Nhận Doanh thu Dịch vụ quảng cáo và truyền thông theo Hợp đồng số MSS-NTTT/280725/HDDV ký ngày 28/07/2025 và Biên bản nghiệm thu và thanh lý hợp đồng ký ngày 12/08/2025 HĐ số 4</t>
  </si>
  <si>
    <t>Nhận Doanh thu Dịch vụ quảng cáo và truyền thông theo Hợp đồng số 310725/HDDV/STRONGBOW THEMATIC/BTVN-ONGTHIBALONG ký ngày 31/07/2025 và Biên bản nghiệm thu ký ngày 15/08/2025 HĐ số 5</t>
  </si>
  <si>
    <t>Nhận Doanh thu Dịch vụ quảng cáo và truyền thông theo Hợp đồng số FINTVN-LAURIER-06/25-32 ký ngày 25/07/2025 và Biên bản nghiệm thu ký ngày 07/08/2025 HĐ số 2</t>
  </si>
  <si>
    <t>Nhận Doanh thu Dịch vụ quảng cáo và truyền thông theo Hợp đồng số MSS-NTTT/210825/HDDV ký ngày 21/08/2025 và Biên bản nghiệm thu và thanh lý hợp đồng ký ngày 10/09/2025 HĐ số 14</t>
  </si>
  <si>
    <t>Nhận Doanh thu Phí dịch vụ quảng cáo theo Hợp đồng số MDA/20250724/967 ngày 16/07/2025 và Biên bản nghiệm thu và thanh lý ngày 07/08/2025 HĐ số 1</t>
  </si>
  <si>
    <t>Nhận Doanh thu Phí dịch vụ quảng cáo theo Hợp đồng số MDA/20250808/1181 ngày 01/08/2025 và Biên bản nghiệm thu và thanh lý ngày 19/08/2025 HĐ số 7</t>
  </si>
  <si>
    <t>Doanh thu Dịch vụ quảng cáo dự án VinFast XMĐ T7-8 theo BBTL của hợp đồng số HĐ/2124/2025/METUB ký ngày 17/07/2025 HĐ số 6</t>
  </si>
  <si>
    <t>Nhận Doanh thu Dịch vụ quảng cáo dự án VinFast XMĐ T7-8 theo BBTL của hợp đồng số HĐ/2124/2025/METUB ký ngày 17/07/2025 HĐ số 6</t>
  </si>
  <si>
    <t>Điều chỉnh giảm Doanh thu dịch vụ quảng cáo dự án VinFast XMĐ T7-8 theo BBTL của hợp đồng số HĐ/2124/2025/METUB ký ngày 17/07/2025 HĐ số 6</t>
  </si>
  <si>
    <t>Nhận Doanh thu Dịch vụ quảng cáo và truyền thông cho nhãn hàng NIVEA theo Hợp đồng số 0809/ONGTHIBALONG-LAVA/2025 ký ngày 08/09/2025 và Biên bản nghiệm thu ký ngày 11/09/2025 HĐ số 15</t>
  </si>
  <si>
    <t>Nhận Doanh thu Dịch vụ quảng cáo và truyền thông theo Hợp đồng số 0809.25/VL ký ngày 08/09/2025 và Biên bản nghiệm thu ký ngày 10/09/2025 HĐ số 13</t>
  </si>
  <si>
    <t>Nhận Doanh thu Chi phí cung cấp dịch vụ cho nhãn hàng KFC theo hợp đồng số 1508/2025/HĐDV - GAXOMATO/TAL - OTBL ký ngày 08/09/2025 và Biên bản nghiệm thu và thanh lý hợp đồng kỳ ngày 09/09/2025 HĐ số 12</t>
  </si>
  <si>
    <t>Khách hàng chuyển tiền nhầm</t>
  </si>
  <si>
    <t>Hoàn tiền khách hàng chuyển tiền nhầm</t>
  </si>
  <si>
    <t>079200020738</t>
  </si>
  <si>
    <t>Nhận Doanh thu Dịch vụ quảng cáo và truyền thông cho nhãn hàng 3M™ Scotch-Brite theo Hợp đồng số 680707202504/HDDV/RV/KOL ký ngày 07/07/2025 và Biên bản nghiệm thu &amp; thanh lý ký ngày 26/08/2025 HĐ số 9</t>
  </si>
  <si>
    <t>Nhận Doanh thu Dịch vụ quảng cáo và truyền thông theo Hợp đồng số 18082025/HDDV-K&amp;K-ONGTHIBALONG-FPT ký ngày 18/08/2025 và Biên bản nghiệm thu ký ngày 28/08/2025 HĐ số 10</t>
  </si>
  <si>
    <t>Nhận tiền khách hàng chuyển nhầm</t>
  </si>
  <si>
    <t>17/07/2025</t>
  </si>
  <si>
    <t>24/07/2025</t>
  </si>
  <si>
    <t>20/08/2025</t>
  </si>
  <si>
    <t>30/08/2025</t>
  </si>
  <si>
    <t>18/09/2025</t>
  </si>
  <si>
    <t>19/09/2025</t>
  </si>
  <si>
    <t>0110731193</t>
  </si>
  <si>
    <t>0314709816</t>
  </si>
  <si>
    <t>0109633811</t>
  </si>
  <si>
    <t>0318289471</t>
  </si>
  <si>
    <t>0318496894</t>
  </si>
  <si>
    <t>Doanh thu Dịch vụ đại diện diễn giả chương trình &amp;quot;Sổ Tay Thuế&amp;quot; theo Hợp đồng số 01/2025/HDDV-MKT-HT ký ngày 09/07/2025 và Biên bản nghiệm thu ký ngày 17/07/2025 HĐ số 10</t>
  </si>
  <si>
    <t>Doanh thu Dịch vụ quảng cáo và truyền thông theo Hợp đồng số 07/2025/TTS/HUYNHTHUYEN/DUOCHAUGIANG ký ngày 01/07/2025 và Biên bản nghiệm thu ký ngày 17/07/2025 HĐ số 11</t>
  </si>
  <si>
    <t>Doanh thu Dịch vụ quảng cáo và truyền thông theo Hợp đồng số 2706/2025/KOS-HĐDV ký ngày 27/06/2025 HĐ số 12</t>
  </si>
  <si>
    <t>Doanh thu Dịch vụ quảng cáo và truyền thông theo Thỏa thuận ký ngày 01/07/2025 và Biên bản nghiệm thu ký ngày 24/07/2025 HĐ số 13</t>
  </si>
  <si>
    <t>Doanh thu Thanh toán phí dịch vụ OAP - Glyco Campaign P2 - Extra - Scope 3 - Video - 3007 SOW số No. 18798/2025/WPP-BTL-LO - ID tiktok: thuyenhuynh HĐ số 14</t>
  </si>
  <si>
    <t>Doanh thu Dịch vụ quảng cáo và truyền thông theo Hợp đồng số HKD HT_GARNIER_01072025 ký ngày 01/07/2025 và Biên bản nghiệm thu ký ngày 28/07/2025 HĐ số 15</t>
  </si>
  <si>
    <t>Điều chỉnh giảm Doanh thu Dịch vụ quảng cáo và truyền thông theo Hợp đồng số HKD HT_GARNIER_01072025 ký ngày 01/07/2025 và Biên bản nghiệm thu ký ngày 28/07/2025 HĐ số 15</t>
  </si>
  <si>
    <t>Doanh thu Dịch vụ quảng cáo và truyền thông theo Hợp đồng số HKD HT_JUMISO_01072025 ký ngày 01/07/2025 HĐ số 17</t>
  </si>
  <si>
    <t>Điều chỉnh giảm Doanh thu Dịch vụ quảng cáo và truyền thông theo Hợp đồng số HKD HT_JUMISO_01072025 ký ngày 01/07/2025 HĐ số 17</t>
  </si>
  <si>
    <t>Doanh thu Dịch vụ quảng cáo và truyền thông theo Hợp đồng số 01-0608/2025/HĐDV/MK-HT ký ngày 06/08/2025 HĐ số 18</t>
  </si>
  <si>
    <t>Điều chỉnh giảm Doanh thu Dịch vụ quảng cáo và truyền thông theo Hợp đồng số 01-0608/2025/HĐDV/MK-HT ký ngày 06/08/2025 HĐ số 18</t>
  </si>
  <si>
    <t>Doanh thu Dịch vụ quảng cáo và truyền thông theo Hợp đồng số 1608/2025/TTS/HUYNHTHUYEN/CETAPHIL ký ngày 16/08/2025 và Biên bản nghiệm thu ký ngày 21/08/2025 HĐ số 19</t>
  </si>
  <si>
    <t>Điều chỉnh giảm Doanh thu Dịch vụ quảng cáo và truyền thông theo Hợp đồng số 1608/2025/TTS/HUYNHTHUYEN/CETAPHIL ký ngày 16/08/2025 và Biên bản nghiệm thu ký ngày 21/08/2025 HĐ số 19</t>
  </si>
  <si>
    <t>Doanh thu Dịch vụ quảng cáo theo Hợp đồng số 06/25072025/HDDV/MS-HT ký ngày 25/07/2025 kèm Biên bản nghiệm thu và thanh lý Hợp đồng ký ngày 21/08/2025 HĐ số 20</t>
  </si>
  <si>
    <t>Điều chỉnh giảm Doanh thu Dịch vụ quảng cáo theo Hợp đồng số 06/25072025/HDDV/MS-HT ký ngày 25/07/2025 kèm Biên bản nghiệm thu và thanh lý Hợp đồng ký ngày 21/08/2025 HĐ số 20</t>
  </si>
  <si>
    <t>Doanh thu Dịch vụ quảng cáo và truyền thông theo hợp đồng số 01/2025/HĐ-MKT ký ngày 07/08/2025 Advertising and Communication Services under Contract No. 01/2025/HĐ-MKT signed on August 7, 2025 HĐ số 21</t>
  </si>
  <si>
    <t>Điều chỉnh giảm Doanh thu Dịch vụ quảng cáo và truyền thông theo hợp đồng số 01/2025/HĐ-MKT ký ngày 07/08/2025 Advertising and Communication Services under Contract No. 01/2025/HĐ-MKT signed on August 7, 2025 HĐ số 21</t>
  </si>
  <si>
    <t>Doanh thu Dịch vụ quảng cáo và truyền thông theo Hợp đồng số HKD HT_ABIB_31082025 ký ngày 31/08/2025 và Biên bản nghiệm thu ký ngày 10/09/2025 HĐ số 22</t>
  </si>
  <si>
    <t>Điều chỉnh giảm Doanh thu Dịch vụ quảng cáo và truyền thông theo Hợp đồng số HKD HT_ABIB_31082025 ký ngày 31/08/2025 và Biên bản nghiệm thu ký ngày 10/09/2025 HĐ số 22</t>
  </si>
  <si>
    <t>Doanh thu Dịch vụ quảng cáo và truyền thông theo Hợp đồng số HKD HT_ Nineless_01092025 ký ngày 01/09/2025 và Biên bản nghiệm thu ký ngày 10/09/2025 HĐ số 23</t>
  </si>
  <si>
    <t>Điều chỉnh giảm Doanh thu Dịch vụ quảng cáo và truyền thông theo Hợp đồng số HKD HT_ Nineless_01092025 ký ngày 01/09/2025 và Biên bản nghiệm thu ký ngày 10/09/2025 HĐ số 23</t>
  </si>
  <si>
    <t>Doanh thu Dịch vụ quảng cáo và truyền thông theo Hợp đồng số 17/09/2025/HĐDVSE-KOL ký ngày 17/09/2025 HĐ số 1</t>
  </si>
  <si>
    <t>Điều chỉnh giảm Doanh thu Dịch vụ quảng cáo và truyền thông theo Hợp đồng số 17/09/2025/HĐDVSE-KOL ký ngày 17/09/2025 HĐ số 1</t>
  </si>
  <si>
    <t>Doanh thu Dịch vụ quảng cáo và truyền thông theo HKD HUYNHTHUYEN_ GARNIER_TRI_ACID_01092025 ký ngày 01/09/2025 và Biên bản nghiệm thu ký ngày 19/09/2025 HĐ số 2</t>
  </si>
  <si>
    <t>Điều chỉnh giảm Doanh thu Dịch vụ quảng cáo và truyền thông theo HKD HUYNHTHUYEN_ GARNIER_TRI_ACID_01092025 ký ngày 01/09/2025 và Biên bản nghiệm thu ký ngày 19/09/2025 HĐ số 2</t>
  </si>
  <si>
    <t>0303710489</t>
  </si>
  <si>
    <t>0108269207</t>
  </si>
  <si>
    <t>0318993536</t>
  </si>
  <si>
    <t>0314240161</t>
  </si>
  <si>
    <t>0402167552</t>
  </si>
  <si>
    <t>Nhận Doanh thu Dịch vụ quảng cáo và truyền thông theo SOW số 10681/2025/WPP-BTL-LO HĐ số 00000009</t>
  </si>
  <si>
    <t>Nhận Doanh thu Dịch vụ quảng cáo và truyền thông theo hợp đồng số 0606/2025/TTS/HUYNHTHUYEN/ANESSA HĐ số 00000008</t>
  </si>
  <si>
    <t>Nộp Thuế GTGT, TNCN sàn TMĐT 07/07/2025</t>
  </si>
  <si>
    <t>Nhận Doanh thu Dịch vụ quảng cáo và truyền thông theo Hợp đồng số 2706/2025/KOS-HĐDV ký ngày 27/06/2025 HĐ số 12</t>
  </si>
  <si>
    <t>Nhận Doanh thu Thanh toán phí dịch vụ OAP - Glyco Campaign P2 - Extra - Scope 3 - Video - 3007 SOW số No. 18798/2025/WPP-BTL-LO - ID tiktok: thuyenhuynh HĐ số 14</t>
  </si>
  <si>
    <t>Doanh thu Hoa hồng tiếp thị liên kết</t>
  </si>
  <si>
    <t>Nhận Doanh thu Hoa hồng tiếp thị liên kết</t>
  </si>
  <si>
    <t>TÊN ĐỐI TƯỢNG</t>
  </si>
  <si>
    <t>ĐỊA CHỈ</t>
  </si>
  <si>
    <t>MÃ SỐ THUẾ</t>
  </si>
  <si>
    <t>NHÓM ĐỐI TƯỢNG</t>
  </si>
  <si>
    <t>LOẠI KHÁCH HÀNG</t>
  </si>
  <si>
    <t>TIKTOK PTE LTD.</t>
  </si>
  <si>
    <t/>
  </si>
  <si>
    <t>N002</t>
  </si>
  <si>
    <t>2</t>
  </si>
  <si>
    <t>MADSQUARE INC.</t>
  </si>
  <si>
    <t>0100100294</t>
  </si>
  <si>
    <t>CÔNG TY CỔ PHẦN - VIỆN NGHIÊN CỨU DỆT MAY</t>
  </si>
  <si>
    <t>0100107518</t>
  </si>
  <si>
    <t>TỔNG CÔNG TY HÀNG KHÔNG VIỆT NAM  - CTCP</t>
  </si>
  <si>
    <t>0100109106</t>
  </si>
  <si>
    <t>TẬP ĐOÀN CÔNG NGHIỆP - VIỄN THÔNG QUÂN ĐỘI</t>
  </si>
  <si>
    <t>0100112162</t>
  </si>
  <si>
    <t>CÔNG TY TNHH LIÊN DOANH KHÁCH SẠN THỐNG NHẤT METROPOLE</t>
  </si>
  <si>
    <t>NGÂN HÀNG TMCP KỸ THƯƠNG VIỆT NAM</t>
  </si>
  <si>
    <t>NGÂN HÀNG TMCP QUÂN ĐỘI</t>
  </si>
  <si>
    <t>0101794983-004</t>
  </si>
  <si>
    <t>CÔNG TY CỔ PHẦN QUỐC TẾ TAM SƠN - CHI NHÁNH HCM</t>
  </si>
  <si>
    <t>0102068494-002</t>
  </si>
  <si>
    <t>CHI NHÁNH CÔNG TY TNHH LOUIS VUITTON VIỆT NAM</t>
  </si>
  <si>
    <t>0102182292</t>
  </si>
  <si>
    <t>CÔNG TY CỔ PHẦN GIẢI PHÁP THANH TOÁN VIỆT NAM</t>
  </si>
  <si>
    <t>CÔNG TY CỔ PHẦN TẬP ĐOÀN GOLDEN GATE - CHI NHÁNH MIỀN NAM</t>
  </si>
  <si>
    <t>0104109604</t>
  </si>
  <si>
    <t>CÔNG TY CỔ PHẦN VẬN TẢI THƯƠNG MẠI VÀ DỊCH VỤ HÀ NỘI</t>
  </si>
  <si>
    <t>CÔNG TY CỔ PHẦN MỸ PHẨM QUỐC TẾ THÙY DUNG</t>
  </si>
  <si>
    <t>0106912888</t>
  </si>
  <si>
    <t>CÔNG TY CỔ PHẦN Y VIỆT - PHÒNG KHÁM BỆNH VIỆN ĐẠI HỌC Y DƯỢC 1</t>
  </si>
  <si>
    <t>CÔNG TY TNHH NOVOPHARM</t>
  </si>
  <si>
    <t>0107465657</t>
  </si>
  <si>
    <t>CÔNG TY CỔ PHẦN HESMAN VIỆT NAM</t>
  </si>
  <si>
    <t>0107742477-001</t>
  </si>
  <si>
    <t>CHI NHÁNH CÔNG TY CP TẦM NHÌN QUỐC TẾ ALADDIN</t>
  </si>
  <si>
    <t>0107762787-001</t>
  </si>
  <si>
    <t>CHI NHÁNH CÔNG TY CỔ PHẦN THẦN BIỂN</t>
  </si>
  <si>
    <t>CHI NHÁNH CÔNG TY TNHH DỊCH VỤ NHÀ HÀNG NGỌC TÚ TẠI THÀNH PHỐ HỒ CHÍ MINH</t>
  </si>
  <si>
    <t>0107826399</t>
  </si>
  <si>
    <t>CÔNG TY CỔ PHẦN CROWNHANOI</t>
  </si>
  <si>
    <t>0108075931</t>
  </si>
  <si>
    <t>CÔNG TY TNHH THƯƠNG MẠI TỔNG HỢP HTV</t>
  </si>
  <si>
    <t>CÔNG TY CỔ PHẦN BE GROUP</t>
  </si>
  <si>
    <t>0108269207-005</t>
  </si>
  <si>
    <t>CHI NHÁNH CÔNG TY CỔ PHẦN BE GROUP TẠI BÌNH DƯƠNG</t>
  </si>
  <si>
    <t>0108335146</t>
  </si>
  <si>
    <t>CÔNG TY CỔ PHẦN GENA THÁI BÌNH DƯƠNG</t>
  </si>
  <si>
    <t>CÔNG TY TNHH HAI DI LAO VIET NAM HOLDINGS - CHI NHÁNH THÀNH PHỐ HỒ CHÍ MINH</t>
  </si>
  <si>
    <t>0108740384</t>
  </si>
  <si>
    <t>CÔNG TY TNHH XUẤT NHẬP KHẨU BEPOS VIỆT NAM</t>
  </si>
  <si>
    <t>CÔNG TY TNHH TRUYỀN THÔNG VÀ SỰ KIỆN 3BROTHERS</t>
  </si>
  <si>
    <t>Số 24/20, Đường Mậu Thân, Khóm 1, Phường 3, Thành phố Vĩnh Long, Tỉnh Vĩnh Long, Việt Nam</t>
  </si>
  <si>
    <t>0108771840</t>
  </si>
  <si>
    <t>CÔNG TY TNHH STYLEKOREAN VIETNAM</t>
  </si>
  <si>
    <t>CHI NHÁNH THÀNH PHỐ HỒ CHÍ MINH - CÔNG TY CỔ PHẦN ẨM THỰC MẶT TRỜI VÀNG</t>
  </si>
  <si>
    <t>Số 667 đường Điện Biên Phủ, Phường 25, Quận Bình Thạnh, Thành phố Hồ Chí Minh, Việt Nam</t>
  </si>
  <si>
    <t>0109128488</t>
  </si>
  <si>
    <t>CÔNG TY TNHH CAFE THÁI YÊN</t>
  </si>
  <si>
    <t>0109148205</t>
  </si>
  <si>
    <t>CÔNG TY TNHH C-STORE VIỆT NAM</t>
  </si>
  <si>
    <t>CÔNG TY CỔ PHẦN CÔNG NGHỆ UPBASE</t>
  </si>
  <si>
    <t>CÔNG TY TNHH KOSMOS LIFESTYLE</t>
  </si>
  <si>
    <t>Tầng 14, Toà nhà Hapro, số 11B Cát Linh, Phường Ô Chợ Dừa, TP Hà Nội, Việt Nam</t>
  </si>
  <si>
    <t>CÔNG TY CỔ PHẦN BEST ME</t>
  </si>
  <si>
    <t>0109943563</t>
  </si>
  <si>
    <t>CÔNG TY CỔ PHẦN DƯỢC MỸ PHẨM WECAN</t>
  </si>
  <si>
    <t>CÔNG TY TNHH TƯ VẤN TĂNG TRƯỞNG VÀ TRẢI NGHIỆM THƯƠNG HIỆU - BA ASIA CONSULTING</t>
  </si>
  <si>
    <t>CÔNG TY TNHH TƯ VẤN VÀ KẾ TOÁN T&amp;C</t>
  </si>
  <si>
    <t>CÔNG TY TNHH JUNE SUN YVAN</t>
  </si>
  <si>
    <t>0110128002</t>
  </si>
  <si>
    <t>CÔNG TY TNHH CIMEE</t>
  </si>
  <si>
    <t>CÔNG TY CỔ PHẦN DI CHUYỂN XANH VÀ THÔNG MINH GSM</t>
  </si>
  <si>
    <t>CHI NHÁNH THÀNH PHỐ HỒ CHÍ MINH - CÔNG TY CỔ PHẦN DI CHUYỂN XANH VÀ THÔNG MINH GSM</t>
  </si>
  <si>
    <t>Lầu 20A, Vincom Đồng Khởi, 72 Lê Thánh Tôn , Phường Bến Nghé, Quận 1, Thành phố Hồ Chí Minh, Việt Nam</t>
  </si>
  <si>
    <t>0110269067-013</t>
  </si>
  <si>
    <t>CHI NHÁNH BÌNH DƯƠNG - CÔNG TY CỔ PHẦN DI CHUYỂN XANH VÀ THÔNG MINH GSM</t>
  </si>
  <si>
    <t>0110271789</t>
  </si>
  <si>
    <t>CÔNG TY CỔ PHẦN CHUỖI NHÀ HÀNG SVN</t>
  </si>
  <si>
    <t>CÔNG TY TNHH THE MAY GROUP</t>
  </si>
  <si>
    <t>Số 61 Central Street, Sunrise A, Khu đô thị The Manor Central Park, Phường Định Công, TP Hà Nội, Việt Nam</t>
  </si>
  <si>
    <t>0300555450</t>
  </si>
  <si>
    <t>CÔNG TY XĂNG DẦU KHU VỰC II TNHH MỘT THÀNH VIÊN</t>
  </si>
  <si>
    <t>0300555450-001</t>
  </si>
  <si>
    <t>CHI NHÁNH XĂNG DẦU SÀI GÒN - CÔNG TY XĂNG DẦU KHU VỰC II TNHH MỘT THÀNH VIÊN</t>
  </si>
  <si>
    <t>0300648218</t>
  </si>
  <si>
    <t>CÔNG TY CỔ PHẦN ĐẦU TƯ TIMES SQUARE VIỆT NAM</t>
  </si>
  <si>
    <t>NGÂN HÀNG TMCP SÀI GÒN THƯƠNG TÍN</t>
  </si>
  <si>
    <t>266-268 Nam Kỳ Khởi Nghĩa, Phường Võ Thị Sáu, Quận 3, TP. Hồ Chí Minh</t>
  </si>
  <si>
    <t>CHI CỤC THUẾ QUẬN TÂN BÌNH</t>
  </si>
  <si>
    <t>0302218267</t>
  </si>
  <si>
    <t>CÔNG TY TNHH THƯƠNG MẠI DỊCH VỤ PHƯƠNG PHÁT</t>
  </si>
  <si>
    <t>CÔNG TY CỔ PHẦN MẮT BÃO</t>
  </si>
  <si>
    <t>12A Núi Thành, Phường 13, Quận Tân Bình, Thành phố Hồ Chí Minh, Việt Nam</t>
  </si>
  <si>
    <t>CÔNG TY TNHH MỘC F&amp;B</t>
  </si>
  <si>
    <t>0303920493</t>
  </si>
  <si>
    <t>CÔNG TY CỔ PHẦN BỆNH VIỆN ĐA KHOA TÂM ANH TP. HỒ CHÍ MINH</t>
  </si>
  <si>
    <t>0303941849-002</t>
  </si>
  <si>
    <t>ĐỊA ĐIỂM KINH DOANH – HỘ KINH DOANH XÍCH LÔ QUÁN – CHAY SOHA</t>
  </si>
  <si>
    <t>CÔNG TY CỔ PHẦN THỜI TRANG VÀ MỸ PHẨM DUY ANH</t>
  </si>
  <si>
    <t>0304907505</t>
  </si>
  <si>
    <t>CÔNG TY TNHH BẢO HIỂM CHUBB VIỆT NAM</t>
  </si>
  <si>
    <t>CÔNG TY TNHH THƯƠNG MẠI MINH KHƯƠNG</t>
  </si>
  <si>
    <t>3A Trần Khánh Dư, Phường Tân Định, TP Hồ Chí Minh, Việt Nam</t>
  </si>
  <si>
    <t>0306133695</t>
  </si>
  <si>
    <t>CÔNG TY CỔ PHẦN CLICKMEDIA</t>
  </si>
  <si>
    <t>CÔNG TY TNHH ADIDAS VIỆT NAM</t>
  </si>
  <si>
    <t>0309300048</t>
  </si>
  <si>
    <t>CÔNG TY TNHH THỜI TRANG VÀ MỸ PHẨM ÂU CHÂU</t>
  </si>
  <si>
    <t>0309452474</t>
  </si>
  <si>
    <t>CÔNG TY TNHH NHA KHOA HOA HỒNG</t>
  </si>
  <si>
    <t>0309456285</t>
  </si>
  <si>
    <t>CÔNG TY CỔ PHẦN NHÀ THÁI</t>
  </si>
  <si>
    <t>0309672832</t>
  </si>
  <si>
    <t>CÔNG TY TNHH MỸ PHẨM SHISEIDO VIỆT NAM</t>
  </si>
  <si>
    <t>0310692223</t>
  </si>
  <si>
    <t>CÔNG TY TNHH GOLDEN TRUST</t>
  </si>
  <si>
    <t>CÔNG TY TNHH AEON VIỆT NAM</t>
  </si>
  <si>
    <t>0311433077</t>
  </si>
  <si>
    <t>CÔNG TY CỔ PHẦN DỊCH VỤ PHÂN PHỐI TỔNG HỢP QUỐC TẾ</t>
  </si>
  <si>
    <t>0311854540</t>
  </si>
  <si>
    <t>CÔNG TY CỔ PHẦN ĐẦU TƯ VIÊN NGỌC MỚI</t>
  </si>
  <si>
    <t>0311854540-006</t>
  </si>
  <si>
    <t>CÔNG TY CỔ PHẦN  ĐẦU TƯ VIÊN NGỌC MỚI – CHI NHÁNH NHÀ HÀNG CHANG KANG KUNG EMART</t>
  </si>
  <si>
    <t>0311854540-009</t>
  </si>
  <si>
    <t>CÔNG TY CỔ PHẦN ĐẦU TƯ VIÊN NGỌC MỚI- CHI NHÁNH NHÀ HÀNG CHANG KANG KUNG VẠN HẠNH MALL</t>
  </si>
  <si>
    <t>0311854540-012</t>
  </si>
  <si>
    <t>CÔNG TY CỔ PHẦN ĐẦU TƯ VIÊN NGỌC MỚI- CHI NHÁNH NHÀ HÀNG CHANG KANG KUNG 1</t>
  </si>
  <si>
    <t>0311854540-013</t>
  </si>
  <si>
    <t>CÔNG TY CỔ PHẦN ĐẦU TƯ VIÊN NGỌC MỚI - CHI NHÁNH NHÀ HÀNG CHANG KANG KUNG HÙNG VƯƠNG PLAZA</t>
  </si>
  <si>
    <t>0311854540-016</t>
  </si>
  <si>
    <t>CÔNG TY CỔ PHẦN ĐẦU TƯ VIÊN NGỌC MỚI - CHI NHÁNH NHÀ HÀNG CHANG KANG KUNG ESTELLA PLACE</t>
  </si>
  <si>
    <t>0311854540-018</t>
  </si>
  <si>
    <t>CÔNG TY CỔ PHẦN ĐẦU TƯ VIÊN NGỌC MỚI - CHI NHÁNH NHÀ HÀNG CHANG KANG KUNG SAIGON CENTRE</t>
  </si>
  <si>
    <t>CÔNG TY TNHH THỰC PHẨM &amp; NƯỚC GIẢI KHÁT Ý TƯỞNG VIỆT</t>
  </si>
  <si>
    <t>0312065210-001</t>
  </si>
  <si>
    <t>CHI NHÁNH CÔNG TY TNHH THỰC PHẨM &amp; NƯỚC GIẢI KHÁT Ý TƯỞNG VIỆT</t>
  </si>
  <si>
    <t>0312222833-005</t>
  </si>
  <si>
    <t>CHI NHÁNH CÔNG TY TNHH ẨM THỰC D&amp;T</t>
  </si>
  <si>
    <t>0312225168-001</t>
  </si>
  <si>
    <t>CHI NHÁNH 1 CÔNG TY CỔ PHẦN V LOTUS HOLDINGS</t>
  </si>
  <si>
    <t>CHI NHÁNH 5 CÔNG TY CỔ PHẦN V LOTUS HOLDINGS</t>
  </si>
  <si>
    <t>0312320573</t>
  </si>
  <si>
    <t>CÔNG TY TNHH DẦU KHÍ THANH BÌNH</t>
  </si>
  <si>
    <t>0312320573-003</t>
  </si>
  <si>
    <t>CHI NHÁNH CÔNG TY TNHH DẦU KHÍ THANH BÌNH</t>
  </si>
  <si>
    <t>0312396766</t>
  </si>
  <si>
    <t>CÔNG TY CỔ PHẦN ĐẦU TƯ SABAY HOME</t>
  </si>
  <si>
    <t>0312467752</t>
  </si>
  <si>
    <t>CÔNG TY CỔ PHẦN CENTRAL RETAIL CORPORATION (VIỆT NAM)</t>
  </si>
  <si>
    <t>0312534261</t>
  </si>
  <si>
    <t>CÔNG TY TNHH CHIẾC MUỖNG VÀNG</t>
  </si>
  <si>
    <t>CÔNG TY CỔ PHẦN IVIVU.COM</t>
  </si>
  <si>
    <t>Lầu 7 - Tòa Nhà Anh Đăng, 215 Nam Kỳ Khởi Nghĩa, Phường 07, Quận 3, TP Hồ Chí Minh</t>
  </si>
  <si>
    <t>0312801982-001</t>
  </si>
  <si>
    <t>CHI NHÁNH CÔNG TY TNHH ĐẦU TƯ DỊCH VỤ HUMVENTURES</t>
  </si>
  <si>
    <t>CÔNG TY TNHH MITRA ADIPERKASA VIỆT NAM</t>
  </si>
  <si>
    <t>0312950328</t>
  </si>
  <si>
    <t>CÔNG TY CỔ PHẦN PHÒNG KHÁM CHUYÊN KHOA DA LIỄU O2 SKIN</t>
  </si>
  <si>
    <t>0313093281</t>
  </si>
  <si>
    <t>CÔNG TY TNHH MANDOM VIỆT NAM</t>
  </si>
  <si>
    <t>0313096162</t>
  </si>
  <si>
    <t>CÔNG TY TNHH MINISTOP VIỆT NAM</t>
  </si>
  <si>
    <t>0313168515</t>
  </si>
  <si>
    <t>CÔNG TY CỔ PHẦN PIZZA 4PS</t>
  </si>
  <si>
    <t>0313168515-004</t>
  </si>
  <si>
    <t>CHI NHÁNH CÔNG TY CỔ PHẦN PIZZA 4PS - NHÀ HÀNG PIZZA 4PS HAI BÀ TRƯNG</t>
  </si>
  <si>
    <t>CHI NHÁNH CÔNG TY CỔ PHẦN PIZZA 4PS - NHÀ HÀNG PIZZA 4PS COBI TOWER</t>
  </si>
  <si>
    <t>0313168515-006</t>
  </si>
  <si>
    <t>CHI NHÁNH CÔNG TY CỔ PHẦN PIZZA 4PS - NHÀ HÀNG PIZZA 4PS TRÀNG TIỀN</t>
  </si>
  <si>
    <t>0313175103</t>
  </si>
  <si>
    <t>CÔNG TY CỔ PHẦN MAISON RETAIL MANAGEMENT INTERNATIONAL</t>
  </si>
  <si>
    <t>0313269922</t>
  </si>
  <si>
    <t>CÔNG TY TNHH HANSUNG E VIỆT NAM</t>
  </si>
  <si>
    <t>CÔNG TY CỔ PHẦN THƯƠNG MẠI VÀ DỊCH VỤ SAGEN</t>
  </si>
  <si>
    <t>0313399745</t>
  </si>
  <si>
    <t>CÔNG TY TNHH SUSHI URAETEI</t>
  </si>
  <si>
    <t>0313505746-006</t>
  </si>
  <si>
    <t>CHI NHÁNH 7 CÔNG TY CỔ PHẦN NISO</t>
  </si>
  <si>
    <t>CÔNG TY TNHH TRAVELOKA VIỆT NAM</t>
  </si>
  <si>
    <t>CÔNG TY CỔ PHẦN METUB VIỆT NAM</t>
  </si>
  <si>
    <t>69 Đặng Thùy Trâm, Phường 13, Quận Bình Thạnh, Thành phố Hồ Chí Minh, Việt Nam</t>
  </si>
  <si>
    <t>0313879727</t>
  </si>
  <si>
    <t>CÔNG TY TNHH THƯƠNG MẠI DỊCH VỤ TRƯƠNG THIÊN LONG</t>
  </si>
  <si>
    <t>CÔNG TY TNHH TRIPLE TREE AROMA</t>
  </si>
  <si>
    <t>CÔNG TY TNHH THƯƠNG MẠI QUẢNG CÁO SÁNG TẠO NÃO</t>
  </si>
  <si>
    <t>0314047922</t>
  </si>
  <si>
    <t>CÔNG TY TNHH TAUREAN</t>
  </si>
  <si>
    <t>0314071957</t>
  </si>
  <si>
    <t>CÔNG TY TNHH BAO ZI</t>
  </si>
  <si>
    <t>0314340134</t>
  </si>
  <si>
    <t>CÔNG TY TNHH ĐẦU TƯ THƯƠNG MẠI MQ</t>
  </si>
  <si>
    <t>CÔNG TY TNHH MATCHANDEUL BBQ XIN CHAO</t>
  </si>
  <si>
    <t>0314405952</t>
  </si>
  <si>
    <t>CÔNG TY CỔ PHẦN INN SAIGON</t>
  </si>
  <si>
    <t>0314496879</t>
  </si>
  <si>
    <t>CÔNG TY TNHH VNB SPORTS</t>
  </si>
  <si>
    <t>0314501423</t>
  </si>
  <si>
    <t>CÔNG TY TNHH NHÀ HÀNG CRYSTAL JADE</t>
  </si>
  <si>
    <t>0314526114</t>
  </si>
  <si>
    <t>CÔNG TY TNHH YEAH1 NETWORK VIỆT NAM</t>
  </si>
  <si>
    <t>0314635071</t>
  </si>
  <si>
    <t>CÔNG TY TNHH MỘT THÀNH VIÊN THƯƠNG MẠI THỜI TRANG TỔNG HỢP</t>
  </si>
  <si>
    <t>0314693309</t>
  </si>
  <si>
    <t>CÔNG TY TNHH M.O.I COSMETICS</t>
  </si>
  <si>
    <t>CÔNG TY TNHH ONPOINT</t>
  </si>
  <si>
    <t>Tầng 4, Tòa nhà AB, 27B Nguyễn Đình Chiểu, Phường Đa Kao, Quận 1, Thành phố Hồ Chí Minh, Việt Nam</t>
  </si>
  <si>
    <t>0314710843</t>
  </si>
  <si>
    <t>CÔNG TY TNHH DỊCH VỤ DI VINA</t>
  </si>
  <si>
    <t>Số 9 đường D16, Phường Tây Thạnh, Quận Tân Phú, Thành phố Hồ Chí Minh, Việt Nam</t>
  </si>
  <si>
    <t>0314716595</t>
  </si>
  <si>
    <t>CÔNG TY TNHH DỊCH VỤ ĂN UỐNG HOÀNG TÂM</t>
  </si>
  <si>
    <t>0314724148</t>
  </si>
  <si>
    <t>CÔNG TY TNHH DM&amp;C</t>
  </si>
  <si>
    <t>0314853023</t>
  </si>
  <si>
    <t>CÔNG TY TNHH MAGNA MANAGEMENT ASIA (MMA)</t>
  </si>
  <si>
    <t>0315257922</t>
  </si>
  <si>
    <t>CÔNG TY TNHH CHLOE HOSPITALITY</t>
  </si>
  <si>
    <t>0315307027</t>
  </si>
  <si>
    <t>CÔNG TY TNHH SUMMER EXPERIMENT</t>
  </si>
  <si>
    <t>0315322096</t>
  </si>
  <si>
    <t>CÔNG TY TNHH THƯƠNG MẠI ĐẦU TƯ AN VIỆT NAM</t>
  </si>
  <si>
    <t>CÔNG TY TNHH ANYMIND MEDIA VIỆT NAM</t>
  </si>
  <si>
    <t>Tầng 18, tòa nhà Lim Tower 3, số 29A Nguyễn Đình Chiểu, Phường Đa Kao, Quận 1, Thành phố Hồ Chí Minh, Việt Nam</t>
  </si>
  <si>
    <t>0315505364</t>
  </si>
  <si>
    <t>CÔNG TY TNHH HYEIN</t>
  </si>
  <si>
    <t>0315577834</t>
  </si>
  <si>
    <t>CÔNG TY TNHH MATCHANDEUL BBQ PREMIUM</t>
  </si>
  <si>
    <t>CÔNG TY TNHH CARYOPHY VIỆT NAM</t>
  </si>
  <si>
    <t>0315601646</t>
  </si>
  <si>
    <t>CÔNG TY TNHH TƯ VẤN ĐẦU TƯ LÂM HẢI AN</t>
  </si>
  <si>
    <t>0315728603</t>
  </si>
  <si>
    <t>CÔNG TY TNHH VZONE</t>
  </si>
  <si>
    <t>0315778749-001</t>
  </si>
  <si>
    <t>CHI NHÁNH PAPER &amp; I - CÔNG TY TNHH ZS HOSPITALITY</t>
  </si>
  <si>
    <t>CÔNG TY CỔ PHẦN Y&amp;B</t>
  </si>
  <si>
    <t>CÔNG TY CỔ PHẦN TAKAHIRO</t>
  </si>
  <si>
    <t>0315842546</t>
  </si>
  <si>
    <t>CÔNG TY TNHH SO NATURAL VIỆT NAM</t>
  </si>
  <si>
    <t>CÔNG TY CỔ PHẦN SOM TUM THAI</t>
  </si>
  <si>
    <t>CÔNG TY CỔ PHẦN HINOKO</t>
  </si>
  <si>
    <t>CÔNG TY CỔ PHẦN TCELL</t>
  </si>
  <si>
    <t>Tầng 3, Tòa nhà An Phú Plaza, 117-119 Lý Chính Thắng, Phường Võ Thị Sáu, Quận 3, Thành phố Hồ Chí Minh, Việt Nam</t>
  </si>
  <si>
    <t>0315909712</t>
  </si>
  <si>
    <t>CÔNG TY TNHH OQR</t>
  </si>
  <si>
    <t>0315956007</t>
  </si>
  <si>
    <t>CÔNG TY TNHH BULGARI VIỆT NAM</t>
  </si>
  <si>
    <t>0316068967</t>
  </si>
  <si>
    <t>CÔNG TY TNHH HWA-DAM</t>
  </si>
  <si>
    <t>0316172372</t>
  </si>
  <si>
    <t>CÔNG TY TNHH THƯƠNG MẠI VÀ DỊCH VỤ KỸ THUẬT DIỆU PHÚC</t>
  </si>
  <si>
    <t>0316342465</t>
  </si>
  <si>
    <t>CÔNG TY TNHH TOPPING BEEF</t>
  </si>
  <si>
    <t>0316342465-001</t>
  </si>
  <si>
    <t>CÔNG TY TNHH TOPPING BEEF - CHI NHÁNH DIAMOND</t>
  </si>
  <si>
    <t>0316368946</t>
  </si>
  <si>
    <t>CÔNG TY TNHH HEBE VN</t>
  </si>
  <si>
    <t>0316635415</t>
  </si>
  <si>
    <t>CÔNG TY TNHH CÔNG NGHỆ ISTAR</t>
  </si>
  <si>
    <t>0316690279</t>
  </si>
  <si>
    <t>CÔNG TY TNHH NÀNG THƠM COMMUNICATION</t>
  </si>
  <si>
    <t>0316729247</t>
  </si>
  <si>
    <t>CÔNG TY TNHH SOKO GROUP</t>
  </si>
  <si>
    <t>0316801817</t>
  </si>
  <si>
    <t>CÔNG TY CỔ PHẦN ĐẦU TƯ THƯƠNG MẠI VÀ DỊCH VỤ Ô TÔ ĐÔNG SÀI GÒN</t>
  </si>
  <si>
    <t>0316871719</t>
  </si>
  <si>
    <t>CÔNG TY CỔ PHẦN PHÚC LONG HERITAGE</t>
  </si>
  <si>
    <t>CÔNG TY TNHH DG GROUP</t>
  </si>
  <si>
    <t>0316940306</t>
  </si>
  <si>
    <t>CÔNG TY TNHH THISO RETAIL</t>
  </si>
  <si>
    <t>0317085517</t>
  </si>
  <si>
    <t>CÔNG TY TNHH HUYỀN THIÊN NAM</t>
  </si>
  <si>
    <t>0317189107</t>
  </si>
  <si>
    <t>CÔNG TY TNHH BLUE OCEAN PARTNERS VIETNAM</t>
  </si>
  <si>
    <t>0317197958</t>
  </si>
  <si>
    <t>CÔNG TY TNHH MỘT THÀNH VIÊN GOLDEN CUP</t>
  </si>
  <si>
    <t>CÔNG TY CỔ PHẦN SOCIAL ELITE</t>
  </si>
  <si>
    <t>0317228596</t>
  </si>
  <si>
    <t>CÔNG TY TNHH MỘT THÀNH VIÊN CHIKARA</t>
  </si>
  <si>
    <t>0317237424</t>
  </si>
  <si>
    <t>CÔNG TY TNHH THƯƠNG MẠI DỊCH VỤ XUẤT NHẬP KHẨU THE VIGO</t>
  </si>
  <si>
    <t>195/10E Điện Biên Phủ, Phường 2, Quận Bình Thạnh, Thành phố Hồ Chí Minh, Việt Nam</t>
  </si>
  <si>
    <t>0317329964</t>
  </si>
  <si>
    <t>CÔNG TY TNHH A MÀ KITCHEN</t>
  </si>
  <si>
    <t>0317330938</t>
  </si>
  <si>
    <t>CÔNG TY TNHH 8 FOOD</t>
  </si>
  <si>
    <t>0317352522</t>
  </si>
  <si>
    <t>CÔNG TY TNHH DƯỢC PHẨM BIOCARE</t>
  </si>
  <si>
    <t>0317411584</t>
  </si>
  <si>
    <t>CÔNG TY TNHH RAK THÁI</t>
  </si>
  <si>
    <t>0317420571</t>
  </si>
  <si>
    <t>CÔNG TY TNHH PEONY VIETNAM</t>
  </si>
  <si>
    <t>0317423004</t>
  </si>
  <si>
    <t>CÔNG TY CỔ PHẦN THỜI TRANG LYB</t>
  </si>
  <si>
    <t>0317442663</t>
  </si>
  <si>
    <t>CÔNG TY TNHH TÒA NHÀ LỘC PHÁT</t>
  </si>
  <si>
    <t>CÔNG TY CỔ PHẦN THE 350F</t>
  </si>
  <si>
    <t>0317589225</t>
  </si>
  <si>
    <t>CÔNG TY TNHH LOOP 1</t>
  </si>
  <si>
    <t>0317618571</t>
  </si>
  <si>
    <t>CÔNG TY CỔ PHẦN THƯƠNG MẠI CC</t>
  </si>
  <si>
    <t>CÔNG TY TNHH GIN À</t>
  </si>
  <si>
    <t>0317692092-001</t>
  </si>
  <si>
    <t>CHI NHÁNH CÔNG TY TNHH DOLPAN KING STONE</t>
  </si>
  <si>
    <t>0317728951</t>
  </si>
  <si>
    <t>CÔNG TY CỔ PHẦN JIN DIN ROU VIỆT NAM</t>
  </si>
  <si>
    <t>0317756268</t>
  </si>
  <si>
    <t>CÔNG TY CỔ PHẦN FNB GLOBAL GROUP</t>
  </si>
  <si>
    <t>0317770505</t>
  </si>
  <si>
    <t>CÔNG TY CỔ PHẦN TRẢI NGHIỆM TOÀN CẦU</t>
  </si>
  <si>
    <t>0317793728</t>
  </si>
  <si>
    <t>CÔNG TY TNHH THỰC PHẨM THỊT BÒ WANGHENIU</t>
  </si>
  <si>
    <t>0317850609</t>
  </si>
  <si>
    <t>CÔNG TY TNHH  PIG MAKERS</t>
  </si>
  <si>
    <t>0317850609-002</t>
  </si>
  <si>
    <t>CHI NHÁNH IHM - CÔNG TY TNHH PIG MAKERS</t>
  </si>
  <si>
    <t>0317877664</t>
  </si>
  <si>
    <t>CÔNG TY TNHH HANTAEK</t>
  </si>
  <si>
    <t>CÔNG TY TNHH LÀM ĐẸP LUX VIỆT MỸ</t>
  </si>
  <si>
    <t>0317902293</t>
  </si>
  <si>
    <t>CÔNG TY CỔ PHẦN SÓNO RESTAURANT GROUP</t>
  </si>
  <si>
    <t>0317972043</t>
  </si>
  <si>
    <t>CÔNG TY TNHH AUGUST16MEDIA</t>
  </si>
  <si>
    <t>496/52/8 Dương Quảng Hàm, Phường 6, Quận Gò Vấp, Thành phố Hồ Chí Minh, Việt Nam</t>
  </si>
  <si>
    <t>0317975534</t>
  </si>
  <si>
    <t>CÔNG TY TNHH MỸ PHẨM MEISHANG VIỆT NAM</t>
  </si>
  <si>
    <t>0318059125-001</t>
  </si>
  <si>
    <t>CHI NHÁNH CÔNG TY TNHH DẦU KHÍ MINH ĐỨC - CỬA HÀNG XĂNG DẦU SỐ 1</t>
  </si>
  <si>
    <t>CÔNG TY TNHH MATTE</t>
  </si>
  <si>
    <t>CÔNG TY TNHH MIZUHADA VIETNAM</t>
  </si>
  <si>
    <t>Tầng 5, CirCo, Số 222, Đường Điện Biên Phủ, Phường Võ Thị Sáu, Quận 3, Thành phố Hồ Chí Minh, Việt Nam</t>
  </si>
  <si>
    <t>0318110660</t>
  </si>
  <si>
    <t>CÔNG TY TNHH SUN UNDER NIGHTS</t>
  </si>
  <si>
    <t>CÔNG TY TNHH HEPMIL VIETNAM</t>
  </si>
  <si>
    <t>0318180280</t>
  </si>
  <si>
    <t>CÔNG TY TNHH HACHIBE</t>
  </si>
  <si>
    <t>0318226288</t>
  </si>
  <si>
    <t>CÔNG TY TNHH THỜI TRANG HUYAN</t>
  </si>
  <si>
    <t>0318238276</t>
  </si>
  <si>
    <t>CÔNG TY CỔ PHẦN PHÂN PHỐI CÔNG NGHỆ KM</t>
  </si>
  <si>
    <t>96 Nam Kỳ Khởi Nghĩa, Phường Bến Nghé, Quận 1, Thành phố Hồ Chí Minh, Việt Nam</t>
  </si>
  <si>
    <t>CÔNG TY TNHH CÔNG NGHỆ GEMO</t>
  </si>
  <si>
    <t>Tầng 5 Tòa nhà Smart View, số 161A (1 phần)-163-165 Đường Trần Hưng Đạo, Phường Cầu Ông Lãnh, TP Hồ Chí Minh, Việt Nam</t>
  </si>
  <si>
    <t>0318302073</t>
  </si>
  <si>
    <t>CÔNG TY TNHH OASIS HOSPITALITY GROUP</t>
  </si>
  <si>
    <t>0318336266-001</t>
  </si>
  <si>
    <t>CHI NHÁNH CÔNG TY TNHH CHUỖI CUNG ỨNG KUAIJIEZHAO</t>
  </si>
  <si>
    <t>0318393803</t>
  </si>
  <si>
    <t>CÔNG TY TNHH HAI THÀNH VIÊN BLIVEE</t>
  </si>
  <si>
    <t>CÔNG TY CỔ PHẦN TRUFFLE &amp; CO</t>
  </si>
  <si>
    <t>0318400095</t>
  </si>
  <si>
    <t>CÔNG TY CỔ PHẦN FARO CAFE</t>
  </si>
  <si>
    <t>CÔNG TY TNHH PRAMY</t>
  </si>
  <si>
    <t>0318442352</t>
  </si>
  <si>
    <t>CÔNG TY TNHH THƯƠNG MẠI DỊCH VỤ NONG</t>
  </si>
  <si>
    <t>CÔNG TY TNHH DỊCH VỤ TRUYỀN THÔNG MAKE SENSE</t>
  </si>
  <si>
    <t>0318561568</t>
  </si>
  <si>
    <t>CÔNG TY TNHH PATISSERIE VAGABOND</t>
  </si>
  <si>
    <t>0318659404</t>
  </si>
  <si>
    <t>CÔNG TY TNHH E-HO F&amp;B</t>
  </si>
  <si>
    <t>0318661989</t>
  </si>
  <si>
    <t>CÔNG TY TNHH THƯƠNG MẠI DỊCH VỤ TRENDY BEAUTY COSMETICS</t>
  </si>
  <si>
    <t>0318674515</t>
  </si>
  <si>
    <t>CÔNG TY TNHH TM LAON VIỆT NAM</t>
  </si>
  <si>
    <t>CÔNG TY TNHH MINDO SOLUTIONS</t>
  </si>
  <si>
    <t>0318745131</t>
  </si>
  <si>
    <t>CÔNG TY TNHH PEPE FOCACCIA</t>
  </si>
  <si>
    <t>CÔNG TY TNHH MỘT THÀNH VIÊN ẨM THỰC HOÀNG YẾN</t>
  </si>
  <si>
    <t>0318755115</t>
  </si>
  <si>
    <t>CÔNG TY TNHH VENUSREBORN</t>
  </si>
  <si>
    <t>0318766660</t>
  </si>
  <si>
    <t>CÔNG TY CỔ PHẦN ĐẦU TƯ ẨM THỰC SAO PHƯƠNG NAM</t>
  </si>
  <si>
    <t>0318816230</t>
  </si>
  <si>
    <t>CÔNG TY TNHH YUSUNG GALBI</t>
  </si>
  <si>
    <t>0401682247</t>
  </si>
  <si>
    <t>CÔNG TY TNHH KHU DU LỊCH SINH THÁI BIỂN BÃI BẮC</t>
  </si>
  <si>
    <t>0402256019</t>
  </si>
  <si>
    <t>ĐỊA ĐIỂM KINH DOANH THAI MARKET RESTAURANT 10 - CÔNG TY TNHH THƯƠNG MẠI VÀ DỊCH VỤ TALAD THAI</t>
  </si>
  <si>
    <t>2301096563</t>
  </si>
  <si>
    <t>CÔNG TY TNHH THƯƠNG MẠI ĐIỆN TỬ DELI VIỆT NAM</t>
  </si>
  <si>
    <t>CÔNG TY TNHH HOÀI THU TH</t>
  </si>
  <si>
    <t>Số nhà 63 đường Nguyễn Huy Tự, Phường Ngọc Trạo, Thành phố Thanh Hóa, Tỉnh Thanh Hóa, Việt Nam</t>
  </si>
  <si>
    <t>3401254649</t>
  </si>
  <si>
    <t>CÔNG TY TNHH MTV XĂNG DẦU BÌNH THUẬN</t>
  </si>
  <si>
    <t>3468802222</t>
  </si>
  <si>
    <t>SONGS COMPANY CO., LTD</t>
  </si>
  <si>
    <t>3500354108</t>
  </si>
  <si>
    <t>DOANH NGHIỆP TƯ NHÂN XĂNG DẦU LONG PHƯỚC</t>
  </si>
  <si>
    <t>Số 3 Trần Phú, Phường 5, Thành Phố Vũng Tàu, Bà Rịa - Vũng Tàu</t>
  </si>
  <si>
    <t>3500612824</t>
  </si>
  <si>
    <t>CÔNG TY CỔ PHẦN LẠC VIỆT</t>
  </si>
  <si>
    <t>3500658610</t>
  </si>
  <si>
    <t>CÔNG TY CỔ PHẦN THƯƠNG MẠI VÀ VẬN TẢI LIÊN KẾT</t>
  </si>
  <si>
    <t>3600247325</t>
  </si>
  <si>
    <t>CÔNG TY XĂNG DẦU ĐỒNG NAI</t>
  </si>
  <si>
    <t>3700872097-001</t>
  </si>
  <si>
    <t>CHI NHÁNH CÔNG TY TNHH THƯƠNG MẠI DỊCH VỤTHỊNH PHÁT LỘC (TỈNH BÌNH DƯƠNG) - ĐẠI LÝ BÁN LẺ XĂNG DẦU NGUYỄN OANH</t>
  </si>
  <si>
    <t>8070633064-001</t>
  </si>
  <si>
    <t>HỘ KINH DOANH NHOÀN</t>
  </si>
  <si>
    <t>HỘ KINH DOANH HUỲNH THUYÊN</t>
  </si>
  <si>
    <t>5 Cửu Long, Phường 2, Quận Tân Bình, Thành phố Hồ Chí Minh, Việt Nam</t>
  </si>
  <si>
    <t>8082207751-001</t>
  </si>
  <si>
    <t>NGUYỄN HÀ LINH</t>
  </si>
  <si>
    <t>8398734289</t>
  </si>
  <si>
    <t>HỒ MẠNH TIẾN</t>
  </si>
  <si>
    <t>8456794480-001</t>
  </si>
  <si>
    <t>HỘ KINH DOANH NGUYỄN HUỆ MAKEUP</t>
  </si>
  <si>
    <t>HỘ KINH DOANH HOÀNG THẠCH</t>
  </si>
  <si>
    <t>Nhận Doanh thu Dịch vụ quảng cáo và truyền thông theo Hợp đồng số HKD HT_JUMISO_01072025 ký ngày 01/07/2025 HĐ số 17</t>
  </si>
  <si>
    <t>Nhận Doanh thu Dịch vụ quảng cáo theo Hợp đồng số 06/25072025/HDDV/MS-HT ký ngày 25/07/2025 kèm Biên bản nghiệm thu và thanh lý Hợp đồng ký ngày 21/08/2025 HĐ số 20</t>
  </si>
  <si>
    <t>Nhận Doanh thu Dịch vụ quảng cáo và truyền thông theo Thỏa thuận ký ngày 01/07/2025 và Biên bản nghiệm thu ký ngày 24/07/2025 HĐ số 13</t>
  </si>
  <si>
    <t>Nhận Doanh thu Dịch vụ quảng cáo và truyền thông theo Hợp đồng số 1608/2025/TTS/HUYNHTHUYEN/CETAPHIL ký ngày 16/08/2025 và Biên bản nghiệm thu ký ngày 21/08/2025 HĐ số 19</t>
  </si>
  <si>
    <t>Nhận Doanh thu Dịch vụ quảng cáo và truyền thông theo Hợp đồng số 01-0608/2025/HĐDV/MK-HT ký ngày 06/08/2025 HĐ số 18</t>
  </si>
  <si>
    <t>Nhận Doanh thu Dịch vụ quảng cáo và truyền thông theo hợp đồng số 01/2025/HĐ-MKT ký ngày 07/08/2025 Advertising and Communication Services under Contract No. 01/2025/HĐ-MKT signed on August 7, 2025 HĐ số 21</t>
  </si>
  <si>
    <t>Nộp Thuế GTGT, TNCN sàn TMĐT 01/08/2025</t>
  </si>
  <si>
    <t>Nộp Thuế GTGT, TNCN sàn TMĐT 18/08/2025</t>
  </si>
  <si>
    <t>0107742477</t>
  </si>
  <si>
    <t>0107631488</t>
  </si>
  <si>
    <t>0110563781</t>
  </si>
  <si>
    <t>0315768557</t>
  </si>
  <si>
    <t>0106807756</t>
  </si>
  <si>
    <t>0103638436</t>
  </si>
  <si>
    <t>2500686951</t>
  </si>
  <si>
    <t>0316906263</t>
  </si>
  <si>
    <t>0312139582</t>
  </si>
  <si>
    <t>Doanh thu Dịch vụ quảng cáo và truyền thông theo hợp đồng số 250610/HDDV/BRAINAD-KNL ký ngày 10/06/2025 và Biên bản nghiệm thu thanh lý ký ngày 18/07/2025 HĐ số 2</t>
  </si>
  <si>
    <t>Doanh thu Dịch vụ quảng cáo và truyền thông theo hợp đồng số 29052025/HDBEAUTYTIPS ký ngày 29/05/2025 và Biên bản nghiệm thu ký ngày 18/07/2025 HĐ số 3</t>
  </si>
  <si>
    <t>Doanh thu Dịch vụ quảng cáo và truyền thông theo Hợp đồng số 250611/HDDV/MIZUMI-BEAUTYTIPS4.0-250611MIZUMI ký ngày 11/06/2025 và Biên bản nghiệm thu ký ngày 18/07/2025 HĐ số 4</t>
  </si>
  <si>
    <t>Doanh thu Dịch vụ quảng cáo và truyền thông theo Hợp đồng số HKD KNL_ AVENE_02062025 ký ngày 02/06/2025 HĐ số 5</t>
  </si>
  <si>
    <t>Doanh thu Dịch vụ quảng cáo và truyền thông theo Hợp đồng số 01062025HDDVKIEULANEVENTTORRIDEN ký ngày 01/06/2025 và Biên bản nghiệm thu ký ngày 18/07/2025 HĐ số 6</t>
  </si>
  <si>
    <t>Doanh thu Dịch vụ quảng cáo và truyền thông theo hợp đồng số 0106/2025/KOS-HĐDV ký ngày 24/03/2025 và Biên bản nghiệm thu ký ngày 23/07/2025 HĐ số 7</t>
  </si>
  <si>
    <t>Doanh thu Dịch vụ quảng cáó và truyền thông theo Hợp đồng số 1405/2025/HĐDV/ADPIA ký ngày 14/05/2025 và Biên bản nghiệm thu ký ngày 23/07/2025 HĐ số 8</t>
  </si>
  <si>
    <t>Điều chỉnh giảm Doanh thu Dịch vụ quảng cáó và truyền thông theo Hợp đồng số 1405/2025/HĐDV/ADPIA ký ngày 14/05/2025 và Biên bản nghiệm thu ký ngày 23/07/2025 HĐ số 8</t>
  </si>
  <si>
    <t>Doanh thu Dịch vụ quảng cáo và truyền thông theo hợp đồng số 25/06/2025/HĐDV-SE-DOVE-KIEULANBEAUTY ký ngày 25/06/2025 và Biên bản nghiệm thu ký ngày 24/07/2025 HĐ số 9</t>
  </si>
  <si>
    <t>Doanh thu Dịch vụ quảng cáo và truyền thông theo Hợp đồng số 250610/HDDV/BRAINAD-KNL ký ngày 10/06/2025 và Biên bản nghiệm thu thanh lý ký ngày 24/07/2025 HĐ số 10</t>
  </si>
  <si>
    <t>Doanh thu Dịch vụ quảng cáo và truyền thông theo Hợp đồng số ATV/KIỀU LAN/CETAPHIL-Q3/2025-HDDV-1417P ký ngày 01/07/2025 và Biên bản nghiệm thu ký ngày 30/07/2025 HĐ số 11</t>
  </si>
  <si>
    <t>Điều chỉnh giảm Doanh thu Dịch vụ quảng cáo và truyền thông theo Hợp đồng số ATV/KIỀU LAN/CETAPHIL-Q3/2025-HDDV-1417P ký ngày 01/07/2025 và Biên bản nghiệm thu ký ngày 30/07/2025 HĐ số 11</t>
  </si>
  <si>
    <t>Doanh thu Điều chỉnh giảm &amp;quot;Dịch vụ quảng cáo và truyền thông theo hợp đồng số 250610/HDDV/BRAINAD-KNL ký ngày 10/06/2025 và Biên bản nghiệm thu thanh lý ký ngày 18/07/2025&amp;quot; HĐ số 12</t>
  </si>
  <si>
    <t>Doanh thu Dịch vụ quảng cáo và truyền thông theo hợp đồng số 20042025/HĐDV-SE-AHC-KIEULANBEAUTY ký ngày 20/04/2025 và Biên bản nghiệm thu ký ngày 13/08/2025 HĐ số 13</t>
  </si>
  <si>
    <t>Doanh thu Dịch vụ quảng cáo và truyền thông theo Hợp đồng số 09/2025/HĐCT-KNL ký ngày 25/07/2025 và Biên bản nghiệm thu ký ngày 19/08/2025 HĐ số 14</t>
  </si>
  <si>
    <t>Điều chỉnh giảm Doanh thu Dịch vụ quảng cáo và truyền thông theo Hợp đồng số 09/2025/HĐCT-KNL ký ngày 25/07/2025 và Biên bản nghiệm thu ký ngày 19/08/2025 HĐ số 14</t>
  </si>
  <si>
    <t>Doanh thu Dịch vụ quảng cáo và truyền thông theo Hợp đồng số HDDV/PANTENExVĐxKNL/280725 ký ngày 28/07/2025 và Biên bản nghiệm thu ký ngày 22/08/2025 HĐ số 15</t>
  </si>
  <si>
    <t>Điều chỉnh giảm Doanh thu Dịch vụ quảng cáo và truyền thông theo Hợp đồng số HDDV/PANTENExVĐxKNL/280725 ký ngày 28/07/2025 và Biên bản nghiệm thu ký ngày 22/08/2025 HĐ số 15</t>
  </si>
  <si>
    <t>Doanh thu Dịch vụ quảng cáo và truyền thông theo Hợp đồng số eHD/2508211109 ngày 10/08/2025 HĐ số 16</t>
  </si>
  <si>
    <t>Điều chỉnh giảm Doanh thu Dịch vụ quảng cáo và truyền thông theo Hợp đồng số eHD/2508211109 ngày 10/08/2025 HĐ số 16</t>
  </si>
  <si>
    <t>Doanh thu Dịch vụ quảng cáo và truyền thông theo Hợp đồng số HKD KNL_ LOREAL HAIR_10082025 ký ngày 10/08/2025 HĐ số 17</t>
  </si>
  <si>
    <t>Điều chỉnh giảm Doanh thu Dịch vụ quảng cáo và truyền thông theo Hợp đồng số HKD KNL_ LOREAL HAIR_10082025 ký ngày 10/08/2025 HĐ số 17</t>
  </si>
  <si>
    <t>Doanh thu Dịch vụ quảng cáo và truyền thông theo Hợp đồng số HKD KIEUNGOCLAN_ MELANO CC_22072025 ký ngày 22/07/2025 HĐ số 18</t>
  </si>
  <si>
    <t>Điều chỉnh giảm Doanh thu Dịch vụ quảng cáo và truyền thông theo Hợp đồng số HKD KIEUNGOCLAN_ MELANO CC_22072025 ký ngày 22/07/2025 HĐ số 18</t>
  </si>
  <si>
    <t>Doanh thu Dịch vụ quảng cáo và truyền thông theo hợp đống số 0109/2025/TTS/KIEULANBEAUTY/YAMAN ký ngày 01/09/2025 và Biên bản nghiệm thu ký ngày 12/09/2025 HĐ số 19</t>
  </si>
  <si>
    <t>Điều chỉnh giảm Doanh thu Dịch vụ quảng cáo và truyền thông theo hợp đống số 0109/2025/TTS/KIEULANBEAUTY/YAMAN ký ngày 01/09/2025 và Biên bản nghiệm thu ký ngày 12/09/2025 HĐ số 19</t>
  </si>
  <si>
    <t>Doanh thu Dịch vụ quảng cáo và truyền thông theo Hợp đồng số HKD KNL_GOWON_05082025 ký ngày 05/08/2025 HĐ số 20</t>
  </si>
  <si>
    <t>Điều chỉnh giảm Doanh thu Dịch vụ quảng cáo và truyền thông theo Hợp đồng số HKD KNL_GOWON_05082025 ký ngày 05/08/2025 HĐ số 20</t>
  </si>
  <si>
    <t>Doanh thu Dịch vụ quảng cáo và truyền thông theo Hợp đồng số 2208.2025/HDDV/UPBASE-KEYSHU-BEAUTYTIPS4.0 ký ngày 22/08/2025 HĐ số 21</t>
  </si>
  <si>
    <t>Điều chỉnh giảm Doanh thu Dịch vụ quảng cáo và truyền thông theo Hợp đồng số 2208.2025/HDDV/UPBASE-KEYSHU-BEAUTYTIPS4.0 ký ngày 22/08/2025 HĐ số 21</t>
  </si>
  <si>
    <t>Doanh thu Phí dịch vụ quảng cáo theo Hợp đồng dịch vụ ký ngày 19/09/2025 kèm theo biên bản nghiệm thu ngày 23/09/2025 HĐ số 1</t>
  </si>
  <si>
    <t>Điều chỉnh giảm Doanh thu Phí dịch vụ quảng cáo theo Hợp đồng dịch vụ ký ngày 19/09/2025 kèm theo biên bản nghiệm thu ngày 23/09/2025 HĐ số 1</t>
  </si>
  <si>
    <t>Doanh thu Dịch vụ quảng cáo và truyền thông theo Hợp đồng số HKD KNL_GARNIER_TRI_ACID_01092025 ký ngày 01/09/2025 và Biên bản nghiệm thu ký ngày 23/09/2025 HĐ số 2</t>
  </si>
  <si>
    <t>Điều chỉnh giảm Doanh thu Dịch vụ quảng cáo và truyền thông theo Hợp đồng số HKD KNL_GARNIER_TRI_ACID_01092025 ký ngày 01/09/2025 và Biên bản nghiệm thu ký ngày 23/09/2025 HĐ số 2</t>
  </si>
  <si>
    <t>Doanh thu Dịch vụ quảng cáo và truyền thông theo Hợp đồng số 2209/2025/HDDV/WEL-KL ký ngày 22/09/2025 và Biên bản nghiệm thu ký ngày 26/09/2025 HĐ số 3</t>
  </si>
  <si>
    <t>Điều chỉnh giảm Doanh thu Dịch vụ quảng cáo và truyền thông theo Hợp đồng số 2209/2025/HDDV/WEL-KL ký ngày 22/09/2025 và Biên bản nghiệm thu ký ngày 26/09/2025 HĐ số 3</t>
  </si>
  <si>
    <t>18/07/2025</t>
  </si>
  <si>
    <t>23/07/2025</t>
  </si>
  <si>
    <t>30/07/2025</t>
  </si>
  <si>
    <t>31/07/2025</t>
  </si>
  <si>
    <t>13/08/2025</t>
  </si>
  <si>
    <t>22/08/2025</t>
  </si>
  <si>
    <t>03/09/2025</t>
  </si>
  <si>
    <t>12/09/2025</t>
  </si>
  <si>
    <t>17/09/2025</t>
  </si>
  <si>
    <t>23/09/2025</t>
  </si>
  <si>
    <t>Nhận Doanh thu Dịch vụ quảng cáo và truyền thông theo Hợp đồng số 250611/HDDV/MIZUMI-BEAUTYTIPS4.0-250611MIZUMI  HĐ số 00000004</t>
  </si>
  <si>
    <t>Nhận tiền khách chuyển tiền nhầm</t>
  </si>
  <si>
    <t>Hoàn tiền khách chuyển nhầm</t>
  </si>
  <si>
    <t>Nhận Doanh thu Dịch vụ quảng cáo và truyền thông theo Hợp đồng số 01062025HDDVKIEULANEVENTTORRIDEN ký ngày 01/06/2025 và Biên bản nghiệm thu ký ngày 18/07/2025 HĐ số 6</t>
  </si>
  <si>
    <t>Nộp Thuế GTGT, TNCN</t>
  </si>
  <si>
    <t>2601041117</t>
  </si>
  <si>
    <t>8785516231-001</t>
  </si>
  <si>
    <t>Nhận Doanh thu Dịch vụ quảng cáo và truyền thông theo hợp đồng số 250610/HDDV/BRAINAD-KNL ký ngày 10/06/2025 và Biên bản nghiệm thu thanh lý ký ngày 18/07/2025 HĐ số 2</t>
  </si>
  <si>
    <t>Nhận Doanh thu Dịch vụ quảng cáo và truyền thông theo hợp đồng số 25/06/2025/HĐDV-SE-DOVE-KIEULANBEAUTY ký ngày 25/06/2025 và Biên bản nghiệm thu ký ngày 24/07/2025 HĐ số 9</t>
  </si>
  <si>
    <t>Nhận Doanh thu Dịch vụ quảng cáó và truyền thông theo Hợp đồng số 1405/2025/HĐDV/ADPIA ký ngày 14/05/2025 và Biên bản nghiệm thu ký ngày 23/07/2025 HĐ số 8</t>
  </si>
  <si>
    <t>Nhận Doanh thu Dịch vụ quảng cáo và truyền thông theo hợp đồng số 20042025/HĐDV-SE-AHC-KIEULANBEAUTY ký ngày 20/04/2025 và Biên bản nghiệm thu ký ngày 13/08/2025 HĐ số 13</t>
  </si>
  <si>
    <t>Nhận Doanh thu Dịch vụ quảng cáo và truyền thông theo Hợp đồng số 09/2025/HĐCT-KNL ký ngày 25/07/2025 và Biên bản nghiệm thu ký ngày 19/08/2025 HĐ số 14</t>
  </si>
  <si>
    <t>Nhận Doanh thu Dịch vụ quảng cáo và truyền thông theo Hợp đồng số ATV/KIỀU LAN/CETAPHIL-Q3/2025-HDDV-1417P ký ngày 01/07/2025 và Biên bản nghiệm thu ký ngày 30/07/2025 HĐ số 11</t>
  </si>
  <si>
    <t>Nhận Doanh thu Dịch vụ quảng cáo và truyền thông theo Hợp đồng số HKD KNL_ LOREAL HAIR_10082025 ký ngày 10/08/2025 HĐ số 17</t>
  </si>
  <si>
    <t>Nhận Doanh thu Dịch vụ quảng cáo và truyền thông theo Hợp đồng số HKD KIEUNGOCLAN_ MELANO CC_22072025 ký ngày 22/07/2025 HĐ số 18</t>
  </si>
  <si>
    <t>Nhận Doanh thu Phí dịch vụ quảng cáo theo Hợp đồng dịch vụ ký ngày 19/09/2025 kèm theo biên bản nghiệm thu ngày 23/09/2025 HĐ số 1</t>
  </si>
  <si>
    <t>Nhận Doanh thu Dịch vụ quảng cáo và truyền thông theo Hợp đồng số 2208.2025/HDDV/UPBASE-KEYSHU-BEAUTYTIPS4.0 ký ngày 22/08/2025 HĐ số 21</t>
  </si>
  <si>
    <t>Nhận Doanh thu Dịch vụ quảng cáo và truyền thông theo Hợp đồng số 29052025/HDBEAUTYTIPS HĐ số 00000003</t>
  </si>
  <si>
    <t>Không hạch toán</t>
  </si>
  <si>
    <t>Nhận Doanh thu Dịch vụ quảng cáo và truyền thông theo Hợp đồng số HKD KNL_ AVENE_02062025 ký ngày 02/06/2025 HĐ số 5</t>
  </si>
  <si>
    <t>19/07/2025</t>
  </si>
  <si>
    <t>22/07/2025</t>
  </si>
  <si>
    <t>26/07/2025</t>
  </si>
  <si>
    <t>14/08/2025</t>
  </si>
  <si>
    <t>27/08/2025</t>
  </si>
  <si>
    <t>04/09/2025</t>
  </si>
  <si>
    <t>22/09/2025</t>
  </si>
  <si>
    <t>0318826285</t>
  </si>
  <si>
    <t>0316314852</t>
  </si>
  <si>
    <t>0318120098</t>
  </si>
  <si>
    <t>037095004669</t>
  </si>
  <si>
    <t>0110308855</t>
  </si>
  <si>
    <t>Doanh thu Dịch vụ quảng cáo và truyền thông theo Hợp đồng số T21C25HDDV-0100-0095 NGOCTUANH ký ngày 09/06/2025 HĐ số 48</t>
  </si>
  <si>
    <t>Doanh thu Dịch vụ quảng cáo và truyền thông theo Hợp đồng số 07072025/HCL-NTA/THERA001 ký ngày 07/07/2025 HĐ số 49</t>
  </si>
  <si>
    <t>Doanh thu Thanh toán đợt 1007 phí dịch vụ MNY - MNY LIFTER GLOSS - Video - Scope 3 - 1007 SOW số 13167/ 2025/ WPP-BTL-LO HĐ số 50</t>
  </si>
  <si>
    <t>Doanh thu Thanh toán đợt 1007 phí dịch vụ MNY - MNY Summer Sunkisser - Video - Scope 3 - 1007 SOW số 14798/ 2025/ WPP-BTL-LO HĐ số 52</t>
  </si>
  <si>
    <t>Doanh thu Dịch vụ quảng cáo và truyền thông theo hợp đồng số 26062025/HDDV/NGOCTUANHUNICORN_LivestreamSunplaySKAToneUp ký ngày 26/06/2025 và Biên bản nghiệm thu ký ngày 22/07/2025 HĐ số 53</t>
  </si>
  <si>
    <t>Doanh thu Dịch vụ quảng cáo và truyền thông theo Hợp đồng số 07.2025/HDDV - COLAB - NTA ký ngày 25/06/2025 và Biên bản nghiệm thu ký ngày 23/07/2025 HĐ số 55</t>
  </si>
  <si>
    <t>Doanh thu Dịch vụ quảng cáo và truyền thông theo Hợp đồng số 250623/HDDV/BRAINAD-NTA ký ngày 23/06/2025 và Biên bản nghiệm thu ký ngày 23/07/2025 HĐ số 56</t>
  </si>
  <si>
    <t>Doanh thu Thanh toán phí dịch vụ OAP - Glyco Campaign P2 - Extra - Scope 3 - Video - 3007 SOW số 18802/2025/WPP-BTL-LO HĐ số 57</t>
  </si>
  <si>
    <t>Doanh thu Dịch vụ quảng cáo và truyền thông theo hợp đồng số HKD NTA_JUMISO_01072025 ký ngày 01/07/2025 HĐ số 59</t>
  </si>
  <si>
    <t>Điều chỉnh giảm Doanh thu Dịch vụ quảng cáo và truyền thông theo hợp đồng số HKD NTA_JUMISO_01072025 ký ngày 01/07/2025 HĐ số 59</t>
  </si>
  <si>
    <t>Doanh thu Dịch vụ sử dụng hình ảnh theo Hợp đồng số 11082025/HCL-NTA/THERABREATH ký ngày 14/08/2025 HĐ số 60</t>
  </si>
  <si>
    <t>Doanh thu Dịch vụ quảng cáo và truyền thông cho nhãn hàng Neutrogena Hợp đồng số 2507/HKDNGOCTUANH-LAVA/NEU/2025 ký ngày 25/07/2025 và Biên bản nghiệm thu ký ngày 22/08/2025 HĐ số 63</t>
  </si>
  <si>
    <t>Điều chỉnh giảm Doanh thu Dịch vụ quảng cáo và truyền thông cho nhãn hàng Neutrogena Hợp đồng số 2507/HKDNGOCTUANH-LAVA/NEU/2025 ký ngày 25/07/2025 và Biên bản nghiệm thu ký ngày 22/08/2025 HĐ số 63</t>
  </si>
  <si>
    <t>Doanh thu Phí sử dụng hình ảnh theo Hơp đồng số HKD NTA_JUMISO_06082025 ký ngày 06/08/2025 HĐ số 64</t>
  </si>
  <si>
    <t>Điều chỉnh giảm Doanh thu Phí sử dụng hình ảnh theo Hơp đồng số HKD NTA_JUMISO_06082025 ký ngày 06/08/2025 HĐ số 64</t>
  </si>
  <si>
    <t>Doanh thu Dịch vụ quảng cáo và truyền thông theo Hợp đồng số QC2508/2025/HĐQC/LPCOS - HỘ KINH DOANH NGỌC TÚ ANH ký ngày 25/08/2025 và Biên bản nghiệm thu ký ngày 10/09/2025 HĐ số 68</t>
  </si>
  <si>
    <t>Điều chỉnh giảm Doanh thu Dịch vụ quảng cáo và truyền thông theo Hợp đồng số QC2508/2025/HĐQC/LPCOS - HỘ KINH DOANH NGỌC TÚ ANH ký ngày 25/08/2025 và Biên bản nghiệm thu ký ngày 10/09/2025 HĐ số 68</t>
  </si>
  <si>
    <t>Doanh thu Dịch vụ quảng cáo và truyền thông theo Hợp đồng số 0109/2025/TTS/NGOCTUANH/YAMAN ký ngày 01/09/2025 và Biên bản nghiệm thu ký ngày 10/09/2025 HĐ số 69</t>
  </si>
  <si>
    <t>Điều chỉnh giảm Doanh thu Dịch vụ quảng cáo và truyền thông theo Hợp đồng số 0109/2025/TTS/NGOCTUANH/YAMAN ký ngày 01/09/2025 và Biên bản nghiệm thu ký ngày 10/09/2025 HĐ số 69</t>
  </si>
  <si>
    <t>Doanh thu Dịch vụ quảng cáo và truyền thông theo Hợp đồng số 21082025-05 ký ngày 21/08/2025 và Biên bản nghiệm thu ký ngày 16/09/2025 HĐ số 70</t>
  </si>
  <si>
    <t>Điều chỉnh giảm Doanh thu Dịch vụ quảng cáo và truyền thông theo Hợp đồng số 21082025-05 ký ngày 21/08/2025 và Biên bản nghiệm thu ký ngày 16/09/2025 HĐ số 70</t>
  </si>
  <si>
    <t>Doanh thu Dịch vụ quảng cáo và truyền thông theo Hợp đồng số 20250905/HĐDV/NTA ký ngày 05/09/2025 HĐ số 71</t>
  </si>
  <si>
    <t>Điều chỉnh giảm Doanh thu Dịch vụ quảng cáo và truyền thông theo Hợp đồng số 20250905/HĐDV/NTA ký ngày 05/09/2025 HĐ số 71</t>
  </si>
  <si>
    <t>Doanh thu Dịch vụ quảng cáo và truyền thông theo Hợp đồng số 12582025-MCSHOPHOUSE/KOL ký ngày 25/08/2025 HĐ số 72</t>
  </si>
  <si>
    <t>Điều chỉnh giảm Doanh thu Dịch vụ quảng cáo và truyền thông theo Hợp đồng số 12582025-MCSHOPHOUSE/KOL ký ngày 25/08/2025 HĐ số 72</t>
  </si>
  <si>
    <t>Doanh thu dịch vụ MNY - TEDDY TINT - Video - Scope 3 - 2908 theo SOW số 20651/2025/WPP-BTL-LO - peonyan HĐ số 62</t>
  </si>
  <si>
    <t>Doanh thu dịch vụ 3CE - KOC Hub Aug - Video - Scope 3 - 1008 SOW số 19748/2025/WPP-BTL-LO HĐ số 65</t>
  </si>
  <si>
    <t>Doanh thu dịch vụ MNY - TEDDY TINT - Video - Scope 3 - 1009 - SOW số 21607/2025/WPP-BTL-LO - ID Tiktok: peonyanh HĐ số 66</t>
  </si>
  <si>
    <t>Doanh thu dịch vụ job 3CE - KOC Hub Sep - Video - Scope 3 - 1009 SOW No. 21973/2025/WPP-BTL-LO _ id Tiktok : peonyanh HĐ số 67</t>
  </si>
  <si>
    <t>Doanh thu dịch vụ 3CE - KOC Hub Sep - Video -Scope 3 - 3009 SOW số No. 23287/2025/WPP-BTL-LO ID Tiktok: peonyanh HĐ số 73</t>
  </si>
  <si>
    <t>25/07/2025</t>
  </si>
  <si>
    <t>10/07/2025</t>
  </si>
  <si>
    <t>15/07/2025</t>
  </si>
  <si>
    <t>16/07/2025</t>
  </si>
  <si>
    <t>01/08/2025</t>
  </si>
  <si>
    <t>31/08/2025</t>
  </si>
  <si>
    <t>03/08/2025</t>
  </si>
  <si>
    <t>05/08/2025</t>
  </si>
  <si>
    <t>08/08/2025</t>
  </si>
  <si>
    <t>10/08/2025</t>
  </si>
  <si>
    <t>18/08/2025</t>
  </si>
  <si>
    <t>06/09/2025</t>
  </si>
  <si>
    <t>07/09/2025</t>
  </si>
  <si>
    <t>0314240179</t>
  </si>
  <si>
    <t>1201700130</t>
  </si>
  <si>
    <t>0302989580</t>
  </si>
  <si>
    <t>0305349388-027</t>
  </si>
  <si>
    <t>0301590426-003</t>
  </si>
  <si>
    <t>0317189971</t>
  </si>
  <si>
    <t>0313205446</t>
  </si>
  <si>
    <t>0314664629</t>
  </si>
  <si>
    <t>0318830891</t>
  </si>
  <si>
    <t>0314299599-012</t>
  </si>
  <si>
    <t>0312801982-002</t>
  </si>
  <si>
    <t>0315648958-001</t>
  </si>
  <si>
    <t>0300686975</t>
  </si>
  <si>
    <t>0318605511</t>
  </si>
  <si>
    <t>0305349388-026</t>
  </si>
  <si>
    <t>Phí dịch vụ tư vấn tháng 07/2025 HĐ số 89</t>
  </si>
  <si>
    <t>Phí dịch vụ tư vấn tháng 08/2025 HĐ số 111</t>
  </si>
  <si>
    <t>Chi phí đồ dùng văn phòng HĐ số 25320</t>
  </si>
  <si>
    <t>Chi phí tiếp khách, ngoại giao HĐ số 79</t>
  </si>
  <si>
    <t>Chi phí tiếp khách, ngoại giao HĐ số 7746</t>
  </si>
  <si>
    <t>Chi phí tiếp khách, ngoại giao HĐ số 140114</t>
  </si>
  <si>
    <t>Chi phí tiếp khách, ngoại giao HĐ số 5782</t>
  </si>
  <si>
    <t>Chi phí tiếp khách, ngoại giao HĐ số 38167</t>
  </si>
  <si>
    <t>Chi phí tiếp khách, ngoại giao HĐ số 5806</t>
  </si>
  <si>
    <t>Chi phí tiếp khách, ngoại giao HĐ số 506</t>
  </si>
  <si>
    <t>Chi phí tiếp khách, ngoại giao HĐ số 507</t>
  </si>
  <si>
    <t>Chi phí tiếp khách, ngoại giao HĐ số 1840</t>
  </si>
  <si>
    <t>Chi phí tiếp khách, ngoại giao HĐ số 10760</t>
  </si>
  <si>
    <t>Chi phí tiếp khách, ngoại giao HĐ số 9485</t>
  </si>
  <si>
    <t>Chi phí tiếp khách, ngoại giao HĐ số 11597</t>
  </si>
  <si>
    <t>Chi phí tiếp khách, ngoại giao HĐ số 20231</t>
  </si>
  <si>
    <t>Chi phí tiếp khách, ngoại giao HĐ số 4156</t>
  </si>
  <si>
    <t>Chi phí tiếp khách, ngoại giao HĐ số 3047</t>
  </si>
  <si>
    <t>Chi phí tiếp khách, ngoại giao HĐ số 5355</t>
  </si>
  <si>
    <t>Chi phí tiếp khách, ngoại giao HĐ số 4432</t>
  </si>
  <si>
    <t>Chi phí tiếp khách, ngoại giao HĐ số 9258</t>
  </si>
  <si>
    <t>Chi phí tiếp khách, ngoại giao HĐ số 2900631</t>
  </si>
  <si>
    <t>Chi phí tiếp khách, ngoại giao HĐ số 1022</t>
  </si>
  <si>
    <t>Chi phí tiếp khách, ngoại giao HĐ số 6523</t>
  </si>
  <si>
    <t>Chi phí tiếp khách, ngoại giao HĐ số 8379</t>
  </si>
  <si>
    <t>Chi phí đồ dùng văn phòng HĐ số 70</t>
  </si>
  <si>
    <t>Chi phí đồ dùng văn phòng HĐ số 4814</t>
  </si>
  <si>
    <t>Chi phí di chuyển, đi lại HĐ số 408706</t>
  </si>
  <si>
    <t>0101778163-001</t>
  </si>
  <si>
    <t>Chi phí đồ dùng văn phòng HĐ số 4650726</t>
  </si>
  <si>
    <t>Thanh toán Chi phí đồ dùng văn phòng HĐ số 25320</t>
  </si>
  <si>
    <t>Thanh toán Chi phí tiếp khách, ngoại giao HĐ số 79</t>
  </si>
  <si>
    <t>Thanh toán Chi phí tiếp khách, ngoại giao HĐ số 7746</t>
  </si>
  <si>
    <t>Thanh toán Chi phí đồ dùng văn phòng HĐ số 70</t>
  </si>
  <si>
    <t>Thanh toán Chi phí tiếp khách, ngoại giao HĐ số 140114</t>
  </si>
  <si>
    <t>Thanh toán Chi phí di chuyển, đi lại HĐ số 408706</t>
  </si>
  <si>
    <t>Thanh toán Chi phí tiếp khách, ngoại giao HĐ số 5782</t>
  </si>
  <si>
    <t>Thanh toán Chi phí tiếp khách, ngoại giao HĐ số 38167</t>
  </si>
  <si>
    <t>Thanh toán Chi phí tiếp khách, ngoại giao HĐ số 5806</t>
  </si>
  <si>
    <t>Thanh toán Phí dịch vụ tư vấn tháng 07/2025 HĐ số 89</t>
  </si>
  <si>
    <t>Thanh toán Phí dịch vụ tư vấn tháng 08/2025 HĐ số 111</t>
  </si>
  <si>
    <t>Thanh toán Chi phí đồ dùng văn phòng HĐ số 4814</t>
  </si>
  <si>
    <t>Thanh toán Chi phí tiếp khách, ngoại giao HĐ số 506</t>
  </si>
  <si>
    <t>Thanh toán Chi phí tiếp khách, ngoại giao HĐ số 507</t>
  </si>
  <si>
    <t>Thanh toán Chi phí tiếp khách, ngoại giao HĐ số 1840</t>
  </si>
  <si>
    <t>Thanh toán Chi phí tiếp khách, ngoại giao HĐ số 10760</t>
  </si>
  <si>
    <t>Thanh toán Chi phí tiếp khách, ngoại giao HĐ số 9485</t>
  </si>
  <si>
    <t>Thanh toán Chi phí tiếp khách, ngoại giao HĐ số 11597</t>
  </si>
  <si>
    <t>Thanh toán Chi phí tiếp khách, ngoại giao HĐ số 20231</t>
  </si>
  <si>
    <t>Thanh toán Chi phí tiếp khách, ngoại giao HĐ số 4156</t>
  </si>
  <si>
    <t>Thanh toán Chi phí tiếp khách, ngoại giao HĐ số 3047</t>
  </si>
  <si>
    <t>Thanh toán Chi phí tiếp khách, ngoại giao HĐ số 5355</t>
  </si>
  <si>
    <t>Thanh toán Chi phí tiếp khách, ngoại giao HĐ số 4432</t>
  </si>
  <si>
    <t>Thanh toán Chi phí tiếp khách, ngoại giao HĐ số 9258</t>
  </si>
  <si>
    <t>Thanh toán Chi phí tiếp khách, ngoại giao HĐ số 2900631</t>
  </si>
  <si>
    <t>Thanh toán Chi phí tiếp khách, ngoại giao HĐ số 1022</t>
  </si>
  <si>
    <t>Thanh toán Chi phí tiếp khách, ngoại giao HĐ số 6523</t>
  </si>
  <si>
    <t>Thanh toán Chi phí tiếp khách, ngoại giao HĐ số 8379</t>
  </si>
  <si>
    <t>Thanh toán Chi phí đồ dùng văn phòng HĐ số 4650726</t>
  </si>
  <si>
    <t>Nhận Doanh thu Dịch vụ quảng cáo và truyền thông theo Hợp đồng số AMV/Ngọc-Tú-Anh/Tsubaki-Q2.2025/2025-HDDV-900P HĐ số 00000040</t>
  </si>
  <si>
    <t>Nhận Doanh thu Dịch vụ quảng cáo và truyền thông theo Hợp đồng số T21C25HDDV- 0055- 0095 NGOCTUANH HĐ số 00000042</t>
  </si>
  <si>
    <t>Nhận Doanh thu Dịch vụ sử dụng hình ảnh theo Hợp đồng số 11082025/HCL-NTA/THERABREATH ký ngày 14/08/2025 HĐ số 60</t>
  </si>
  <si>
    <t>0100150619</t>
  </si>
  <si>
    <t>Nhận Doanh thu Dịch vụ quảng cáo và truyền thông theo hợp đồng số 26062025/HDDV/NGOCTUANHUNICORN_LivestreamSunplaySKAToneUp ký ngày 26/06/2025 và Biên bản nghiệm thu ký ngày 22/07/2025 HĐ số 53</t>
  </si>
  <si>
    <t>Nhận Doanh thu Dịch vụ quảng cáo và truyền thông theo Hợp đồng số 07.2025/HDDV - COLAB - NTA ký ngày 25/06/2025 và Biên bản nghiệm thu ký ngày 23/07/2025 HĐ số 55</t>
  </si>
  <si>
    <t>0301519977-026</t>
  </si>
  <si>
    <t>8336384757-001</t>
  </si>
  <si>
    <t>Nhận Doanh thu Thanh toán đợt 1007 phí dịch vụ MNY - MNY LIFTER GLOSS - Video - Scope 3 - 1007 SOW số 13167/ 2025/ WPP-BTL-LO HĐ số 50</t>
  </si>
  <si>
    <t>Nhận Doanh thu Thanh toán phí dịch vụ OAP - Glyco Campaign P2 - Extra - Scope 3 - Video - 3007 SOW số 18802/2025/WPP-BTL-LO HĐ số 57</t>
  </si>
  <si>
    <t>Nhận Doanh thu Thanh toán đợt 1007 phí dịch vụ MNY - MNY Summer Sunkisser - Video - Scope 3 - 1007 SOW số 14798/ 2025/ WPP-BTL-LO HĐ số 52</t>
  </si>
  <si>
    <t>Nhận Doanh thu Dịch vụ quảng cáo và truyền thông theo Hợp đồng số T21C25HDDV-0100-0095 NGOCTUANH ký ngày 09/06/2025 HĐ số 48</t>
  </si>
  <si>
    <t>Nhận Doanh thu Dịch vụ quảng cáo và truyền thông theo Hợp đồng số 07072025/HCL-NTA/THERA001 ký ngày 07/07/2025 HĐ số 49</t>
  </si>
  <si>
    <t>Nhận Doanh thu Dịch vụ quảng cáo và truyền thông theo Hợp đồng số 250623/HDDV/BRAINAD-NTA ký ngày 23/06/2025 và Biên bản nghiệm thu ký ngày 23/07/2025 HĐ số 56</t>
  </si>
  <si>
    <t>Nhận Doanh thu Dịch vụ quảng cáo và truyền thông theo hợp đồng số 21 (PO số 3152200795) HĐ số 00000031</t>
  </si>
  <si>
    <t>Doanh thu dịch vụ quảng cáo theo Hợp đồng dịch vụ số MDA/20250812/1240 ngày 01/08/2025 và Biên bản nghiệm thu và thanh lý ngày 20/08/2025 HĐ số 61</t>
  </si>
  <si>
    <t>Điều chỉnh giảm Doanh thu dịch vụ quảng cáo theo Hợp đồng dịch vụ số MDA/20250812/1240 ngày 01/08/2025 và Biên bản nghiệm thu và thanh lý ngày 20/08/2025 HĐ số 61</t>
  </si>
  <si>
    <t>Nhận Doanh thu dịch vụ quảng cáo theo Hợp đồng dịch vụ số MDA/20250812/1240 ngày 01/08/2025 và Biên bản nghiệm thu và thanh lý ngày 20/08/2025 HĐ số 61</t>
  </si>
  <si>
    <t>Nộp Chi phí bảo hiểm tháng 2025.07, 2025.08</t>
  </si>
  <si>
    <t>Nhận Doanh thu dịch vụ 3CE - KOC Hub Aug - Video - Scope 3 - 1008 SOW số 19748/2025/WPP-BTL-LO HĐ số 65</t>
  </si>
  <si>
    <t>Nhận Doanh thu dịch vụ MNY - TEDDY TINT - Video - Scope 3 - 2908 theo SOW số 20651/2025/WPP-BTL-LO - peonyan HĐ số 62</t>
  </si>
  <si>
    <t>Nhận Doanh thu Dịch vụ quảng cáo và truyền thông cho nhãn hàng Neutrogena Hợp đồng số 2507/HKDNGOCTUANH-LAVA/NEU/2025 ký ngày 25/07/2025 và Biên bản nghiệm thu ký ngày 22/08/2025 HĐ số 63</t>
  </si>
  <si>
    <t>Nhận Doanh thu Dịch vụ quảng cáo và truyền thông theo hợp đồng số HKD NTA_JUMISO_01072025 ký ngày 01/07/2025 HĐ số 59</t>
  </si>
  <si>
    <t>Nhận Doanh thu Phí sử dụng hình ảnh theo Hơp đồng số HKD NTA_JUMISO_06082025 ký ngày 06/08/2025 HĐ số 64</t>
  </si>
  <si>
    <t>Nhận Doanh thu dịch vụ MNY - TEDDY TINT - Video - Scope 3 - 1009 - SOW số 21607/2025/WPP-BTL-LO - ID Tiktok: peonyanh HĐ số 66</t>
  </si>
  <si>
    <t>Nhận Doanh thu dịch vụ 3CE - KOC Hub Sep - Video -Scope 3 - 3009 SOW số No. 23287/2025/WPP-BTL-LO ID Tiktok: peonyanh HĐ số 73</t>
  </si>
  <si>
    <t>Nhận Doanh thu Dịch vụ quảng cáo và truyền thông theo Hợp đồng số QC2508/2025/HĐQC/LPCOS - HỘ KINH DOANH NGỌC TÚ ANH ký ngày 25/08/2025 và Biên bản nghiệm thu ký ngày 10/09/2025 HĐ số 68</t>
  </si>
  <si>
    <t>Nhận Doanh thu Dịch vụ quảng cáo và truyền thông theo Hợp đồng số 12582025-MCSHOPHOUSE/KOL ký ngày 25/08/2025 HĐ số 72</t>
  </si>
  <si>
    <t>Nhận Doanh thu Dịch vụ quảng cáo và truyền thông theo Hợp đồng số 20250905/HĐDV/NTA ký ngày 05/09/2025 HĐ số 71</t>
  </si>
  <si>
    <t>Nhận Doanh thu Dịch vụ quảng cáo và truyền thông theo Hợp đồng số 21082025-05 ký ngày 21/08/2025 và Biên bản nghiệm thu ký ngày 16/09/2025 HĐ số 70</t>
  </si>
  <si>
    <t>21/07/2025</t>
  </si>
  <si>
    <t>06/08/2025</t>
  </si>
  <si>
    <t>30/09/2025</t>
  </si>
  <si>
    <t>0318416465</t>
  </si>
  <si>
    <t>0318745727</t>
  </si>
  <si>
    <t>0318712471</t>
  </si>
  <si>
    <t>Doanh thu Dịch vụ quảng cáo và truyền thông theo Hợp đồng số 010725/HDDV-NTH – BNLC ký ngày 01/07/2025 và Biên bản nghiệm thu ký ngày 18/07/2025 HĐ số 52</t>
  </si>
  <si>
    <t>Điều chỉnh giảm Doanh thu Dịch vụ quảng cáo và truyền thông theo Hợp đồng số 010725/HDDV-NTH – BNLC ký ngày 01/07/2025 và Biên bản nghiệm thu ký ngày 18/07/2025 HĐ số 52</t>
  </si>
  <si>
    <t>Doanh thu Dịch vụ quảng cáo và truyền thông theo Hợp đồng số HUEUII_RC/072025 ký ngày 02/07/2025 và Biên bản nghiệm thu ký ngày 19/07/2025 HĐ số 53</t>
  </si>
  <si>
    <t>Điều chỉnh giảm Doanh thu Dịch vụ quảng cáo và truyền thông theo Hợp đồng số HUEUII_RC/072025 ký ngày 02/07/2025 và Biên bản nghiệm thu ký ngày 19/07/2025 HĐ số 53</t>
  </si>
  <si>
    <t>Doanh thu Phí dịch vụ quảng cáo cho nhãn hàng DERMARIUM theo Hợp đồng số 1003/2025/HDDV-DER 1/TAL-HUE ký ngày 17/03/2025 và Biên bản nghiệm thu ký ngày 21/07/2025 HĐ số 54</t>
  </si>
  <si>
    <t>Điều chỉnh giảm Doanh thu Phí dịch vụ quảng cáo cho nhãn hàng DERMARIUM theo Hợp đồng số 1003/2025/HDDV-DER 1/TAL-HUE ký ngày 17/03/2025 và Biên bản nghiệm thu ký ngày 21/07/2025 HĐ số 54</t>
  </si>
  <si>
    <t>Doanh thu Dịch vụ quảng cáo và truyên thông theo Hợp đồng số 286/2025/HDDV/OQR ký ngày 16/06/2025 và Biên bản nghiệm thu và thanh lý hợp đồng ký ngày 21/07/2025 HĐ số 55</t>
  </si>
  <si>
    <t>Điều chỉnh giảm Doanh thu Dịch vụ quảng cáo và truyên thông theo Hợp đồng số 286/2025/HDDV/OQR ký ngày 16/06/2025 và Biên bản nghiệm thu và thanh lý hợp đồng ký ngày 21/07/2025 HĐ số 55</t>
  </si>
  <si>
    <t>Doanh thu Dịch vụ quảng cáo và truyền thông theo Hợp đồng số 25062025.HDDV.SPARKLE.NGUYENHUEMAKEUP ký ngày 25/06/2025 và Biên bản nghiệm thu ký ngày 21/07/2025 HĐ số 56</t>
  </si>
  <si>
    <t>Điều chỉnh giảm Doanh thu Dịch vụ quảng cáo và truyền thông theo Hợp đồng số 25062025.HDDV.SPARKLE.NGUYENHUEMAKEUP ký ngày 25/06/2025 và Biên bản nghiệm thu ký ngày 21/07/2025 HĐ số 56</t>
  </si>
  <si>
    <t>Doanh thu Phí dịch vụ theo Hợp đồng số 07/2025/BESTME-CFR-NTH ký ngày 01/07/2025 và Biên bản nghiệm thu ký ngày 22/07/2025 HĐ số 57</t>
  </si>
  <si>
    <t>Điều chỉnh giảm Doanh thu Phí dịch vụ theo Hợp đồng số 07/2025/BESTME-CFR-NTH ký ngày 01/07/2025 và Biên bản nghiệm thu ký ngày 22/07/2025 HĐ số 57</t>
  </si>
  <si>
    <t>Doanh thu Dịch vụ quảng cáo và truyền thông theo Hợp đồng số 2207/2025 ký ngày 22/07/2025 HĐ số 58</t>
  </si>
  <si>
    <t>Điều chỉnh giảm Doanh thu Dịch vụ quảng cáo và truyền thông theo Hợp đồng số 2207/2025 ký ngày 22/07/2025 HĐ số 58</t>
  </si>
  <si>
    <t>Doanh thu Dịch vụ quảng cáo và truyền thông theo hợp đồng số T21C25HDDV-0092-1365 NGUYENHUEMAKEUP ký ngày 24/06/2025 và Biên bản nghiệm thu ký ngày 23/07/2025 HĐ số 59</t>
  </si>
  <si>
    <t>Điều chỉnh giảm Doanh thu Dịch vụ quảng cáo và truyền thông theo hợp đồng số T21C25HDDV-0092-1365 NGUYENHUEMAKEUP ký ngày 24/06/2025 và Biên bản nghiệm thu ký ngày 23/07/2025 HĐ số 59</t>
  </si>
  <si>
    <t>Doanh thu Dịch vụ quảng cáo và truyền thông theo hợp đồng số 27052025/HDDV-LEMONADE.NGUYENHUE ký ngày 27/05/2025 và Biên bản nghiệm thu ký ngày 24/07/2025 HĐ số 60</t>
  </si>
  <si>
    <t>Doanh thu Dịch vụ quảng cáo và truyền thông theo hợp đồng số HKD NGUYENHUE_L&amp;apos;OREAL MAKEUP HUB_01072025 ký ngày 01/07/2025 Biên bản nghiệm thu ký ngày 24/07/2025 HĐ số 61</t>
  </si>
  <si>
    <t>Điều chỉnh giảm Doanh thu Dịch vụ quảng cáo và truyền thông theo hợp đồng số HKD NGUYENHUE_L&amp;apos;OREAL MAKEUP HUB_01072025 ký ngày 01/07/2025 Biên bản nghiệm thu ký ngày 24/07/2025 HĐ số 61</t>
  </si>
  <si>
    <t>Doanh thu Phí dịch vụ thực hiện theo Hợp đồng số T05C25HDDV-0335-1365 NGUYENHUEMAKEUP ký ngày 25/06/2025 và Biên bản nghiệm thu ký ngày 28/07/2025 HĐ số 62</t>
  </si>
  <si>
    <t>Điều chỉnh giảm Doanh thu Phí dịch vụ thực hiện theo Hợp đồng số T05C25HDDV-0335-1365 NGUYENHUEMAKEUP ký ngày 25/06/2025 và Biên bản nghiệm thu ký ngày 28/07/2025 HĐ số 62</t>
  </si>
  <si>
    <t>Doanh thu Dịch vụ quảng cáo và truyền thông theo hợp đồng số 00123/06/025C_ TIKTOK_MNY SSF WORKSHOP_JUL - hue.uii ký ngày 26/06/2025 và Biên bản nghiệm thu ký ngày 30/07/2025 HĐ số 63</t>
  </si>
  <si>
    <t>Điều chỉnh giảm Doanh thu Dịch vụ quảng cáo và truyền thông theo hợp đồng số 00123/06/025C_ TIKTOK_MNY SSF WORKSHOP_JUL - hue.uii ký ngày 26/06/2025 và Biên bản nghiệm thu ký ngày 30/07/2025 HĐ số 63</t>
  </si>
  <si>
    <t>Doanh thu Dịch vụ quảng cáo theo Hợp đồng số 08/01072025/HDDV/MS-NTH ký ngày 01/07/2025 kèm Biên bản nghiệm thu và thanh lý Hợp đồng ký ngày 31/07/2025 HĐ số 64</t>
  </si>
  <si>
    <t>Điều chỉnh giảm Doanh thu Dịch vụ quảng cáo theo Hợp đồng số 08/01072025/HDDV/MS-NTH ký ngày 01/07/2025 kèm Biên bản nghiệm thu và thanh lý Hợp đồng ký ngày 31/07/2025 HĐ số 64</t>
  </si>
  <si>
    <t>Doanh thu Dịch vụ quảng cáo và truyền thông theo hợp đồng số 190525/HĐDV/ENTROPY-NGUYENHUE ký ngày 19/05/2025 (Đợt 2) và Phụ lục 01 ký ngày 22/07/2025 HĐ số 65</t>
  </si>
  <si>
    <t>Doanh thu Dịch vụ quảng cáo và truyền thông theo Hợp đồng số 20250725/HDDV/MIZUMI-HUE.UII-20250725MIZUMI ký ngày 25/07/2025 HĐ số 66</t>
  </si>
  <si>
    <t>Điều chỉnh giảm Doanh thu Dịch vụ quảng cáo và truyền thông theo Hợp đồng số 20250725/HDDV/MIZUMI-HUE.UII-20250725MIZUMI ký ngày 25/07/2025 HĐ số 66</t>
  </si>
  <si>
    <t>Doanh thu Dịch vụ quảng cáo và truyền thông theo hợp đồng số HKD NGUYENHUE_ L&amp;apos;OREAL PARIS_01072025 ký ngày 01/07/2025 Biên bản nghiệm thu ký ngày 06/08/2025 HĐ số 67</t>
  </si>
  <si>
    <t>Điều chỉnh giảm Doanh thu Dịch vụ quảng cáo và truyền thông theo hợp đồng số HKD NGUYENHUE_ L&amp;apos;OREAL PARIS_01072025 ký ngày 01/07/2025 Biên bản nghiệm thu ký ngày 06/08/2025 HĐ số 67</t>
  </si>
  <si>
    <t>Doanh thu Thanh toán theo Hợp đồng dịch vụ số HD01072025/D’ALBA _ASIACONSULTING_NGUYENHUE ký ngày 01/07/2025 và Biên bản nghiệm thu ký ngày 07/08/2025 HĐ số 68</t>
  </si>
  <si>
    <t>Điều chỉnh giảm Doanh thu Thanh toán theo Hợp đồng dịch vụ số HD01072025/D’ALBA _ASIACONSULTING_NGUYENHUE ký ngày 01/07/2025 và Biên bản nghiệm thu ký ngày 07/08/2025 HĐ số 68</t>
  </si>
  <si>
    <t>Doanh thu Dịch vụ quảng cáo và truyền thông theo Hợp đồng số 02-08/2025/HDDV/SNVN-NGUYENHUEMAKEUP ký ngày 01/08/2025 HĐ số 70</t>
  </si>
  <si>
    <t>Điều chỉnh giảm Doanh thu Dịch vụ quảng cáo và truyền thông theo Hợp đồng số 02-08/2025/HDDV/SNVN-NGUYENHUEMAKEUP ký ngày 01/08/2025 HĐ số 70</t>
  </si>
  <si>
    <t>Doanh thu Phí dịch vụ thực hiện theo hợp đồng số T10C24HDDV-0306-1365 NGUYENHUEMAKEUP ký ngày 10/12/2024 (Đợt 2) và Biên bản nghiệm thu ký ngày 18/08/2025 HĐ số 71</t>
  </si>
  <si>
    <t>Điều chỉnh giảm Doanh thu Phí dịch vụ thực hiện theo hợp đồng số T10C24HDDV-0306-1365 NGUYENHUEMAKEUP ký ngày 10/12/2024 (Đợt 2) và Biên bản nghiệm thu ký ngày 18/08/2025 HĐ số 71</t>
  </si>
  <si>
    <t>Doanh thu Dịch vụ quảng cáo và truyền thông theo Hợp đồng số 3007/2025/HDDV-GSLAY.NGUYENHUE ký ngày 30/07/2025 và Biên bản nghiệm thu ký ngày 18/08/2025 HĐ số 72</t>
  </si>
  <si>
    <t>Điều chỉnh giảm Doanh thu Dịch vụ quảng cáo và truyền thông theo Hợp đồng số 3007/2025/HDDV-GSLAY.NGUYENHUE ký ngày 30/07/2025 và Biên bản nghiệm thu ký ngày 18/08/2025 HĐ số 72</t>
  </si>
  <si>
    <t>Doanh thu Dịch vụ quảng cáo và truyên thông theo Hợp đồng số 432/2025/HDDV/OQR ký ngày 01/08/2025 và Biên bản nghiệm thu và thanh lý hợp đồng số 432.01/2025/BBNT/OQR ký ngày 21/08/2025 HĐ số 74</t>
  </si>
  <si>
    <t>Điều chỉnh giảm Doanh thu Dịch vụ quảng cáo và truyên thông theo Hợp đồng số 432/2025/HDDV/OQR ký ngày 01/08/2025 và Biên bản nghiệm thu và thanh lý hợp đồng số 432.01/2025/BBNT/OQR ký ngày 21/08/2025 HĐ số 74</t>
  </si>
  <si>
    <t>Doanh thu Dịch vụ quảng cáo và truyền thông theo Hợp đồng số SMD15082025/AMT-NGUYENHUEMAKEUP ký ngày 15/08/2025 (Đợt 1) HĐ số 75</t>
  </si>
  <si>
    <t>Điều chỉnh giảm Doanh thu Dịch vụ quảng cáo và truyền thông theo Hợp đồng số SMD15082025/AMT-NGUYENHUEMAKEUP ký ngày 15/08/2025 (Đợt 1) HĐ số 75</t>
  </si>
  <si>
    <t>Doanh thu Dịch vụ quảng cáo và truyền thông theo Hợp đồng số T21C25HDDV-0131-1365 NGUYENHUEMAKEUP ký ngày 01/08/2025 và Biên bản nghiệm thu ký ngày 28/08/2025 HĐ số 76</t>
  </si>
  <si>
    <t>Điều chỉnh giảm Doanh thu Dịch vụ quảng cáo và truyền thông theo Hợp đồng số T21C25HDDV-0131-1365 NGUYENHUEMAKEUP ký ngày 01/08/2025 và Biên bản nghiệm thu ký ngày 28/08/2025 HĐ số 76</t>
  </si>
  <si>
    <t>Doanh thu Dịch vụ quảng cáo và truyền thông theo Hợp đồng số 08082025.HDDV.SPARKLE.NGUYENHUEMAKEUP ký ngày 11/08/2025 và Biên bản nghiệm thu ký ngày 01/09/2025 HĐ số 77</t>
  </si>
  <si>
    <t>Điều chỉnh giảm Doanh thu Dịch vụ quảng cáo và truyền thông theo Hợp đồng số 08082025.HDDV.SPARKLE.NGUYENHUEMAKEUP ký ngày 11/08/2025 và Biên bản nghiệm thu ký ngày 01/09/2025 HĐ số 77</t>
  </si>
  <si>
    <t>Doanh thu Dịch vụ quảng cáo và truyền thông theo Hợp đồng số HKD NGUYENHUE_ANUA_018082025 ký ngày 01/08/2025 HĐ số 78</t>
  </si>
  <si>
    <t>Điều chỉnh giảm Doanh thu Dịch vụ quảng cáo và truyền thông theo Hợp đồng số HKD NGUYENHUE_ANUA_018082025 ký ngày 01/08/2025 HĐ số 78</t>
  </si>
  <si>
    <t>Doanh thu Dịch vụ quảng cáo và truyền thông theo Hợp đồng số 1008/2025/HDDV-LEMONADE.NGUYENHUE ký ngày 10/08/2025 và Biên bản nghiệm thu ký ngày 09/09/2025 HĐ số 79</t>
  </si>
  <si>
    <t>Điều chỉnh giảm Doanh thu Dịch vụ quảng cáo và truyền thông theo Hợp đồng số 1008/2025/HDDV-LEMONADE.NGUYENHUE ký ngày 10/08/2025 và Biên bản nghiệm thu ký ngày 09/09/2025 HĐ số 79</t>
  </si>
  <si>
    <t>Doanh thu Thanh toán theo Hợp đồng dịch vụ số HD01072025/TFIT_ASIACONSULTING_NGUYENHUE ký ngày 01/09/2025 và Biên bản nghiệm thu ký ngày 09/09/2025 HĐ số 80</t>
  </si>
  <si>
    <t>Điều chỉnh giảm Doanh thu Thanh toán theo Hợp đồng dịch vụ số HD01072025/TFIT_ASIACONSULTING_NGUYENHUE ký ngày 01/09/2025 và Biên bản nghiệm thu ký ngày 09/09/2025 HĐ số 80</t>
  </si>
  <si>
    <t>Doanh thu Dịch vụ quảng cáo và truyền thông theo Hợp đồng số 0109/2025/HDDV-LEMONADE.NGUYENHUE ký ngày 01/09/2025 và Biên bản nghiệm thu ký ngày 10/09/2025 HĐ số 81</t>
  </si>
  <si>
    <t>Điều chỉnh giảm Doanh thu Dịch vụ quảng cáo và truyền thông theo Hợp đồng số 0109/2025/HDDV-LEMONADE.NGUYENHUE ký ngày 01/09/2025 và Biên bản nghiệm thu ký ngày 10/09/2025 HĐ số 81</t>
  </si>
  <si>
    <t>Doanh thu Dịch vụ quảng cáo và truyền thông theo Hợp đồng nguyên tắc số 02-200825-HUEUII/WV ký ngày 20/08/2025 và Phụ lục yêu cầu dịch vụ số 01 ký ngày 21/08/2025 HĐ số 1</t>
  </si>
  <si>
    <t>Điều chỉnh giảm Doanh thu Dịch vụ quảng cáo và truyền thông theo Hợp đồng nguyên tắc số 02-200825-HUEUII/WV ký ngày 20/08/2025 và Phụ lục yêu cầu dịch vụ số 01 ký ngày 21/08/2025 HĐ số 1</t>
  </si>
  <si>
    <t>Doanh thu Dịch vụ quảng cáo và truyền thông theo Hợp đồng số 15092025/HDDV/UPBASE-KEYSHU-HUE.UII ký ngày 15/09/2025 HĐ số 2</t>
  </si>
  <si>
    <t>Điều chỉnh giảm Doanh thu Dịch vụ quảng cáo và truyền thông theo Hợp đồng số 15092025/HDDV/UPBASE-KEYSHU-HUE.UII ký ngày 15/09/2025 HĐ số 2</t>
  </si>
  <si>
    <t>Doanh thu Dịch vụ quảng cáo và truyền thông theo hợp đồng số 190525/HĐDV/ENTROPY-NGUYENHUE ký ngày 19/05/2025 (Đợt 3) và Phụ lục 01 ký ngày 22/07/2025 HĐ số 3</t>
  </si>
  <si>
    <t>Điều chỉnh giảm Doanh thu Dịch vụ quảng cáo và truyền thông theo hợp đồng số 190525/HĐDV/ENTROPY-NGUYENHUE ký ngày 19/05/2025 (Đợt 3) và Phụ lục 01 ký ngày 22/07/2025 HĐ số 3</t>
  </si>
  <si>
    <t>Doanh thu Dịch vụ quảng cáo và truyền thông theo Hợp đồng số 20250918/UNICORN x NGUYENHUE ký ngày 18/09/2025 và Biên bản nghiệm thu ký ngày 30/09/2025 HĐ số 4</t>
  </si>
  <si>
    <t>Điều chỉnh giảm Doanh thu Dịch vụ quảng cáo và truyền thông theo Hợp đồng số 20250918/UNICORN x NGUYENHUE ký ngày 18/09/2025 và Biên bản nghiệm thu ký ngày 30/09/2025 HĐ số 4</t>
  </si>
  <si>
    <t>07/07/2025</t>
  </si>
  <si>
    <t>29/07/2025</t>
  </si>
  <si>
    <t>Phí dịch vụ tư vấn tháng 06/2025 HĐ số 73</t>
  </si>
  <si>
    <t>Phí dịch vụ tư vấn tháng 07/2025 HĐ số 96</t>
  </si>
  <si>
    <t>Phí dịch vụ tư vấn tháng 08/2025 HĐ số 117</t>
  </si>
  <si>
    <t>Phần mềm hóa đơn điện tử M-100 8456794480-001.matbao.in (1 năm) HĐ số 87403</t>
  </si>
  <si>
    <t>Chi phí tiếp khách, ngoại giao HĐ số 13324</t>
  </si>
  <si>
    <t>Chi phí tiếp khách, ngoại giao HĐ số 706481</t>
  </si>
  <si>
    <t>Chi phí đồ dùng văn phòng HĐ số 651</t>
  </si>
  <si>
    <t>Chi phí tiếp khách, ngoại giao HĐ số 21093</t>
  </si>
  <si>
    <t>Nhận Doanh thu Dịch vụ quảng cáo và truyền thông theo hợp đồng số T08C25HDDV-0152-1365 NGUYENHUEMAKEUP HĐ số 00000044</t>
  </si>
  <si>
    <t>Nhận Doanh thu Dịch vụ quảng cáo và truyền thông theo hợp đồng số T17C25HDDV-0149- 1365 NGUYENHUEMAKEUP HĐ số 00000045</t>
  </si>
  <si>
    <t>Nhận Doanh thu Dịch vụ quảng cáo và truyền thông theo Hợp đồng số 25062025.HDDV.SPARKLE.NGUYENHUEMAKEUP ký ngày 25/06/2025 và Biên bản nghiệm thu ký ngày 21/07/2025 HĐ số 56</t>
  </si>
  <si>
    <t>Nhận Doanh thu Dịch vụ quảng cáo và truyền thông theo Hợp đồng số HUEUII_RC/072025 ký ngày 02/07/2025 và Biên bản nghiệm thu ký ngày 19/07/2025 HĐ số 53</t>
  </si>
  <si>
    <t>Nhận Doanh thu Dịch vụ quảng cáo và truyền thông theo Hợp đồng số 010725/HDDV-NTH – BNLC ký ngày 01/07/2025 và Biên bản nghiệm thu ký ngày 18/07/2025 HĐ số 52</t>
  </si>
  <si>
    <t>Nhận Doanh thu Dịch vụ quảng cáo và truyên thông theo Hợp đồng số 286/2025/HDDV/OQR ký ngày 16/06/2025 và Biên bản nghiệm thu và thanh lý hợp đồng ký ngày 21/07/2025 HĐ số 55</t>
  </si>
  <si>
    <t>Nhận Doanh thu Phí dịch vụ theo Hợp đồng số 07/2025/BESTME-CFR-NTH ký ngày 01/07/2025 và Biên bản nghiệm thu ký ngày 22/07/2025 HĐ số 57</t>
  </si>
  <si>
    <t>Nhận Doanh thu Dịch vụ quảng cáo và truyền thông theo Hợp đồng số 20250725/HDDV/MIZUMI-HUE.UII-20250725MIZUMI ký ngày 25/07/2025 HĐ số 66</t>
  </si>
  <si>
    <t>Nhận Doanh thu Dịch vụ quảng cáo và truyền thông đợt 1 theo hợp đồng số 190525/HĐDV/ENTROPY-NGUYENHUE HĐ số 00000048</t>
  </si>
  <si>
    <t>Nhận Doanh thu Dịch vụ quảng cáo và truyền thông theo hợp đồng số 00123/06/025C_ TIKTOK_MNY SSF WORKSHOP_JUL - hue.uii ký ngày 26/06/2025 và Biên bản nghiệm thu ký ngày 30/07/2025 HĐ số 63</t>
  </si>
  <si>
    <t>Nhận Doanh thu Phí dịch vụ quảng cáo cho nhãn hàng DERMARIUM theo Hợp đồng số 1003/2025/HDDV-DER 1/TAL-HUE ký ngày 17/03/2025 và Biên bản nghiệm thu ký ngày 21/07/2025 HĐ số 54</t>
  </si>
  <si>
    <t>Nhận Doanh thu Dịch vụ quảng cáo và truyền thông theo hợp đồng số HKD NGUYENHUE_L&amp;apos;OREAL MAKEUP HUB_01072025 ký ngày 01/07/2025 Biên bản nghiệm thu ký ngày 24/07/2025 HĐ số 61</t>
  </si>
  <si>
    <t>Nhận Doanh thu Dịch vụ quảng cáo và truyền thông theo Hợp đồng số 2207/2025 ký ngày 22/07/2025 HĐ số 58</t>
  </si>
  <si>
    <t>Nhận Doanh thu Dịch vụ quảng cáo theo Hợp đồng số 08/01072025/HDDV/MS-NTH ký ngày 01/07/2025 kèm Biên bản nghiệm thu và thanh lý Hợp đồng ký ngày 31/07/2025 HĐ số 64</t>
  </si>
  <si>
    <t>Nhận Doanh thu Dịch vụ quảng cáo và truyền thông đợt 2 theo hợp đồng số 241115/HDDV/BRAINAD-NGUYENHUE HĐ số 00000050</t>
  </si>
  <si>
    <t>Nhận Doanh thu Dịch vụ quảng cáo và truyền thông theo Hợp đồng số 02-08/2025/HDDV/SNVN-NGUYENHUEMAKEUP ký ngày 01/08/2025 HĐ số 70</t>
  </si>
  <si>
    <t>Nhận Doanh thu Dịch vụ quảng cáo và truyền thông theo hợp đồng số HKD NGUYENHUE_ L&amp;apos;OREAL PARIS_01072025 ký ngày 01/07/2025 Biên bản nghiệm thu ký ngày 06/08/2025 HĐ số 67</t>
  </si>
  <si>
    <t>Nhận Doanh thu Dịch vụ quảng cáo và truyền thông theo Hợp đồng số 08082025.HDDV.SPARKLE.NGUYENHUEMAKEUP ký ngày 11/08/2025 và Biên bản nghiệm thu ký ngày 01/09/2025 HĐ số 77</t>
  </si>
  <si>
    <t>Nhận Doanh thu Dịch vụ quảng cáo và truyên thông theo Hợp đồng số 432/2025/HDDV/OQR ký ngày 01/08/2025 và Biên bản nghiệm thu và thanh lý hợp đồng số 432.01/2025/BBNT/OQR ký ngày 21/08/2025 HĐ số 74</t>
  </si>
  <si>
    <t>Nhận Doanh thu Dịch vụ quảng cáo và truyền thông theo Hợp đồng số 3007/2025/HDDV-GSLAY.NGUYENHUE ký ngày 30/07/2025 và Biên bản nghiệm thu ký ngày 18/08/2025 HĐ số 72</t>
  </si>
  <si>
    <t>Nhận Doanh thu Dịch vụ quảng cáo và truyền thông theo hợp đồng số T21C25HDDV-0092-1365 NGUYENHUEMAKEUP ký ngày 24/06/2025 và Biên bản nghiệm thu ký ngày 23/07/2025 HĐ số 59</t>
  </si>
  <si>
    <t>Nhận Doanh thu Phí dịch vụ thực hiện theo Hợp đồng số T05C25HDDV-0335-1365 NGUYENHUEMAKEUP ký ngày 25/06/2025 và Biên bản nghiệm thu ký ngày 28/07/2025 HĐ số 62</t>
  </si>
  <si>
    <t>Nhận Doanh thu Dịch vụ quảng cáo và truyền thông theo Hợp đồng số SMD15082025/AMT-NGUYENHUEMAKEUP ký ngày 15/08/2025 (Đợt 1) HĐ số 75</t>
  </si>
  <si>
    <t>Nhận Doanh thu Dịch vụ quảng cáo và truyền thông theo hợp đồng số 27052025/HDDV-LEMONADE.NGUYENHUE ký ngày 27/05/2025 và Biên bản nghiệm thu ký ngày 24/07/2025 HĐ số 60</t>
  </si>
  <si>
    <t>Nhận Doanh thu Dịch vụ quảng cáo và truyền thông theo Hợp đồng số HKD NGUYENHUE_ANUA_018082025 ký ngày 01/08/2025 HĐ số 78</t>
  </si>
  <si>
    <t>Nhận Doanh thu Dịch vụ quảng cáo và truyền thông theo Hợp đồng nguyên tắc số 02-200825-HUEUII/WV ký ngày 20/08/2025 và Phụ lục yêu cầu dịch vụ số 01 ký ngày 21/08/2025 HĐ số 1</t>
  </si>
  <si>
    <t>Nhận Doanh thu Thanh toán theo Hợp đồng dịch vụ số HD01072025/D’ALBA _ASIACONSULTING_NGUYENHUE ký ngày 01/07/2025 và Biên bản nghiệm thu ký ngày 07/08/2025 HĐ số 68</t>
  </si>
  <si>
    <t>Nhận Doanh thu Dịch vụ quảng cáo và truyền thông theo Hợp đồng số T21C25HDDV-0131-1365 NGUYENHUEMAKEUP ký ngày 01/08/2025 và Biên bản nghiệm thu ký ngày 28/08/2025 HĐ số 76</t>
  </si>
  <si>
    <t>Nhận Doanh thu Phí dịch vụ thực hiện theo hợp đồng số T10C24HDDV-0306-1365 NGUYENHUEMAKEUP ký ngày 10/12/2024 (Đợt 2) và Biên bản nghiệm thu ký ngày 18/08/2025 HĐ số 71</t>
  </si>
  <si>
    <t>Nhận Doanh thu Thanh toán theo Hợp đồng dịch vụ số HD01072025/TFIT_ASIACONSULTING_NGUYENHUE ký ngày 01/09/2025 và Biên bản nghiệm thu ký ngày 09/09/2025 HĐ số 80</t>
  </si>
  <si>
    <t>23/08/2025</t>
  </si>
  <si>
    <t>Doanh thu Dịch vụ quảng cáo và truyền thông theo Phụ lục đơn đặt hàng dự án unicorn-reencyngo-live0505-202505 ký ngày 04/07/2025 và Biên bản nghiệm thu ký ngày 22/07/2025 HĐ số 28</t>
  </si>
  <si>
    <t>Doanh thu Dịch vụ quảng cáo và truyền thông theo Phụ lục đơn đặt hàng dự án Fanta ký ngày 07/02/2025 và Biên bản nghiệm thu ký ngày 25/07/2025 HĐ số 29</t>
  </si>
  <si>
    <t>Doanh thu Dịch vụ quảng cáo và truyền thông theo Phụ lục đơn đặt hàng dự án unicorn-reencyngo-live0530-202506 ký ngày 25/06/2025 và Biên bản nghiệm thu ký ngày 11/08/2025 HĐ số 30</t>
  </si>
  <si>
    <t>Điều chỉnh giảm Doanh thu Dịch vụ quảng cáo và truyền thông theo Phụ lục đơn đặt hàng dự án unicorn-reencyngo-live0530-202506 ký ngày 25/06/2025 và Biên bản nghiệm thu ký ngày 11/08/2025 HĐ số 30</t>
  </si>
  <si>
    <t>Doanh thu Dịch vụ quảng cáo và truyền thông theo Phụ lục đơn đặt hàng dự án hungthinh-sunplay-reency-liveexcl-202505 ký ngày 27/07/2025 và Biên bản nghiệm thu ký ngày 13/08/2025 HĐ số 31</t>
  </si>
  <si>
    <t>Điều chỉnh giảm Doanh thu Dịch vụ quảng cáo và truyền thông theo Phụ lục đơn đặt hàng dự án hungthinh-sunplay-reency-liveexcl-202505 ký ngày 27/07/2025 và Biên bản nghiệm thu ký ngày 13/08/2025 HĐ số 31</t>
  </si>
  <si>
    <t>Doanh thu Dịch vụ quảng cáo và truyền thông theo Phụ lục đơn đặt hàng dự án reencyngo-megalive-202507 ký ngày 01/08/2025 và Biên bản nghiệm thu ký ngày 21/08/2025 HĐ số 32</t>
  </si>
  <si>
    <t>Điều chỉnh giảm Doanh thu Dịch vụ quảng cáo và truyền thông theo Phụ lục đơn đặt hàng dự án reencyngo-megalive-202507 ký ngày 01/08/2025 và Biên bản nghiệm thu ký ngày 21/08/2025 HĐ số 32</t>
  </si>
  <si>
    <t>Doanh thu Dịch vụ quảng cáo và truyền thông theo Phụ lục đơn đặt hàng dự án vinfast-bookingkol-livestream-202507 ký ngày 15/07/2025 và Biên bản nghiệm thu ký ngày 23/08/2025 HĐ số 33</t>
  </si>
  <si>
    <t>Điều chỉnh giảm Doanh thu Dịch vụ quảng cáo và truyền thông theo Phụ lục đơn đặt hàng dự án vinfast-bookingkol-livestream-202507 ký ngày 15/07/2025 và Biên bản nghiệm thu ký ngày 23/08/2025 HĐ số 33</t>
  </si>
  <si>
    <t>Doanh thu Dịch vụ quảng cáo và truyền thông theo Phụ lục đơn đặt hàng dự án vinfast-bookingkol-livestream-202507 ký ngày 25/09/2025 (Đợt 2) và Biên bản nghiệm thu ký ngày 25/09/2025 HĐ số 1</t>
  </si>
  <si>
    <t>Điều chỉnh giảm Doanh thu Dịch vụ quảng cáo và truyền thông theo Phụ lục đơn đặt hàng dự án vinfast-bookingkol-livestream-202507 ký ngày 25/09/2025 (Đợt 2) và Biên bản nghiệm thu ký ngày 25/09/2025 HĐ số 1</t>
  </si>
  <si>
    <t>Doanh thu Dịch vụ quảng cáo và truyền thông theo Phụ lục đơn đặt hàng dự án narwal-202507-reencyngo-livemix ký ngày 27/07/2025 và Biên bản nghiệm thu ký ngày 25/09/2025 HĐ số 2</t>
  </si>
  <si>
    <t>Điều chỉnh giảm Doanh thu Dịch vụ quảng cáo và truyền thông theo Phụ lục đơn đặt hàng dự án narwal-202507-reencyngo-livemix ký ngày 27/07/2025 và Biên bản nghiệm thu ký ngày 25/09/2025 HĐ số 2</t>
  </si>
  <si>
    <t>02/07/2025</t>
  </si>
  <si>
    <t>08/07/2025</t>
  </si>
  <si>
    <t>12/07/2025</t>
  </si>
  <si>
    <t>02/08/2025</t>
  </si>
  <si>
    <t>17/08/2025</t>
  </si>
  <si>
    <t>20/09/2025</t>
  </si>
  <si>
    <t>0301433670</t>
  </si>
  <si>
    <t>3502335534-001</t>
  </si>
  <si>
    <t>Phí dịch vụ tư vấn tháng 07/2025 HĐ số 92</t>
  </si>
  <si>
    <t>Phí dịch vụ tư vấn tháng 08/2025 HĐ số 119</t>
  </si>
  <si>
    <t>Chi phí di chuyển, đị lại HĐ số 929422</t>
  </si>
  <si>
    <t>Chi phí di chuyển, đị lại HĐ số 412432</t>
  </si>
  <si>
    <t>Chi phí di chuyển, đị lại HĐ số 511690</t>
  </si>
  <si>
    <t>Chi phí di chuyển, đị lại HĐ số 8919</t>
  </si>
  <si>
    <t>Chi phí di chuyển, đị lại HĐ số 568221</t>
  </si>
  <si>
    <t>Chi phí di chuyển, đị lại HĐ số 1115923</t>
  </si>
  <si>
    <t>Chi phí di chuyển, đị lại HĐ số 1135028</t>
  </si>
  <si>
    <t>Chi phí di chuyển, đị lại HĐ số 635016</t>
  </si>
  <si>
    <t>Chi phí di chuyển, đị lại HĐ số 11620</t>
  </si>
  <si>
    <t>Chi phí di chuyển, đị lại HĐ số 1281629</t>
  </si>
  <si>
    <t>Chi phí di chuyển, đị lại HĐ số 1381284</t>
  </si>
  <si>
    <t>Chi phí vận chuyển HĐ số 12677910</t>
  </si>
  <si>
    <t>Chi phí vận chuyển HĐ số 20662562</t>
  </si>
  <si>
    <t>Chi phí vận chuyển HĐ số 34046529</t>
  </si>
  <si>
    <t>Chi phí vận chuyển HĐ số 35731267</t>
  </si>
  <si>
    <t>Chi phí vận chuyển HĐ số 36389044</t>
  </si>
  <si>
    <t>Nhận doanh thu Dịch vụ quảng cáo và truyền thông Đơn đặt hàng dự án reencyngo-megalive-202504 HĐ số 00000025</t>
  </si>
  <si>
    <t>Nhận doanh thu Dịch vụ quảng cáo và truyền thông Đơn đặt hàng dự án unicornreencyngo-live0505-202505 HĐ số 00000026</t>
  </si>
  <si>
    <t>Nhận doanh thu Dịch vụ quảng cáo và truyền thông Đơn đặt hàng dự án reencyngo-booking2605-202505 HĐ số 00000027</t>
  </si>
  <si>
    <t>8443847047-001</t>
  </si>
  <si>
    <t>0101653171</t>
  </si>
  <si>
    <t>Nhận Doanh thu Dịch vụ quảng cáo và truyền thông theo Phụ lục đơn đặt hàng dự án unicorn-reencyngo-live0505-202505 ký ngày 04/07/2025 và Biên bản nghiệm thu ký ngày 22/07/2025 HĐ số 28</t>
  </si>
  <si>
    <t>Nhận Doanh thu Dịch vụ quảng cáo và truyền thông theo Phụ lục đơn đặt hàng dự án Fanta ký ngày 07/02/2025 và Biên bản nghiệm thu ký ngày 25/07/2025 HĐ số 29</t>
  </si>
  <si>
    <t>Nhận Doanh thu Dịch vụ quảng cáo và truyền thông theo Phụ lục đơn đặt hàng dự án unicorn-reencyngo-live0530-202506 ký ngày 25/06/2025 và Biên bản nghiệm thu ký ngày 11/08/2025 HĐ số 30</t>
  </si>
  <si>
    <t>Hoàn tiền khách hàng chuyển nhầm</t>
  </si>
  <si>
    <t>Nhận Doanh thu Dịch vụ quảng cáo và truyền thông theo Phụ lục đơn đặt hàng dự án vinfast-bookingkol-livestream-202507 ký ngày 15/07/2025 và Biên bản nghiệm thu ký ngày 23/08/2025 HĐ số 33</t>
  </si>
  <si>
    <t>Nhận Doanh thu Dịch vụ quảng cáo và truyền thông theo Phụ lục đơn đặt hàng dự án hungthinh-sunplay-reency-liveexcl-202505 ký ngày 27/07/2025 và Biên bản nghiệm thu ký ngày 13/08/2025 HĐ số 31</t>
  </si>
  <si>
    <t>Nhận Doanh thu Dịch vụ quảng cáo và truyền thông theo Phụ lục đơn đặt hàng dự án reencyngo-megalive-202507 ký ngày 01/08/2025 và Biên bản nghiệm thu ký ngày 21/08/2025 HĐ số 32</t>
  </si>
  <si>
    <t>Thanh toán Chi phí di chuyển, đị lại HĐ số 929422</t>
  </si>
  <si>
    <t>Thanh toán Chi phí di chuyển, đị lại HĐ số 412432</t>
  </si>
  <si>
    <t>Thanh toán Chi phí di chuyển, đị lại HĐ số 511690</t>
  </si>
  <si>
    <t>Thanh toán Chi phí vận chuyển HĐ số 12677910</t>
  </si>
  <si>
    <t>Thanh toán Phí dịch vụ tư vấn tháng 07/2025 HĐ số 92</t>
  </si>
  <si>
    <t>Thanh toán Chi phí di chuyển, đị lại HĐ số 8919</t>
  </si>
  <si>
    <t>Thanh toán Chi phí di chuyển, đị lại HĐ số 568221</t>
  </si>
  <si>
    <t>Thanh toán Chi phí vận chuyển HĐ số 20662562</t>
  </si>
  <si>
    <t>Thanh toán Chi phí di chuyển, đị lại HĐ số 1115923</t>
  </si>
  <si>
    <t>Thanh toán Chi phí di chuyển, đị lại HĐ số 1135028</t>
  </si>
  <si>
    <t>Thanh toán Chi phí di chuyển, đị lại HĐ số 635016</t>
  </si>
  <si>
    <t>Thanh toán Phí dịch vụ tư vấn tháng 08/2025 HĐ số 119</t>
  </si>
  <si>
    <t>Thanh toán Chi phí di chuyển, đị lại HĐ số 11620</t>
  </si>
  <si>
    <t>Thanh toán Chi phí di chuyển, đị lại HĐ số 1281629</t>
  </si>
  <si>
    <t>Thanh toán Chi phí vận chuyển HĐ số 34046529</t>
  </si>
  <si>
    <t>Thanh toán Chi phí vận chuyển HĐ số 35731267</t>
  </si>
  <si>
    <t>Thanh toán Chi phí vận chuyển HĐ số 36389044</t>
  </si>
  <si>
    <t>Thanh toán Chi phí di chuyển, đị lại HĐ số 1381284</t>
  </si>
  <si>
    <t>0317940316</t>
  </si>
  <si>
    <t>0101159195</t>
  </si>
  <si>
    <t>1102053179</t>
  </si>
  <si>
    <t>Doanh thu Dịch vụ quảng cáo và truyền thông theo Hợp đồng số MDA/20250708/724 ký ngày 03/07/2025 và Biên bản nghiệm thu ký ngày 21/07/2025 HĐ số 20</t>
  </si>
  <si>
    <t>Điều chỉnh giảm Doanh thu Dịch vụ quảng cáo và truyền thông theo Hợp đồng số MDA/20250708/724 ký ngày 03/07/2025 và Biên bản nghiệm thu ký ngày 21/07/2025 HĐ số 20</t>
  </si>
  <si>
    <t>Doanh thu Dịch vụ quảng cáo và truyền thông theo Hợp đồng số FINTVN-ATTENIR-09-06/25 ký ngày 17/07/2025 HĐ số 21</t>
  </si>
  <si>
    <t>Điều chỉnh giảm Doanh thu Dịch vụ quảng cáo và truyền thông theo Hợp đồng số FINTVN-ATTENIR-09-06/25 ký ngày 17/07/2025 HĐ số 21</t>
  </si>
  <si>
    <t>Doanh thu Dịch vụ quảng cáo và truyền thông theo Hợp đồng số 17072025.HDDV.SPARKLE.TND ký ngày 17/07/2025 và Biên bản nghiệm thu ký ngày 28/07/2025 HĐ số 23</t>
  </si>
  <si>
    <t>Điều chỉnh giảm Doanh thu Dịch vụ quảng cáo và truyền thông theo Hợp đồng số 17072025.HDDV.SPARKLE.TND ký ngày 17/07/2025 và Biên bản nghiệm thu ký ngày 28/07/2025 HĐ số 23</t>
  </si>
  <si>
    <t>Doanh thu Thanh toán phí dịch vụ OAP KOC Hub Skin Apr Video Scope 3 3007 số No. 18439/2025/WPP-BTL-LO - ID tiktok-tnhadinh HĐ số 24</t>
  </si>
  <si>
    <t>Điều chỉnh giảm Doanh thu Thanh toán phí dịch vụ OAP KOC Hub Skin Apr Video Scope 3 3007 số No. 18439/2025/WPP-BTL-LO - ID tiktok-tnhadinh HĐ số 24</t>
  </si>
  <si>
    <t>Doanh thu Dịch vụ quảng cáo và truyền thông theo Hợp đồng số 38/25/HĐDV/BK - MAG ký ngày 23/07/2025 HĐ số 25</t>
  </si>
  <si>
    <t>Điều chỉnh giảm Doanh thu Dịch vụ quảng cáo và truyền thông theo Hợp đồng số 38/25/HĐDV/BK - MAG ký ngày 23/07/2025 HĐ số 25</t>
  </si>
  <si>
    <t>Doanh thu Dịch vụ quảng cáo và truyền thông theo Hợp đồng số FINTVN-ATTENIR-19-06/25 ký ngày 08/08/2025 HĐ số 26</t>
  </si>
  <si>
    <t>Điều chỉnh giảm Doanh thu Dịch vụ quảng cáo và truyền thông theo Hợp đồng số FINTVN-ATTENIR-19-06/25 ký ngày 08/08/2025 HĐ số 26</t>
  </si>
  <si>
    <t>Doanh thu Dịch vụ quảng cáo và truyền thông theo Hợp đồng số KOLs-200825/IMU-TND ký ngày 20/08/2025 HĐ số 27</t>
  </si>
  <si>
    <t>Điều chỉnh giảm Doanh thu Dịch vụ quảng cáo và truyền thông theo Hợp đồng số KOLs-200825/IMU-TND ký ngày 20/08/2025 HĐ số 27</t>
  </si>
  <si>
    <t>Doanh thu Dịch vụ quảng cáo và truyền thông theo Hợp đồng số HKD TND_ GARNIER_TRI_ACID_01092025 ký ngày 01/09/2025 (Đợt 1) HĐ số 28</t>
  </si>
  <si>
    <t>Điều chỉnh giảm Doanh thu Dịch vụ quảng cáo và truyền thông theo Hợp đồng số HKD TND_ GARNIER_TRI_ACID_01092025 ký ngày 01/09/2025 (Đợt 1) HĐ số 28</t>
  </si>
  <si>
    <t>Doanh thu Dịch vụ quảng cáo và truyền thông theo Hợp đồng số 486/2025/HDDV/OQR ký ngày 26/08/2025 và Biên bản nghiệm thu ký ngày 10/09/2025 HĐ số 29</t>
  </si>
  <si>
    <t>Điều chỉnh giảm Doanh thu Dịch vụ quảng cáo và truyền thông theo Hợp đồng số 486/2025/HDDV/OQR ký ngày 26/08/2025 và Biên bản nghiệm thu ký ngày 10/09/2025 HĐ số 29</t>
  </si>
  <si>
    <t>Doanh thu Dịch vụ quảng cáo và truyền thông theo Hợp đồng số 15092025_HĐDV-HUNGTHINH-NHADINH ký ngày 15/09/2025 HĐ số 1</t>
  </si>
  <si>
    <t>Điều chỉnh giảm Doanh thu Dịch vụ quảng cáo và truyền thông theo Hợp đồng số 15092025_HĐDV-HUNGTHINH-NHADINH ký ngày 15/09/2025 HĐ số 1</t>
  </si>
  <si>
    <t>Doanh thu Dịch vụ quảng cáo và truyền thông theo Hợp đồng số HKD TND_ GARNIER_TRI_ACID_01092025 ký ngày 01/09/2025 (Đợt 2) và Biên bản nghiệm thu ký ngày 16/09/2025 HĐ số 2</t>
  </si>
  <si>
    <t>Điều chỉnh giảm Doanh thu Dịch vụ quảng cáo và truyền thông theo Hợp đồng số HKD TND_ GARNIER_TRI_ACID_01092025 ký ngày 01/09/2025 (Đợt 2) và Biên bản nghiệm thu ký ngày 16/09/2025 HĐ số 2</t>
  </si>
  <si>
    <t>Doanh thu Dịch vụ quảng cáo và truyền thông theo Phụ lục 02 ký ngày 29/08/2025 của Hợp đồng nguyên tắc số 18062025/HDHT/LL_TND ký ngày 18/06/2025 và Biên bản nghiệm thu ký ngày 17/09/2025 HĐ số 3</t>
  </si>
  <si>
    <t>Điều chỉnh giảm Doanh thu Dịch vụ quảng cáo và truyền thông theo Phụ lục 02 ký ngày 29/08/2025 của Hợp đồng nguyên tắc số 18062025/HDHT/LL_TND ký ngày 18/06/2025 và Biên bản nghiệm thu ký ngày 17/09/2025 HĐ số 3</t>
  </si>
  <si>
    <t>Doanh thu Dịch vụ sử dụng hình ảnh theo Hợp đồng số 01.09.25/HĐHT/SANAM-TND ký ngày 01/09/2025 HĐ số 4</t>
  </si>
  <si>
    <t>Điều chỉnh giảm Doanh thu Dịch vụ sử dụng hình ảnh theo Hợp đồng số 01.09.25/HĐHT/SANAM-TND ký ngày 01/09/2025 HĐ số 4</t>
  </si>
  <si>
    <t>Doanh thu Phí sử dụng hình ảnh theo Hợp đồng số 25092025_HĐDV-SDHA-NHADINH ký ngày 25/09/2025 HĐ số 5</t>
  </si>
  <si>
    <t>Điều chỉnh giảm Doanh thu Phí sử dụng hình ảnh theo Hợp đồng số 25092025_HĐDV-SDHA-NHADINH ký ngày 25/09/2025 HĐ số 5</t>
  </si>
  <si>
    <t>03/07/2025</t>
  </si>
  <si>
    <t>04/07/2025</t>
  </si>
  <si>
    <t>25/08/2025</t>
  </si>
  <si>
    <t>13/09/2025</t>
  </si>
  <si>
    <t>24/09/2025</t>
  </si>
  <si>
    <t>0315112469</t>
  </si>
  <si>
    <t>0107468697</t>
  </si>
  <si>
    <t>0301863909-002</t>
  </si>
  <si>
    <t>0317191674</t>
  </si>
  <si>
    <t>0104600770</t>
  </si>
  <si>
    <t>0318866111</t>
  </si>
  <si>
    <t>0318253034</t>
  </si>
  <si>
    <t>0317692092-002</t>
  </si>
  <si>
    <t>0315123911</t>
  </si>
  <si>
    <t>0315018699</t>
  </si>
  <si>
    <t>049088001926</t>
  </si>
  <si>
    <t>Phí dịch vụ tư vấn tháng 07/2025 HĐ số 87</t>
  </si>
  <si>
    <t>Phí dịch vụ tư vấn tháng 08/2025 HĐ số 123</t>
  </si>
  <si>
    <t>Chi phí tiếp khách, ngoại giao HĐ số 31197</t>
  </si>
  <si>
    <t>Chi phí tiếp khách, ngoại giao HĐ số 666</t>
  </si>
  <si>
    <t>Chi phí tiếp khách, ngoại giao HĐ số 3514</t>
  </si>
  <si>
    <t>Chi phí tiếp khách, ngoại giao HĐ số 438</t>
  </si>
  <si>
    <t>Chi phí tiếp khách, ngoại giao HĐ số 1</t>
  </si>
  <si>
    <t>Chi phí tiếp khách, ngoại giao HĐ số 40827</t>
  </si>
  <si>
    <t>Chi phí tiếp khách, ngoại giao HĐ số 7532</t>
  </si>
  <si>
    <t>Chi phí tiếp khách, ngoại giao HĐ số 3842</t>
  </si>
  <si>
    <t>Chi phí tiếp khách, ngoại giao HĐ số 586</t>
  </si>
  <si>
    <t>Chi phí tiếp khách, ngoại giao HĐ số 4080</t>
  </si>
  <si>
    <t>Chi phí đồ dùng văn phòng HĐ số 224</t>
  </si>
  <si>
    <t>Chi phí đồ dùng văn phòng HĐ số 9228</t>
  </si>
  <si>
    <t>Chi phí đồ dùng văn phòng HĐ số 3740</t>
  </si>
  <si>
    <t>Chi phí đồ dùng văn phòng HĐ số 167811</t>
  </si>
  <si>
    <t>Chi phí đồ dùng văn phòng HĐ số 55657</t>
  </si>
  <si>
    <t>Chi phí đồ dùng văn phòng HĐ số 339</t>
  </si>
  <si>
    <t>Chi phí đồ dùng văn phòng HĐ số 1416</t>
  </si>
  <si>
    <t>Chi phí đồ dùng văn phòng HĐ số 1942</t>
  </si>
  <si>
    <t>01/07/2025</t>
  </si>
  <si>
    <t>11/07/2025</t>
  </si>
  <si>
    <t>14/07/2025</t>
  </si>
  <si>
    <t>20/07/2025</t>
  </si>
  <si>
    <t>24/08/2025</t>
  </si>
  <si>
    <t>29/08/2025</t>
  </si>
  <si>
    <t>14/09/2025</t>
  </si>
  <si>
    <t>28/09/2025</t>
  </si>
  <si>
    <t>29/09/2025</t>
  </si>
  <si>
    <t>0100111948-054</t>
  </si>
  <si>
    <t>06/07/2025</t>
  </si>
  <si>
    <t>21/09/2025</t>
  </si>
  <si>
    <t>Chi phí di chuyển, đi lại HĐ số 6519778</t>
  </si>
  <si>
    <t>Chi phí di chuyển, đi lại HĐ số 6519987</t>
  </si>
  <si>
    <t>Chi phí di chuyển, đi lại HĐ số 6541527</t>
  </si>
  <si>
    <t>Chi phí di chuyển, đi lại HĐ số 6666788</t>
  </si>
  <si>
    <t>Chi phí di chuyển, đi lại HĐ số 6693321</t>
  </si>
  <si>
    <t>Chi phí di chuyển, đi lại HĐ số 6792022</t>
  </si>
  <si>
    <t>Chi phí di chuyển, đi lại HĐ số 6986602</t>
  </si>
  <si>
    <t>Chi phí di chuyển, đi lại HĐ số 6996594</t>
  </si>
  <si>
    <t>Chi phí di chuyển, đi lại HĐ số 7137984</t>
  </si>
  <si>
    <t>Chi phí di chuyển, đi lại HĐ số 7193453</t>
  </si>
  <si>
    <t>Chi phí di chuyển, đi lại HĐ số 7326345</t>
  </si>
  <si>
    <t>Chi phí di chuyển, đi lại HĐ số 7673351</t>
  </si>
  <si>
    <t>Chi phí di chuyển, đi lại HĐ số 7706679</t>
  </si>
  <si>
    <t>Chi phí di chuyển, đi lại HĐ số 8127148</t>
  </si>
  <si>
    <t>Chi phí di chuyển, đi lại HĐ số 8139786</t>
  </si>
  <si>
    <t>Chi phí di chuyển, đi lại HĐ số 8738838</t>
  </si>
  <si>
    <t>Chi phí di chuyển, đi lại HĐ số 8872349</t>
  </si>
  <si>
    <t>Chi phí di chuyển, đi lại HĐ số 8903903</t>
  </si>
  <si>
    <t>Chi phí di chuyển, đi lại HĐ số 8917513</t>
  </si>
  <si>
    <t>Chi phí di chuyển, đi lại HĐ số 4224145</t>
  </si>
  <si>
    <t>Chi phí di chuyển, đi lại HĐ số 9262570</t>
  </si>
  <si>
    <t>Chi phí di chuyển, đi lại HĐ số 9382897</t>
  </si>
  <si>
    <t>Chi phí di chuyển, đi lại HĐ số 9407709</t>
  </si>
  <si>
    <t>Chi phí di chuyển, đi lại HĐ số 9645925</t>
  </si>
  <si>
    <t>Chi phí di chuyển, đi lại HĐ số 10039945</t>
  </si>
  <si>
    <t>Chi phí di chuyển, đi lại HĐ số 10112343</t>
  </si>
  <si>
    <t>Chi phí di chuyển, đi lại HĐ số 4743601</t>
  </si>
  <si>
    <t>Chi phí di chuyển, đi lại HĐ số 4745899</t>
  </si>
  <si>
    <t>Chi phí di chuyển, đi lại HĐ số 4750357</t>
  </si>
  <si>
    <t>Chi phí di chuyển, đi lại HĐ số 4917969</t>
  </si>
  <si>
    <t>Chi phí di chuyển, đi lại HĐ số 10484021</t>
  </si>
  <si>
    <t>Chi phí di chuyển, đi lại HĐ số 10627338</t>
  </si>
  <si>
    <t>Chi phí di chuyển, đi lại HĐ số 10666126</t>
  </si>
  <si>
    <t>Chi phí di chuyển, đi lại HĐ số 10667686</t>
  </si>
  <si>
    <t>Chi phí di chuyển, đi lại HĐ số 10715105</t>
  </si>
  <si>
    <t>Chi phí di chuyển, đi lại HĐ số 10936838</t>
  </si>
  <si>
    <t>Chi phí di chuyển, đi lại HĐ số 5307154</t>
  </si>
  <si>
    <t>Chi phí di chuyển, đi lại HĐ số 12813785</t>
  </si>
  <si>
    <t>Chi phí di chuyển, đi lại HĐ số 12875748</t>
  </si>
  <si>
    <t>Chi phí di chuyển, đi lại HĐ số 13594820</t>
  </si>
  <si>
    <t>Chi phí di chuyển, đi lại HĐ số 6825693</t>
  </si>
  <si>
    <t>Chi phí di chuyển, đi lại HĐ số 14472962</t>
  </si>
  <si>
    <t>Chi phí di chuyển, đi lại HĐ số 17466324</t>
  </si>
  <si>
    <t>Chi phí di chuyển, đi lại HĐ số 17962927</t>
  </si>
  <si>
    <t>Chi phí di chuyển, đi lại HĐ số 17963127</t>
  </si>
  <si>
    <t>Chi phí di chuyển, đi lại HĐ số 18025608</t>
  </si>
  <si>
    <t>Chi phí di chuyển, đi lại HĐ số 18188877</t>
  </si>
  <si>
    <t>Chi phí di chuyển, đi lại HĐ số 18189277</t>
  </si>
  <si>
    <t>Chi phí di chuyển, đi lại HĐ số 18442016</t>
  </si>
  <si>
    <t>Chi phí di chuyển, đi lại HĐ số 18724160</t>
  </si>
  <si>
    <t>Chi phí di chuyển, đi lại HĐ số 19036389</t>
  </si>
  <si>
    <t>Chi phí di chuyển, đi lại HĐ số 19337295</t>
  </si>
  <si>
    <t>Chi phí di chuyển, đi lại HĐ số 19602804</t>
  </si>
  <si>
    <t>Chi phí di chuyển, đi lại HĐ số 19834194</t>
  </si>
  <si>
    <t>Chi phí di chuyển, đi lại HĐ số 19903422</t>
  </si>
  <si>
    <t>Chi phí di chuyển, đi lại HĐ số 20086383</t>
  </si>
  <si>
    <t>Chi phí di chuyển, đi lại HĐ số 20153145</t>
  </si>
  <si>
    <t>Chi phí di chuyển, đi lại HĐ số 20224008</t>
  </si>
  <si>
    <t>Chi phí di chuyển, đi lại HĐ số 20326429</t>
  </si>
  <si>
    <t>Chi phí di chuyển, đi lại HĐ số 20354569</t>
  </si>
  <si>
    <t>Chi phí di chuyển, đi lại HĐ số 20391683</t>
  </si>
  <si>
    <t>Chi phí di chuyển, đi lại HĐ số 20464388</t>
  </si>
  <si>
    <t>Chi phí di chuyển, đi lại HĐ số 20464788</t>
  </si>
  <si>
    <t>Chi phí di chuyển, đi lại HĐ số 20573356</t>
  </si>
  <si>
    <t>Chi phí di chuyển, đi lại HĐ số 20602161</t>
  </si>
  <si>
    <t>Chi phí di chuyển, đi lại HĐ số 20802894</t>
  </si>
  <si>
    <t>Chi phí di chuyển, đi lại HĐ số 20830275</t>
  </si>
  <si>
    <t>Chi phí di chuyển, đi lại HĐ số 21005484</t>
  </si>
  <si>
    <t>Chi phí di chuyển, đi lại HĐ số 21030721</t>
  </si>
  <si>
    <t>Chi phí di chuyển, đi lại HĐ số 21195352</t>
  </si>
  <si>
    <t>Chi phí di chuyển, đi lại HĐ số 21217920</t>
  </si>
  <si>
    <t>Chi phí di chuyển, đi lại HĐ số 21378855</t>
  </si>
  <si>
    <t>Chi phí di chuyển, đi lại HĐ số 21522998</t>
  </si>
  <si>
    <t>Chi phí di chuyển, đi lại HĐ số 22786454</t>
  </si>
  <si>
    <t>Chi phí di chuyển, đi lại HĐ số 22904027</t>
  </si>
  <si>
    <t>Chi phí di chuyển, đi lại HĐ số 22942941</t>
  </si>
  <si>
    <t>Chi phí di chuyển, đi lại HĐ số 23096288</t>
  </si>
  <si>
    <t>Chi phí di chuyển, đi lại HĐ số 23153674</t>
  </si>
  <si>
    <t>Chi phí di chuyển, đi lại HĐ số 23463158</t>
  </si>
  <si>
    <t>Chi phí di chuyển, đi lại HĐ số 23491291</t>
  </si>
  <si>
    <t>Chi phí di chuyển, đi lại HĐ số 23498020</t>
  </si>
  <si>
    <t>Chi phí di chuyển, đi lại HĐ số 23589859</t>
  </si>
  <si>
    <t>Chi phí di chuyển, đi lại HĐ số 23692375</t>
  </si>
  <si>
    <t>Chi phí di chuyển, đi lại HĐ số 23814248</t>
  </si>
  <si>
    <t>Chi phí di chuyển, đi lại HĐ số 11280982</t>
  </si>
  <si>
    <t>Chi phí di chuyển, đi lại HĐ số 23939708</t>
  </si>
  <si>
    <t>Chi phí di chuyển, đi lại HĐ số 24007241</t>
  </si>
  <si>
    <t>Chi phí di chuyển, đi lại HĐ số 24008717</t>
  </si>
  <si>
    <t>Chi phí di chuyển, đi lại HĐ số 24152475</t>
  </si>
  <si>
    <t>Chi phí di chuyển, đi lại HĐ số 14277464</t>
  </si>
  <si>
    <t>Chi phí di chuyển, đi lại HĐ số 14281250</t>
  </si>
  <si>
    <t>Chi phí di chuyển, đi lại HĐ số 24969087</t>
  </si>
  <si>
    <t>Chi phí di chuyển, đi lại HĐ số 14365878</t>
  </si>
  <si>
    <t>Chi phí di chuyển, đi lại HĐ số 14373519</t>
  </si>
  <si>
    <t>Chi phí di chuyển, đi lại HĐ số 11909464</t>
  </si>
  <si>
    <t>Chi phí di chuyển, đi lại HĐ số 25517856</t>
  </si>
  <si>
    <t>Chi phí di chuyển, đi lại HĐ số 12078270</t>
  </si>
  <si>
    <t>Chi phí di chuyển, đi lại HĐ số 25580114</t>
  </si>
  <si>
    <t>Chi phí di chuyển, đi lại HĐ số 25607948</t>
  </si>
  <si>
    <t>Chi phí di chuyển, đi lại HĐ số 25665607</t>
  </si>
  <si>
    <t>Chi phí di chuyển, đi lại HĐ số 25689087</t>
  </si>
  <si>
    <t>Chi phí di chuyển, đi lại HĐ số 12147498</t>
  </si>
  <si>
    <t>Chi phí di chuyển, đi lại HĐ số 25856950</t>
  </si>
  <si>
    <t>Chi phí di chuyển, đi lại HĐ số 25873187</t>
  </si>
  <si>
    <t>Chi phí di chuyển, đi lại HĐ số 25882304</t>
  </si>
  <si>
    <t>Chi phí di chuyển, đi lại HĐ số 12207890</t>
  </si>
  <si>
    <t>Chi phí di chuyển, đi lại HĐ số 26060752</t>
  </si>
  <si>
    <t>Chi phí di chuyển, đi lại HĐ số 26303932</t>
  </si>
  <si>
    <t>Chi phí di chuyển, đi lại HĐ số 26323520</t>
  </si>
  <si>
    <t>Chi phí di chuyển, đi lại HĐ số 26519504</t>
  </si>
  <si>
    <t>Chi phí di chuyển, đi lại HĐ số 26695016</t>
  </si>
  <si>
    <t>Chi phí di chuyển, đi lại HĐ số 26710208</t>
  </si>
  <si>
    <t>Chi phí di chuyển, đi lại HĐ số 26832395</t>
  </si>
  <si>
    <t>Chi phí di chuyển, đi lại HĐ số 26832857</t>
  </si>
  <si>
    <t>Chi phí di chuyển, đi lại HĐ số 26833647</t>
  </si>
  <si>
    <t>Chi phí di chuyển, đi lại HĐ số 26835049</t>
  </si>
  <si>
    <t>Chi phí di chuyển, đi lại HĐ số 26835717</t>
  </si>
  <si>
    <t>Chi phí di chuyển, đi lại HĐ số 26835936</t>
  </si>
  <si>
    <t>Chi phí di chuyển, đi lại HĐ số 26837023</t>
  </si>
  <si>
    <t>Chi phí di chuyển, đi lại HĐ số 26837214</t>
  </si>
  <si>
    <t>Chi phí di chuyển, đi lại HĐ số 26837416</t>
  </si>
  <si>
    <t>Chi phí di chuyển, đi lại HĐ số 26837580</t>
  </si>
  <si>
    <t>Chi phí di chuyển, đi lại HĐ số 26838254</t>
  </si>
  <si>
    <t>Chi phí di chuyển, đi lại HĐ số 26838262</t>
  </si>
  <si>
    <t>Chi phí di chuyển, đi lại HĐ số 26838552</t>
  </si>
  <si>
    <t>Chi phí di chuyển, đi lại HĐ số 26838587</t>
  </si>
  <si>
    <t>Chi phí di chuyển, đi lại HĐ số 26838897</t>
  </si>
  <si>
    <t>Chi phí di chuyển, đi lại HĐ số 26840372</t>
  </si>
  <si>
    <t>Chi phí di chuyển, đi lại HĐ số 26840962</t>
  </si>
  <si>
    <t>Chi phí di chuyển, đi lại HĐ số 26841722</t>
  </si>
  <si>
    <t>Chi phí di chuyển, đi lại HĐ số 26842322</t>
  </si>
  <si>
    <t>Chi phí di chuyển, đi lại HĐ số 26842516</t>
  </si>
  <si>
    <t>Chi phí di chuyển, đi lại HĐ số 27586868</t>
  </si>
  <si>
    <t>Chi phí di chuyển, đi lại HĐ số 27758983</t>
  </si>
  <si>
    <t>Chi phí di chuyển, đi lại HĐ số 27801534</t>
  </si>
  <si>
    <t>Chi phí di chuyển, đi lại HĐ số 28695520</t>
  </si>
  <si>
    <t>Chi phí di chuyển, đi lại HĐ số 28696701</t>
  </si>
  <si>
    <t>Chi phí di chuyển, đi lại HĐ số 28697807</t>
  </si>
  <si>
    <t>Chi phí di chuyển, đi lại HĐ số 29171111</t>
  </si>
  <si>
    <t>Chi phí di chuyển, đi lại HĐ số 42047</t>
  </si>
  <si>
    <t>Chi phí di chuyển, đi lại HĐ số 42048</t>
  </si>
  <si>
    <t>Phí ngân hàng HĐ số 17854</t>
  </si>
  <si>
    <t>Chi phí tiếp khách, ngoại giao HĐ số 127</t>
  </si>
  <si>
    <t>Chi phí dịch vụ mua ngoài HĐ số 5053</t>
  </si>
  <si>
    <t>Chi phí dịch vụ mua ngoài HĐ số 50559</t>
  </si>
  <si>
    <t>Chi phí dịch vụ mua ngoài HĐ số 50560</t>
  </si>
  <si>
    <t>Chi phí dịch vụ mua ngoài HĐ số 50561</t>
  </si>
  <si>
    <t>Thanh toán Phí dịch vụ tư vấn tháng 07/2025 HĐ số 87</t>
  </si>
  <si>
    <t>Thanh toán Chi phí dịch vụ mua ngoài HĐ số 5053</t>
  </si>
  <si>
    <t>Thanh toán Chi phí di chuyển, đi lại HĐ số 6519778</t>
  </si>
  <si>
    <t>Thanh toán Chi phí di chuyển, đi lại HĐ số 6519987</t>
  </si>
  <si>
    <t>Thanh toán Chi phí di chuyển, đi lại HĐ số 6541527</t>
  </si>
  <si>
    <t>Thanh toán Chi phí di chuyển, đi lại HĐ số 6666788</t>
  </si>
  <si>
    <t>Thanh toán Chi phí di chuyển, đi lại HĐ số 6693321</t>
  </si>
  <si>
    <t>Thanh toán Chi phí di chuyển, đi lại HĐ số 6792022</t>
  </si>
  <si>
    <t>Thanh toán Chi phí di chuyển, đi lại HĐ số 6986602</t>
  </si>
  <si>
    <t>Thanh toán Chi phí di chuyển, đi lại HĐ số 6996594</t>
  </si>
  <si>
    <t>Thanh toán Chi phí di chuyển, đi lại HĐ số 7137984</t>
  </si>
  <si>
    <t>Thanh toán Chi phí di chuyển, đi lại HĐ số 7193453</t>
  </si>
  <si>
    <t>Thanh toán Chi phí di chuyển, đi lại HĐ số 7326345</t>
  </si>
  <si>
    <t>Thanh toán Chi phí di chuyển, đi lại HĐ số 7673351</t>
  </si>
  <si>
    <t>Thanh toán Chi phí di chuyển, đi lại HĐ số 7706679</t>
  </si>
  <si>
    <t>Thanh toán Chi phí di chuyển, đi lại HĐ số 8127148</t>
  </si>
  <si>
    <t>Thanh toán Chi phí di chuyển, đi lại HĐ số 8139786</t>
  </si>
  <si>
    <t>Thanh toán Chi phí di chuyển, đi lại HĐ số 8738838</t>
  </si>
  <si>
    <t>Thanh toán Chi phí di chuyển, đi lại HĐ số 8872349</t>
  </si>
  <si>
    <t>Thanh toán Chi phí di chuyển, đi lại HĐ số 8903903</t>
  </si>
  <si>
    <t>Thanh toán Chi phí di chuyển, đi lại HĐ số 8917513</t>
  </si>
  <si>
    <t>Thanh toán Chi phí di chuyển, đi lại HĐ số 4224145</t>
  </si>
  <si>
    <t>Thanh toán Chi phí di chuyển, đi lại HĐ số 9262570</t>
  </si>
  <si>
    <t>Thanh toán Chi phí di chuyển, đi lại HĐ số 9382897</t>
  </si>
  <si>
    <t>Thanh toán Chi phí di chuyển, đi lại HĐ số 9407709</t>
  </si>
  <si>
    <t>Thanh toán Chi phí di chuyển, đi lại HĐ số 9645925</t>
  </si>
  <si>
    <t>Thanh toán Chi phí di chuyển, đi lại HĐ số 10039945</t>
  </si>
  <si>
    <t>Thanh toán Chi phí di chuyển, đi lại HĐ số 10112343</t>
  </si>
  <si>
    <t>Thanh toán Chi phí di chuyển, đi lại HĐ số 4743601</t>
  </si>
  <si>
    <t>Thanh toán Chi phí di chuyển, đi lại HĐ số 4745899</t>
  </si>
  <si>
    <t>Thanh toán Chi phí di chuyển, đi lại HĐ số 4750357</t>
  </si>
  <si>
    <t>Thanh toán Chi phí di chuyển, đi lại HĐ số 4917969</t>
  </si>
  <si>
    <t>Thanh toán Chi phí di chuyển, đi lại HĐ số 10484021</t>
  </si>
  <si>
    <t>Thanh toán Chi phí di chuyển, đi lại HĐ số 10627338</t>
  </si>
  <si>
    <t>Thanh toán Chi phí di chuyển, đi lại HĐ số 10666126</t>
  </si>
  <si>
    <t>Thanh toán Chi phí di chuyển, đi lại HĐ số 10667686</t>
  </si>
  <si>
    <t>Thanh toán Chi phí di chuyển, đi lại HĐ số 10715105</t>
  </si>
  <si>
    <t>Thanh toán Chi phí di chuyển, đi lại HĐ số 10936838</t>
  </si>
  <si>
    <t>Thanh toán Phí ngân hàng HĐ số 17854</t>
  </si>
  <si>
    <t>Thanh toán Chi phí di chuyển, đi lại HĐ số 5307154</t>
  </si>
  <si>
    <t>Thanh toán Chi phí di chuyển, đi lại HĐ số 12813785</t>
  </si>
  <si>
    <t>Thanh toán Chi phí di chuyển, đi lại HĐ số 12875748</t>
  </si>
  <si>
    <t>Thanh toán Chi phí tiếp khách, ngoại giao HĐ số 31197</t>
  </si>
  <si>
    <t>Thanh toán Chi phí đồ dùng văn phòng HĐ số 224</t>
  </si>
  <si>
    <t>Thanh toán Chi phí tiếp khách, ngoại giao HĐ số 127</t>
  </si>
  <si>
    <t>Thanh toán Chi phí tiếp khách, ngoại giao HĐ số 666</t>
  </si>
  <si>
    <t>Thanh toán Chi phí tiếp khách, ngoại giao HĐ số 3514</t>
  </si>
  <si>
    <t>Thanh toán Chi phí đồ dùng văn phòng HĐ số 9228</t>
  </si>
  <si>
    <t>Thanh toán Chi phí đồ dùng văn phòng HĐ số 3740</t>
  </si>
  <si>
    <t>Thanh toán Chi phí di chuyển, đi lại HĐ số 42047</t>
  </si>
  <si>
    <t>Thanh toán Chi phí di chuyển, đi lại HĐ số 42048</t>
  </si>
  <si>
    <t>Thanh toán Chi phí dịch vụ mua ngoài HĐ số 50559</t>
  </si>
  <si>
    <t>Thanh toán Chi phí dịch vụ mua ngoài HĐ số 50560</t>
  </si>
  <si>
    <t>Thanh toán Chi phí dịch vụ mua ngoài HĐ số 50561</t>
  </si>
  <si>
    <t>Thanh toán Chi phí di chuyển, đi lại HĐ số 13594820</t>
  </si>
  <si>
    <t>Thanh toán Chi phí di chuyển, đi lại HĐ số 6825693</t>
  </si>
  <si>
    <t>Thanh toán Chi phí di chuyển, đi lại HĐ số 14472962</t>
  </si>
  <si>
    <t>Thanh toán Chi phí di chuyển, đi lại HĐ số 17466324</t>
  </si>
  <si>
    <t>Thanh toán Chi phí di chuyển, đi lại HĐ số 17962927</t>
  </si>
  <si>
    <t>Thanh toán Chi phí di chuyển, đi lại HĐ số 17963127</t>
  </si>
  <si>
    <t>Thanh toán Chi phí di chuyển, đi lại HĐ số 18025608</t>
  </si>
  <si>
    <t>Thanh toán Chi phí di chuyển, đi lại HĐ số 18188877</t>
  </si>
  <si>
    <t>Thanh toán Chi phí di chuyển, đi lại HĐ số 18189277</t>
  </si>
  <si>
    <t>Thanh toán Chi phí di chuyển, đi lại HĐ số 18442016</t>
  </si>
  <si>
    <t>Thanh toán Chi phí di chuyển, đi lại HĐ số 18724160</t>
  </si>
  <si>
    <t>Thanh toán Chi phí di chuyển, đi lại HĐ số 19036389</t>
  </si>
  <si>
    <t>Thanh toán Chi phí di chuyển, đi lại HĐ số 19337295</t>
  </si>
  <si>
    <t>Thanh toán Chi phí di chuyển, đi lại HĐ số 19602804</t>
  </si>
  <si>
    <t>Thanh toán Chi phí di chuyển, đi lại HĐ số 19834194</t>
  </si>
  <si>
    <t>Thanh toán Chi phí di chuyển, đi lại HĐ số 19903422</t>
  </si>
  <si>
    <t>Thanh toán Chi phí di chuyển, đi lại HĐ số 20086383</t>
  </si>
  <si>
    <t>Thanh toán Chi phí di chuyển, đi lại HĐ số 20153145</t>
  </si>
  <si>
    <t>Thanh toán Chi phí di chuyển, đi lại HĐ số 20224008</t>
  </si>
  <si>
    <t>Thanh toán Chi phí di chuyển, đi lại HĐ số 20326429</t>
  </si>
  <si>
    <t>Thanh toán Chi phí di chuyển, đi lại HĐ số 20354569</t>
  </si>
  <si>
    <t>Thanh toán Chi phí di chuyển, đi lại HĐ số 20391683</t>
  </si>
  <si>
    <t>Thanh toán Chi phí di chuyển, đi lại HĐ số 20464388</t>
  </si>
  <si>
    <t>Thanh toán Chi phí di chuyển, đi lại HĐ số 20464788</t>
  </si>
  <si>
    <t>Thanh toán Chi phí di chuyển, đi lại HĐ số 20573356</t>
  </si>
  <si>
    <t>Thanh toán Chi phí di chuyển, đi lại HĐ số 20602161</t>
  </si>
  <si>
    <t>Thanh toán Chi phí di chuyển, đi lại HĐ số 20802894</t>
  </si>
  <si>
    <t>Thanh toán Chi phí di chuyển, đi lại HĐ số 20830275</t>
  </si>
  <si>
    <t>Thanh toán Chi phí di chuyển, đi lại HĐ số 21005484</t>
  </si>
  <si>
    <t>Thanh toán Chi phí di chuyển, đi lại HĐ số 21030721</t>
  </si>
  <si>
    <t>Thanh toán Chi phí di chuyển, đi lại HĐ số 21195352</t>
  </si>
  <si>
    <t>Thanh toán Chi phí di chuyển, đi lại HĐ số 21217920</t>
  </si>
  <si>
    <t>Thanh toán Chi phí di chuyển, đi lại HĐ số 21378855</t>
  </si>
  <si>
    <t>Thanh toán Chi phí di chuyển, đi lại HĐ số 21522998</t>
  </si>
  <si>
    <t>Thanh toán Chi phí di chuyển, đi lại HĐ số 22786454</t>
  </si>
  <si>
    <t>Thanh toán Chi phí di chuyển, đi lại HĐ số 22904027</t>
  </si>
  <si>
    <t>Thanh toán Chi phí di chuyển, đi lại HĐ số 22942941</t>
  </si>
  <si>
    <t>Thanh toán Chi phí di chuyển, đi lại HĐ số 23096288</t>
  </si>
  <si>
    <t>Thanh toán Chi phí di chuyển, đi lại HĐ số 23153674</t>
  </si>
  <si>
    <t>Thanh toán Chi phí di chuyển, đi lại HĐ số 23463158</t>
  </si>
  <si>
    <t>Thanh toán Chi phí di chuyển, đi lại HĐ số 23491291</t>
  </si>
  <si>
    <t>Thanh toán Chi phí di chuyển, đi lại HĐ số 23498020</t>
  </si>
  <si>
    <t>Thanh toán Chi phí di chuyển, đi lại HĐ số 23589859</t>
  </si>
  <si>
    <t>Thanh toán Chi phí di chuyển, đi lại HĐ số 23692375</t>
  </si>
  <si>
    <t>Thanh toán Chi phí di chuyển, đi lại HĐ số 23814248</t>
  </si>
  <si>
    <t>Thanh toán Chi phí di chuyển, đi lại HĐ số 11280982</t>
  </si>
  <si>
    <t>Thanh toán Chi phí di chuyển, đi lại HĐ số 23939708</t>
  </si>
  <si>
    <t>Thanh toán Chi phí di chuyển, đi lại HĐ số 24007241</t>
  </si>
  <si>
    <t>Thanh toán Chi phí di chuyển, đi lại HĐ số 24008717</t>
  </si>
  <si>
    <t>Thanh toán Chi phí di chuyển, đi lại HĐ số 24152475</t>
  </si>
  <si>
    <t>Thanh toán Chi phí tiếp khách, ngoại giao HĐ số 438</t>
  </si>
  <si>
    <t>Thanh toán Chi phí đồ dùng văn phòng HĐ số 167811</t>
  </si>
  <si>
    <t>Thanh toán Chi phí tiếp khách, ngoại giao HĐ số 1</t>
  </si>
  <si>
    <t>Thanh toán Chi phí đồ dùng văn phòng HĐ số 55657</t>
  </si>
  <si>
    <t>Thanh toán Chi phí tiếp khách, ngoại giao HĐ số 40827</t>
  </si>
  <si>
    <t>Thanh toán Phí dịch vụ tư vấn tháng 08/2025 HĐ số 123</t>
  </si>
  <si>
    <t>Thanh toán Chi phí đồ dùng văn phòng HĐ số 339</t>
  </si>
  <si>
    <t>Thanh toán Chi phí di chuyển, đi lại HĐ số 14277464</t>
  </si>
  <si>
    <t>Thanh toán Chi phí di chuyển, đi lại HĐ số 14281250</t>
  </si>
  <si>
    <t>Thanh toán Chi phí di chuyển, đi lại HĐ số 24969087</t>
  </si>
  <si>
    <t>Thanh toán Chi phí di chuyển, đi lại HĐ số 14365878</t>
  </si>
  <si>
    <t>Thanh toán Chi phí di chuyển, đi lại HĐ số 14373519</t>
  </si>
  <si>
    <t>Thanh toán Chi phí di chuyển, đi lại HĐ số 11909464</t>
  </si>
  <si>
    <t>Thanh toán Chi phí di chuyển, đi lại HĐ số 25517856</t>
  </si>
  <si>
    <t>Thanh toán Chi phí di chuyển, đi lại HĐ số 12078270</t>
  </si>
  <si>
    <t>Thanh toán Chi phí di chuyển, đi lại HĐ số 25580114</t>
  </si>
  <si>
    <t>Thanh toán Chi phí di chuyển, đi lại HĐ số 25607948</t>
  </si>
  <si>
    <t>Thanh toán Chi phí di chuyển, đi lại HĐ số 25665607</t>
  </si>
  <si>
    <t>Thanh toán Chi phí di chuyển, đi lại HĐ số 25689087</t>
  </si>
  <si>
    <t>Thanh toán Chi phí di chuyển, đi lại HĐ số 12147498</t>
  </si>
  <si>
    <t>Thanh toán Chi phí di chuyển, đi lại HĐ số 25856950</t>
  </si>
  <si>
    <t>Thanh toán Chi phí di chuyển, đi lại HĐ số 25873187</t>
  </si>
  <si>
    <t>Thanh toán Chi phí di chuyển, đi lại HĐ số 25882304</t>
  </si>
  <si>
    <t>Thanh toán Chi phí di chuyển, đi lại HĐ số 12207890</t>
  </si>
  <si>
    <t>Thanh toán Chi phí di chuyển, đi lại HĐ số 26060752</t>
  </si>
  <si>
    <t>Thanh toán Chi phí di chuyển, đi lại HĐ số 26303932</t>
  </si>
  <si>
    <t>Thanh toán Chi phí di chuyển, đi lại HĐ số 26323520</t>
  </si>
  <si>
    <t>Thanh toán Chi phí di chuyển, đi lại HĐ số 26519504</t>
  </si>
  <si>
    <t>Thanh toán Chi phí di chuyển, đi lại HĐ số 26695016</t>
  </si>
  <si>
    <t>Thanh toán Chi phí di chuyển, đi lại HĐ số 26710208</t>
  </si>
  <si>
    <t>Thanh toán Chi phí di chuyển, đi lại HĐ số 26832395</t>
  </si>
  <si>
    <t>Thanh toán Chi phí di chuyển, đi lại HĐ số 26832857</t>
  </si>
  <si>
    <t>Thanh toán Chi phí di chuyển, đi lại HĐ số 26833647</t>
  </si>
  <si>
    <t>Thanh toán Chi phí di chuyển, đi lại HĐ số 26835049</t>
  </si>
  <si>
    <t>Thanh toán Chi phí di chuyển, đi lại HĐ số 26835717</t>
  </si>
  <si>
    <t>Thanh toán Chi phí di chuyển, đi lại HĐ số 26835936</t>
  </si>
  <si>
    <t>Thanh toán Chi phí di chuyển, đi lại HĐ số 26837023</t>
  </si>
  <si>
    <t>Thanh toán Chi phí di chuyển, đi lại HĐ số 26837214</t>
  </si>
  <si>
    <t>Thanh toán Chi phí di chuyển, đi lại HĐ số 26837416</t>
  </si>
  <si>
    <t>Thanh toán Chi phí di chuyển, đi lại HĐ số 26837580</t>
  </si>
  <si>
    <t>Thanh toán Chi phí di chuyển, đi lại HĐ số 26838254</t>
  </si>
  <si>
    <t>Thanh toán Chi phí di chuyển, đi lại HĐ số 26838262</t>
  </si>
  <si>
    <t>Thanh toán Chi phí di chuyển, đi lại HĐ số 26838552</t>
  </si>
  <si>
    <t>Thanh toán Chi phí di chuyển, đi lại HĐ số 26838587</t>
  </si>
  <si>
    <t>Thanh toán Chi phí di chuyển, đi lại HĐ số 26838897</t>
  </si>
  <si>
    <t>Thanh toán Chi phí di chuyển, đi lại HĐ số 26840372</t>
  </si>
  <si>
    <t>Thanh toán Chi phí di chuyển, đi lại HĐ số 26840962</t>
  </si>
  <si>
    <t>Thanh toán Chi phí di chuyển, đi lại HĐ số 26841722</t>
  </si>
  <si>
    <t>Thanh toán Chi phí di chuyển, đi lại HĐ số 26842322</t>
  </si>
  <si>
    <t>Thanh toán Chi phí di chuyển, đi lại HĐ số 26842516</t>
  </si>
  <si>
    <t>Thanh toán Chi phí di chuyển, đi lại HĐ số 27586868</t>
  </si>
  <si>
    <t>Thanh toán Chi phí di chuyển, đi lại HĐ số 27758983</t>
  </si>
  <si>
    <t>Thanh toán Chi phí di chuyển, đi lại HĐ số 27801534</t>
  </si>
  <si>
    <t>Thanh toán Chi phí di chuyển, đi lại HĐ số 28695520</t>
  </si>
  <si>
    <t>Thanh toán Chi phí di chuyển, đi lại HĐ số 28696701</t>
  </si>
  <si>
    <t>Thanh toán Chi phí di chuyển, đi lại HĐ số 28697807</t>
  </si>
  <si>
    <t>Thanh toán Chi phí di chuyển, đi lại HĐ số 29171111</t>
  </si>
  <si>
    <t>Thanh toán Chi phí tiếp khách, ngoại giao HĐ số 7532</t>
  </si>
  <si>
    <t>Thanh toán Chi phí tiếp khách, ngoại giao HĐ số 3842</t>
  </si>
  <si>
    <t>Thanh toán Chi phí tiếp khách, ngoại giao HĐ số 586</t>
  </si>
  <si>
    <t>Thanh toán Chi phí tiếp khách, ngoại giao HĐ số 4080</t>
  </si>
  <si>
    <t>Thanh toán Chi phí đồ dùng văn phòng HĐ số 1416</t>
  </si>
  <si>
    <t>Thanh toán Chi phí đồ dùng văn phòng HĐ số 1942</t>
  </si>
  <si>
    <t>8423525669-001</t>
  </si>
  <si>
    <t>Nhận Doanh thu Dịch vụ quảng cáo và truyền thông theo hợp đồng số 11108/2025/WPP-BTL-LO HĐ số 00000018</t>
  </si>
  <si>
    <t>Nhận Doanh thu Dịch vụ quảng cáo và truyền thông theo phụ lục 01 hợp đồng số 18062025/HDHT/LL_TND HĐ số 00000019</t>
  </si>
  <si>
    <t>Nhận Doanh thu Dịch vụ quảng cáo và truyền thông theo Hợp đồng số 17072025.HDDV.SPARKLE.TND ký ngày 17/07/2025 và Biên bản nghiệm thu ký ngày 28/07/2025 HĐ số 23</t>
  </si>
  <si>
    <t>Nhận Doanh thu Dịch vụ quảng cáo và truyền thông theo Hợp đồng số FINTVN-ATTENIR-09-06/25 ký ngày 17/07/2025 HĐ số 21</t>
  </si>
  <si>
    <t>Nộp Thuế GTGT, TNCN phải nộp 2025/Q2</t>
  </si>
  <si>
    <t>Nhận Doanh thu Thanh toán phí dịch vụ OAP KOC Hub Skin Apr Video Scope 3 3007 số No. 18439/2025/WPP-BTL-LO - ID tiktok-tnhadinh HĐ số 24</t>
  </si>
  <si>
    <t>Nhận Doanh thu Dịch vụ quảng cáo và truyền thông theo Hợp đồng số MDA/20250708/724 ký ngày 03/07/2025 và Biên bản nghiệm thu ký ngày 21/07/2025 HĐ số 20</t>
  </si>
  <si>
    <t>Nhận Doanh thu Dịch vụ quảng cáo và truyền thông theo Hợp đồng số 38/25/HĐDV/BK - MAG ký ngày 23/07/2025 HĐ số 25</t>
  </si>
  <si>
    <t>Nhận Doanh thu Dịch vụ quảng cáo và truyền thông theo Hợp đồng số FINTVN-ATTENIR-19-06/25 ký ngày 08/08/2025 HĐ số 26</t>
  </si>
  <si>
    <t>Nhận Doanh thu Dịch vụ quảng cáo và truyền thông theo Hợp đồng số KOLs-200825/IMU-TND ký ngày 20/08/2025 HĐ số 27</t>
  </si>
  <si>
    <t>Thuế GTGT, TNCN sàn TMĐT 22/08/2025</t>
  </si>
  <si>
    <t>Nộp Thuế GTGT, TNCN sàn TMĐT 22/08/2025</t>
  </si>
  <si>
    <t>Nhận Doanh thu Dịch vụ quảng cáo và truyền thông theo Hợp đồng số 486/2025/HDDV/OQR ký ngày 26/08/2025 và Biên bản nghiệm thu ký ngày 10/09/2025 HĐ số 29</t>
  </si>
  <si>
    <t>Nhận Doanh thu Dịch vụ sử dụng hình ảnh theo Hợp đồng số 01.09.25/HĐHT/SANAM-TND ký ngày 01/09/2025 HĐ số 4</t>
  </si>
  <si>
    <t>Nhận Doanh thu Dịch vụ quảng cáo và truyền thông theo Hợp đồng số HKD TND_ GARNIER_TRI_ACID_01092025 ký ngày 01/09/2025 (Đợt 1) HĐ số 28</t>
  </si>
  <si>
    <t>Nhận Doanh thu Dịch vụ quảng cáo và truyền thông theo Hợp đồng số 15092025_HĐDV-HUNGTHINH-NHADINH ký ngày 15/09/2025 HĐ số 1</t>
  </si>
  <si>
    <t>Nhận Doanh thu Dịch vụ quảng cáo và truyền thông theo Phụ lục 02 ký ngày 29/08/2025 của Hợp đồng nguyên tắc số 18062025/HDHT/LL_TND ký ngày 18/06/2025 và Biên bản nghiệm thu ký ngày 17/09/2025 HĐ số 3</t>
  </si>
  <si>
    <t>Nhận Doanh thu Dịch vụ quảng cáo và truyền thông theo Hợp đồng số HKD TND_ GARNIER_TRI_ACID_01092025 ký ngày 01/09/2025 (Đợt 2) và Biên bản nghiệm thu ký ngày 16/09/2025 HĐ số 2</t>
  </si>
  <si>
    <t>Nhận Doanh thu Phí sử dụng hình ảnh theo Hợp đồng số 25092025_HĐDV-SDHA-NHADINH ký ngày 25/09/2025 HĐ số 5</t>
  </si>
  <si>
    <t>0110291400</t>
  </si>
  <si>
    <t>0316416910</t>
  </si>
  <si>
    <t>Doanh thu Dịch vụ quảng cáo và truyền thông theo Hợp đồng số 20250728/LUMINIX x HKDVTB ký ngày 28/07/2025 HĐ số 1</t>
  </si>
  <si>
    <t>Điều chỉnh giảm Doanh thu Dịch vụ quảng cáo và truyền thông theo Hợp đồng số 20250728/LUMINIX x HKDVTB ký ngày 28/07/2025 HĐ số 1</t>
  </si>
  <si>
    <t>Doanh thu Dịch vụ quảng cáo và truyền thông theo Hợp đồng số 10.2025/HĐDV_HKD VŨ THÁI BÌNH OFFICIAL_CÔNG TY TNHH HOÀI THU TH ký ngày 10/08/2025 (Đợt 1) HĐ số 2</t>
  </si>
  <si>
    <t>Điều chỉnh giảm Doanh thu Dịch vụ quảng cáo và truyền thông theo Hợp đồng số 10.2025/HĐDV_HKD VŨ THÁI BÌNH OFFICIAL_CÔNG TY TNHH HOÀI THU TH ký ngày 10/08/2025 (Đợt 1) HĐ số 2</t>
  </si>
  <si>
    <t>Doanh thu Thanh toán theo Hợp đồng dịch vụ số HD15072025/D’ALBA_ASIACONSULTING_VUTHAIBINH ký ngày 15/07/2025 và Biên bản nghiệm thu ký ngày 20/08/2025 HĐ số 3</t>
  </si>
  <si>
    <t>Điều chỉnh giảm Doanh thu Thanh toán theo Hợp đồng dịch vụ số HD15072025/D’ALBA_ASIACONSULTING_VUTHAIBINH ký ngày 15/07/2025 và Biên bản nghiệm thu ký ngày 20/08/2025 HĐ số 3</t>
  </si>
  <si>
    <t>Doanh thu Dịch vụ quảng cáo và truyền thông theo Hợp đồng số 01072025HDDVVUTHAIBINHDIV ký ngày 01/07/2025 và Biên bản nghiệm thu ký ngày 20/08/2025 HĐ số 4</t>
  </si>
  <si>
    <t>Điều chỉnh giảm Doanh thu Dịch vụ quảng cáo và truyền thông theo Hợp đồng số 01072025HDDVVUTHAIBINHDIV ký ngày 01/07/2025 và Biên bản nghiệm thu ký ngày 20/08/2025 HĐ số 4</t>
  </si>
  <si>
    <t>Doanh thu Dịch vụ quảng cáo và truyền thông theo Hợp đồng số 25072025HDDVVUTHAIBINHRB ký ngày 25/07/2025 và Biên bản nghiệm thu ký ngày 20/08/2025 HĐ số 5</t>
  </si>
  <si>
    <t>Điều chỉnh giảm Doanh thu Dịch vụ quảng cáo và truyền thông theo Hợp đồng số 25072025HDDVVUTHAIBINHRB ký ngày 25/07/2025 và Biên bản nghiệm thu ký ngày 20/08/2025 HĐ số 5</t>
  </si>
  <si>
    <t>Doanh thu Dịch vụ quảng cáo và truyền thông theo Hợp đồng số 0908/2025 ký ngày 09/08/2025 HĐ số 6</t>
  </si>
  <si>
    <t>Điều chỉnh giảm Doanh thu Dịch vụ quảng cáo và truyền thông theo Hợp đồng số 0908/2025 ký ngày 09/08/2025 HĐ số 6</t>
  </si>
  <si>
    <t>Doanh thu Dịch vụ quảng cáo và truyền thông theo Hợp đồng số 2508/2025/HDDV/FAINVN-VUTHAIBINH ký ngày 25/08/2025 và Biên bản nghiệm thu ký ngày 10/09/2025 HĐ số 7</t>
  </si>
  <si>
    <t>Điều chỉnh giảm Doanh thu Dịch vụ quảng cáo và truyền thông theo Hợp đồng số 2508/2025/HDDV/FAINVN-VUTHAIBINH ký ngày 25/08/2025 và Biên bản nghiệm thu ký ngày 10/09/2025 HĐ số 7</t>
  </si>
  <si>
    <t>Doanh thu Dịch vụ quảng cáo và truyền thông theo hợp đồng số T21C25HDDV-0135- 0169 VUTHAIBINH ký ngày 20/08/2025 và Biên bản nghiệm thu ký ngày 12/09/2025 HĐ số 8</t>
  </si>
  <si>
    <t>Điều chỉnh giảm Doanh thu Dịch vụ quảng cáo và truyền thông theo hợp đồng số T21C25HDDV-0135- 0169 VUTHAIBINH ký ngày 20/08/2025 và Biên bản nghiệm thu ký ngày 12/09/2025 HĐ số 8</t>
  </si>
  <si>
    <t>Doanh thu Dịch vu quảng cáo và truyền thông theo Hợp đồng số 0108/HDDV/UPBASE-PKT/2025 ký ngày 01/08/2025 và Biên bản nghiệm thu ký ngày 12/09/2025 HĐ số 9</t>
  </si>
  <si>
    <t>Điều chỉnh giảm Doanh thu Dịch vu quảng cáo và truyền thông theo Hợp đồng số 0108/HDDV/UPBASE-PKT/2025 ký ngày 01/08/2025 và Biên bản nghiệm thu ký ngày 12/09/2025 HĐ số 9</t>
  </si>
  <si>
    <t>Doanh thu Dịch vu quảng cáo và truyền thông theo Hợp đồng số 1808.2025/HDDV/UPBASE-KEYSHU-BBSKINCARE1 ký ngày 19/08/2025 và Biên bản nghiệm thu ký ngày 13/09/2025 HĐ số 10</t>
  </si>
  <si>
    <t>Điều chỉnh giảm Doanh thu Dịch vu quảng cáo và truyền thông theo Hợp đồng số 1808.2025/HDDV/UPBASE-KEYSHU-BBSKINCARE1 ký ngày 19/08/2025 và Biên bản nghiệm thu ký ngày 13/09/2025 HĐ số 10</t>
  </si>
  <si>
    <t>Doanh thu Phí dịch vụ quảng cáo theo hợp đồng số HĐ/1516/2025/VNNL ký ngày 25/08/2025 kèm Biên bản nghiệm thu dịch vụ và thanh lý hợp đồng ký ngày 15/09/2025 HĐ số 11</t>
  </si>
  <si>
    <t>Điều chỉnh giảm Doanh thu Phí dịch vụ quảng cáo theo hợp đồng số HĐ/1516/2025/VNNL ký ngày 25/08/2025 kèm Biên bản nghiệm thu dịch vụ và thanh lý hợp đồng ký ngày 15/09/2025 HĐ số 11</t>
  </si>
  <si>
    <t>Doanh thu Dịch vụ quảng cáo và truyền thông theo Hợp đồng số 250915/HDDV/MIZUMI-BBSKINCARE1-250915MIZUMI ký ngày 15/09/2025 HĐ số 12</t>
  </si>
  <si>
    <t>Điều chỉnh giảm Doanh thu Dịch vụ quảng cáo và truyền thông theo Hợp đồng số 250915/HDDV/MIZUMI-BBSKINCARE1-250915MIZUMI ký ngày 15/09/2025 HĐ số 12</t>
  </si>
  <si>
    <t>Doanh thu Dịch vụ quảng cáo và truyền thông theo Phụ lục 01 ký ngày 15/09/2025 của Hợp đồng nguyên tắc số 15092025/HDHT/LL_VTB ký ngày 15/09/2025 và Biên bản nghiệm thu ký ngày 23/09/2025 HĐ số 13</t>
  </si>
  <si>
    <t>Điều chỉnh giảm Doanh thu Dịch vụ quảng cáo và truyền thông theo Phụ lục 01 ký ngày 15/09/2025 của Hợp đồng nguyên tắc số 15092025/HDHT/LL_VTB ký ngày 15/09/2025 và Biên bản nghiệm thu ký ngày 23/09/2025 HĐ số 13</t>
  </si>
  <si>
    <t>Doanh thu Phí sử dụng hình ảnh theo Hợp đồng số 25092025_HĐDV-SDHA-VUTHAIBINH ký ngày 25/09/2025 HĐ số 14</t>
  </si>
  <si>
    <t>Điều chỉnh giảm Doanh thu Phí sử dụng hình ảnh theo Hợp đồng số 25092025_HĐDV-SDHA-VUTHAIBINH ký ngày 25/09/2025 HĐ số 14</t>
  </si>
  <si>
    <t>Doanh thu Phí sử dụng hình ảnh theo Hợp đồng số 3009/2025/HDDV/FAINVN-VUTHAIBINH ký ngày 30/09/2025 HĐ số 15</t>
  </si>
  <si>
    <t>Điều chỉnh giảm Doanh thu Phí sử dụng hình ảnh theo Hợp đồng số 3009/2025/HDDV/FAINVN-VUTHAIBINH ký ngày 30/09/2025 HĐ số 15</t>
  </si>
  <si>
    <t>0110189372-001</t>
  </si>
  <si>
    <t>0303430964</t>
  </si>
  <si>
    <t>Phần mềm hóa đơn điện tử M-100 070095006110.matbao.in (1 năm) HĐ số 73873</t>
  </si>
  <si>
    <t>Lệ phí Chứng thư CKS Token-HKD-MBCA (3 năm), USB Token-DN/HKD-MBCA, Phí duy trì Chứng thư CKS Token-HKD-MBCA (3 năm) HĐ số 74324</t>
  </si>
  <si>
    <t>Phí dịch vụ tư vấn tháng 08/2025 HĐ số 107</t>
  </si>
  <si>
    <t>Chi phí di chuyển, đi lại HĐ số 41729</t>
  </si>
  <si>
    <t>Chi phí tiếp khách, ngoại giao HĐ số 335210</t>
  </si>
  <si>
    <t>Chi phí tiếp khách, ngoại giao HĐ số 9395</t>
  </si>
  <si>
    <t>Chi phí tiếp khách, ngoại giao HĐ số 15603</t>
  </si>
  <si>
    <t>Chi phí đồ dùng văn phòng HĐ số 1090</t>
  </si>
  <si>
    <t>Thanh toán Phần mềm hóa đơn điện tử M-100 070095006110.matbao.in (1 năm) HĐ số 73873</t>
  </si>
  <si>
    <t>Thanh toán Lệ phí Chứng thư CKS Token-HKD-MBCA (3 năm), USB Token-DN/HKD-MBCA, Phí duy trì Chứng thư CKS Token-HKD-MBCA (3 năm) HĐ số 74324</t>
  </si>
  <si>
    <t>Thanh toán Chi phí di chuyển, đi lại HĐ số 41729</t>
  </si>
  <si>
    <t>Thanh toán Phí dịch vụ tư vấn tháng 08/2025 HĐ số 107</t>
  </si>
  <si>
    <t>Thanh toán Chi phí tiếp khách, ngoại giao HĐ số 335210</t>
  </si>
  <si>
    <t>Thanh toán Chi phí tiếp khách, ngoại giao HĐ số 9395</t>
  </si>
  <si>
    <t>Thanh toán Chi phí tiếp khách, ngoại giao HĐ số 15603</t>
  </si>
  <si>
    <t>Thanh toán Chi phí đồ dùng văn phòng HĐ số 1090</t>
  </si>
  <si>
    <t>Nhận Doanh thu Dịch vụ quảng cáo và truyền thông theo Hợp đồng số 20250728/LUMINIX x HKDVTB ký ngày 28/07/2025 HĐ số 1</t>
  </si>
  <si>
    <t>Nhận Doanh thu Dịch vụ quảng cáo và truyền thông theo Hợp đồng số 10.2025/HĐDV_HKD VŨ THÁI BÌNH OFFICIAL_CÔNG TY TNHH HOÀI THU TH ký ngày 10/08/2025 (Đợt 1) HĐ số 2</t>
  </si>
  <si>
    <t>Nhận Doanh thu Dịch vụ quảng cáo và truyền thông theo Hợp đồng số 01072025HDDVVUTHAIBINHDIV ký ngày 01/07/2025 và Biên bản nghiệm thu ký ngày 20/08/2025 HĐ số 4</t>
  </si>
  <si>
    <t>Nhận Doanh thu Dịch vụ quảng cáo và truyền thông theo Hợp đồng số 25072025HDDVVUTHAIBINHRB ký ngày 25/07/2025 và Biên bản nghiệm thu ký ngày 20/08/2025 HĐ số 5</t>
  </si>
  <si>
    <t>Nhận Doanh thu Dịch vụ quảng cáo và truyền thông theo Hợp đồng số 0908/2025 ký ngày 09/08/2025 HĐ số 6</t>
  </si>
  <si>
    <t>070095006110</t>
  </si>
  <si>
    <t>Nhận Doanh thu Thanh toán theo Hợp đồng dịch vụ số HD15072025/D’ALBA_ASIACONSULTING_VUTHAIBINH ký ngày 15/07/2025 và Biên bản nghiệm thu ký ngày 20/08/2025 HĐ số 3</t>
  </si>
  <si>
    <t>Nhận Doanh thu Dịch vụ quảng cáo và truyền thông theo Hợp đồng số 2508/2025/HDDV/FAINVN-VUTHAIBINH ký ngày 25/08/2025 và Biên bản nghiệm thu ký ngày 10/09/2025 HĐ số 7</t>
  </si>
  <si>
    <t>Nhận Doanh thu Dịch vu quảng cáo và truyền thông theo Hợp đồng số 1808.2025/HDDV/UPBASE-KEYSHU-BBSKINCARE1 ký ngày 19/08/2025 và Biên bản nghiệm thu ký ngày 13/09/2025 HĐ số 10</t>
  </si>
  <si>
    <t>Nhận Doanh thu Phí sử dụng hình ảnh theo Hợp đồng số 25092025_HĐDV-SDHA-VUTHAIBINH ký ngày 25/09/2025 HĐ số 14</t>
  </si>
  <si>
    <t>Nhận Doanh thu Dịch vu quảng cáo và truyền thông theo Hợp đồng số 0108/HDDV/UPBASE-PKT/2025 ký ngày 01/08/2025 và Biên bản nghiệm thu ký ngày 12/09/2025 HĐ số 9</t>
  </si>
  <si>
    <t>0105816148</t>
  </si>
  <si>
    <t>Tên HKD</t>
  </si>
  <si>
    <t>Trang hóa đơn đầu ra</t>
  </si>
  <si>
    <t>ID</t>
  </si>
  <si>
    <t>Mật khẩu</t>
  </si>
  <si>
    <t>Trang hóa đơn đầu vào</t>
  </si>
  <si>
    <t>Bảo hiểm</t>
  </si>
  <si>
    <t>Số Chủ HKD đóng BHXH</t>
  </si>
  <si>
    <t>Mức đóng BHXH chủ hộ</t>
  </si>
  <si>
    <t>Thời gian đóng BHXH</t>
  </si>
  <si>
    <t>Số Nhân viên đóng BHXH</t>
  </si>
  <si>
    <t>Mức lương (NET)</t>
  </si>
  <si>
    <t>Bảo hiểm (NET)</t>
  </si>
  <si>
    <t>Link sever</t>
  </si>
  <si>
    <t>Mật khẩu 3TSOFT</t>
  </si>
  <si>
    <t>Sao kê ngân hàng</t>
  </si>
  <si>
    <t>HỘ KINH DOANH REENCY NGÔ</t>
  </si>
  <si>
    <t>https://8443847047-001.matbao.in/</t>
  </si>
  <si>
    <t>admin</t>
  </si>
  <si>
    <t>123456789Aa@</t>
  </si>
  <si>
    <t>https://hoadondientu.gdt.gov.vn/</t>
  </si>
  <si>
    <t>https://dichvucong.baohiemxahoi.gov.vn/</t>
  </si>
  <si>
    <t>https://drive.google.com/drive/folders/10B2LBaI-Ivc00wuEtr8SyrLPY4UoRHmc</t>
  </si>
  <si>
    <t>reency_tc</t>
  </si>
  <si>
    <t>HỘ KINH DOANH HÀ BÁNH QUY</t>
  </si>
  <si>
    <t>https://8710040770-001.matbao.in/</t>
  </si>
  <si>
    <t>https://drive.google.com/drive/folders/1RcD2-m3cTlEMpQ-q_lN6XvbUKBFkrkzc</t>
  </si>
  <si>
    <t>habanhquy_tc</t>
  </si>
  <si>
    <t>HỘ KINH DOANH ĐỖ TRỊNH LƯƠNG OFFICIAL</t>
  </si>
  <si>
    <t>https://8836978269-001.matbao.in/</t>
  </si>
  <si>
    <t>8836978269-001</t>
  </si>
  <si>
    <t>https://drive.google.com/drive/folders/1zXZvu1qkE9DpVB41RUzb_tH_nfYrD8gt</t>
  </si>
  <si>
    <t>luongdo_tc</t>
  </si>
  <si>
    <t>HỘ KINH DOANH KIỀU NGỌC LAN</t>
  </si>
  <si>
    <t>https://8785516231-001.matbao.in/</t>
  </si>
  <si>
    <t>https://drive.google.com/drive/folders/1hevD7Sbgbo5Cjm70wkb5G4t1MZUkmEIo</t>
  </si>
  <si>
    <t>kieulan_tc</t>
  </si>
  <si>
    <t>HỘ KINH DOANH TÂM TÀI TRÍ</t>
  </si>
  <si>
    <t>https://8417307084-001.matbao.in/</t>
  </si>
  <si>
    <t>8417307084-001</t>
  </si>
  <si>
    <t>https://drive.google.com/drive/folders/13N1eKOPJeSBluI9swmarwHQLpi9TbXB-</t>
  </si>
  <si>
    <t>tamtritai_tc</t>
  </si>
  <si>
    <t>HỘ KINH DOANH LƯƠNG LEE OFFICIAL</t>
  </si>
  <si>
    <t>https://8339629042-001.matbao.in/</t>
  </si>
  <si>
    <t>8339629042-001</t>
  </si>
  <si>
    <t>https://drive.google.com/drive/folders/1YOs8AfovGBFxVy9JBLCbRSWaFrYU7hYd</t>
  </si>
  <si>
    <t>luonglee_tc</t>
  </si>
  <si>
    <t>https://8077953218-001.matbao.in/</t>
  </si>
  <si>
    <t>https://drive.google.com/drive/folders/17p38StQpkmZ5yXGc61-WizGJo4bDJ4Xu</t>
  </si>
  <si>
    <t>huynhthuyen_tc</t>
  </si>
  <si>
    <t>HỘ KINH DOANH PU MÉT BẢY</t>
  </si>
  <si>
    <t>https://8307704000-002.matbao.in/</t>
  </si>
  <si>
    <t>8307704000-002</t>
  </si>
  <si>
    <t>https://drive.google.com/drive/folders/1I13C-EhwboDA5JtQzqnjfWyy-mrUkFvj</t>
  </si>
  <si>
    <t>pumetbay_tc</t>
  </si>
  <si>
    <t>HỘ KINH DOANH ĐĂNG VI OFFICIAL</t>
  </si>
  <si>
    <t>https://8568979698-001.matbao.in/</t>
  </si>
  <si>
    <t>https://drive.google.com/drive/folders/1XvOfR3XrMWmjGh0wgG0DerBzR5THkwug</t>
  </si>
  <si>
    <t>dangvi_tc</t>
  </si>
  <si>
    <t>https://8456794480-001.matbao.in/</t>
  </si>
  <si>
    <t>https://drive.google.com/drive/folders/1BdRSgvmKog7l1Rmgm10T5BM96IVsynD0</t>
  </si>
  <si>
    <t>nguyenhue_tc</t>
  </si>
  <si>
    <t>HỘ KINH DOANH CỔ NGÂN OFFICIAL</t>
  </si>
  <si>
    <t>https://8427727031-001.matbao.in/</t>
  </si>
  <si>
    <t>8427727031-001</t>
  </si>
  <si>
    <t>https://drive.google.com/drive/folders/1AzSYLy8TAZxHTc7OTzvALwgvuxSFoIs8</t>
  </si>
  <si>
    <t>congan_tc</t>
  </si>
  <si>
    <t>HỘ KINH DOANH TRƯƠNG NHÃ DINH</t>
  </si>
  <si>
    <t>https://8423525669-001.matbao.in/</t>
  </si>
  <si>
    <t>https://drive.google.com/drive/folders/1AeVV-dwrvG2KWBYSz-3ro660eOh5M8VL</t>
  </si>
  <si>
    <t>nhadinh_tc</t>
  </si>
  <si>
    <t>HỘ KINH DOANH NGỌC TÚ ANH</t>
  </si>
  <si>
    <t>https://8336384757-001.matbao.in/</t>
  </si>
  <si>
    <t>https://drive.google.com/drive/folders/1-PSj1cyjNYOQHNhPZHghbVLGGvmZCqYR</t>
  </si>
  <si>
    <t>ngoctuanh_tc</t>
  </si>
  <si>
    <t>HỘ KINH DOANH HỌC NHÂN SKINCARE</t>
  </si>
  <si>
    <t>https://8783523554-001.matbao.in/</t>
  </si>
  <si>
    <t>https://drive.google.com/drive/folders/1AyNcejKrV-AST3HY8fe_rDB2gxDlxeq4</t>
  </si>
  <si>
    <t>hocnhan_tc</t>
  </si>
  <si>
    <t>https://8537932805-001.matbao.in/</t>
  </si>
  <si>
    <t>https://drive.google.com/drive/folders/1ImGai80G9Uf6MlzpMiq_-XlN4PioVYGc</t>
  </si>
  <si>
    <t>hoangthach_tc</t>
  </si>
  <si>
    <t>HỘ KINH DOANH TRANG TRẦN OFFICIAL</t>
  </si>
  <si>
    <t>https://8548655046-002.matbao.in/</t>
  </si>
  <si>
    <t>8548655046-002</t>
  </si>
  <si>
    <t>https://drive.google.com/drive/folders/1fXzRRKAuXR4Cn_lnpzbMomSGkGs6lGfr</t>
  </si>
  <si>
    <t>trangtran_tc</t>
  </si>
  <si>
    <t>HỘ KINH DOANH VŨ THÁI BÌNH OFFICIAL</t>
  </si>
  <si>
    <t>https://070095006110.matbao.in/</t>
  </si>
  <si>
    <t>https://drive.google.com/drive/folders/19_kkRHm5diIBTr6vrCUpGYXtbVo_nlEo</t>
  </si>
  <si>
    <t>vuthaibinh_tc</t>
  </si>
  <si>
    <t>HỘ KINH DOANH ÔNG THỈ BÀ LONG</t>
  </si>
  <si>
    <t>https://079200020738.matbao.in/</t>
  </si>
  <si>
    <t>https://drive.google.com/drive/folders/19UUoxYxh3ZAY0-x06uFv2MtP9RSe9ltp</t>
  </si>
  <si>
    <t>longthuy_tc</t>
  </si>
  <si>
    <t>HỘ KINH DOANH TRẦN HỒNG PHÚC</t>
  </si>
  <si>
    <t>https://072098001948.matbao.in/</t>
  </si>
  <si>
    <t>https://drive.google.com/drive/folders/1J33Lx8ezMkDnVxPYP34t7aorbu-dYePQ</t>
  </si>
  <si>
    <t>hongphuc_tc</t>
  </si>
  <si>
    <t>HỘ KINH DOANH NGỌC XUÂN NHI</t>
  </si>
  <si>
    <t>https://079302004855.matbao.in/</t>
  </si>
  <si>
    <t>https://drive.google.com/drive/folders/1-UNQ5ITavdiSdvii5zAqk7bvoDslZyLg</t>
  </si>
  <si>
    <t>ngocxuannhi_tc</t>
  </si>
  <si>
    <t>HỘ KINH DOANH HẢI ĐĂNG OFFICIAL</t>
  </si>
  <si>
    <t>https://079098009021.matbao.in/</t>
  </si>
  <si>
    <t>https://drive.google.com/drive/folders/1PrNJ9oHajezeu0Dk3r0QnoPDTHhgeYMC</t>
  </si>
  <si>
    <t>haidang_tc</t>
  </si>
  <si>
    <t>HỘ KINH DOANH ĐOÀN VÂN ANH</t>
  </si>
  <si>
    <t>https://014198000033.matbao.in/</t>
  </si>
  <si>
    <t>https://drive.google.com/drive/folders/1feeC1ekRMC4J0CCNJfqNqvNjwWN9ztHO</t>
  </si>
  <si>
    <t>vanjinka_tc</t>
  </si>
  <si>
    <t>HỘ KINH DOANH THÚY NGA OFFICIAL</t>
  </si>
  <si>
    <t>https://052300008705.matbao.in/</t>
  </si>
  <si>
    <t>https://drive.google.com/drive/folders/1f6Pc1Gx4rTqC1KNvmCWZuFWXQ1ytEwa4</t>
  </si>
  <si>
    <t>ID2</t>
  </si>
  <si>
    <t>Mật khẩu3</t>
  </si>
  <si>
    <t>ID4</t>
  </si>
  <si>
    <t>Mật khẩu5</t>
  </si>
  <si>
    <t>Thời gian đóng BHXH6</t>
  </si>
  <si>
    <t>Done hạch toán</t>
  </si>
  <si>
    <t>v</t>
  </si>
  <si>
    <t>Progress</t>
  </si>
  <si>
    <t>0317963313</t>
  </si>
  <si>
    <t>0313147836</t>
  </si>
  <si>
    <t>Doanh thu Dịch vụ quảng cáo và truyền thông theo Hợp đồng số HKD THP_JUMISO_23072025 ký ngày 23/07/2025 HĐ số 1</t>
  </si>
  <si>
    <t>Điều chỉnh giảm Doanh thu Dịch vụ quảng cáo và truyền thông theo Hợp đồng số HKD THP_JUMISO_23072025 ký ngày 23/07/2025 HĐ số 1</t>
  </si>
  <si>
    <t>Doanh thu Thanh toán theo Hợp đồng số HD01082025/D’ALBA_ASIACONSULTING_TRANHONGPHUC ký ngày 01/08/2025 và Biên bản nghiệm thu ký ngày 28/08/2025 HĐ số 2</t>
  </si>
  <si>
    <t>Điều chỉnh giảm Doanh thu Thanh toán theo Hợp đồng số HD01082025/D’ALBA_ASIACONSULTING_TRANHONGPHUC ký ngày 01/08/2025 và Biên bản nghiệm thu ký ngày 28/08/2025 HĐ số 2</t>
  </si>
  <si>
    <t>Doanh thu Dịch vụ quảng cáo và truyền thông theo Hợp đồng số 2907/2025/TTS/TRANHONGPHUC/OBAGIký ngày 29/07/2025 và Biên bản nghiệm thu ký ngày 28/08/2025 HĐ số 3</t>
  </si>
  <si>
    <t>Điều chỉnh giảm Doanh thu Dịch vụ quảng cáo và truyền thông theo Hợp đồng số 2907/2025/TTS/TRANHONGPHUC/OBAGIký ngày 29/07/2025 và Biên bản nghiệm thu ký ngày 28/08/2025 HĐ số 3</t>
  </si>
  <si>
    <t>Doanh thu Dịch vụ quảng cáo và truyền thông theo Hợp đồng số 2108/HDDV/TCELL-THP ký ngày 21/08/2025 và Biên bản nghiệm thu ký ngày 26/08/2025 HĐ số 4</t>
  </si>
  <si>
    <t>Điều chỉnh giảm Doanh thu Dịch vụ quảng cáo và truyền thông theo Hợp đồng số 2108/HDDV/TCELL-THP ký ngày 21/08/2025 và Biên bản nghiệm thu ký ngày 26/08/2025 HĐ số 4</t>
  </si>
  <si>
    <t>Doanh thu Dịch vụ quảng cáo và truyền thông theo Hợp đồng số 08/2025/HDDV-HKD-THP ký ngày 26/08/2025 HĐ số 5</t>
  </si>
  <si>
    <t>Điều chỉnh giảm Doanh thu Dịch vụ quảng cáo và truyền thông theo Hợp đồng số 08/2025/HDDV-HKD-THP ký ngày 26/08/2025 HĐ số 5</t>
  </si>
  <si>
    <t>Doanh thu Dịch vụ quảng cáo và truyền thông theo Thỏa thuận hơp tác với KOL ký ngày 27/08/2025 (Đợt 1) Advertising and communication services under the Agreement for KOL signed on August 27, 2025 (Term 1) HĐ số 6</t>
  </si>
  <si>
    <t>Điều chỉnh giảm Doanh thu Dịch vụ quảng cáo và truyền thông theo Thỏa thuận hơp tác với KOL ký ngày 27/08/2025 (Đợt 1) Advertising and communication services under the Agreement for KOL signed on August 27, 2025 (Term 1) HĐ số 6</t>
  </si>
  <si>
    <t>Doanh thu Thanh toán 100% phí dịch vụ 3CE - KOC Hub Aug - Video - Scope 3 - 2908 SOW số 21170/2025/WPP-BTL-LO - ID Tiktok: tranhongphuc107 HĐ số 7</t>
  </si>
  <si>
    <t>Doanh thu Dịch vụ quảng cáo và truyền thông theo Hợp đồng số HKD THP_GARNIER_01072025 ký ngày 01/07/2025 và Biên bản nghiệm thu ký ngày 08/09/2025 HĐ số 8</t>
  </si>
  <si>
    <t>Điều chỉnh giảm Doanh thu Dịch vụ quảng cáo và truyền thông theo Hợp đồng số HKD THP_GARNIER_01072025 ký ngày 01/07/2025 và Biên bản nghiệm thu ký ngày 08/09/2025 HĐ số 8</t>
  </si>
  <si>
    <t>Doanh thu Dịch vụ quảng cáo và truyền thông theo Hợp đồng số 25082025/HĐ-DVQC2025 ký ngày 27/08/2025 (Đợt 1) HĐ số 9</t>
  </si>
  <si>
    <t>Điều chỉnh giảm Doanh thu Dịch vụ quảng cáo và truyền thông theo Hợp đồng số 25082025/HĐ-DVQC2025 ký ngày 27/08/2025 (Đợt 1) HĐ số 9</t>
  </si>
  <si>
    <t>Doanh thu Dịch vụ quảng cáo và truyền thông theo Hợp đồng số 24082025/HĐ-DVQC2025 ký ngày 27/08/2025 (Đợt 1) HĐ số 10</t>
  </si>
  <si>
    <t>Điều chỉnh giảm Doanh thu Dịch vụ quảng cáo và truyền thông theo Hợp đồng số 24082025/HĐ-DVQC2025 ký ngày 27/08/2025 (Đợt 1) HĐ số 10</t>
  </si>
  <si>
    <t>Doanh thu Thanh toán 100% phí dịch vụ 3CE - KOC Hub Sep - Video - Scope 3 - 1009 SOW số 21490/2025/WPP-BTL-LO ID Tiktok: tranhongphuc107 HĐ số 11</t>
  </si>
  <si>
    <t>Doanh thu Dịch vụ quảng cáo và truyền thông theo Hợp đồng số 0145/08/025C_ TIKTOK_GARNIER DRY TOUCH WORKSHOP_AUG_VN - tranhongphuc07 ký ngày 20/08/2025 và Biên bản nghiệm thu ký ngày 11/09/2025 HĐ số 12</t>
  </si>
  <si>
    <t>Điều chỉnh giảm Doanh thu Dịch vụ quảng cáo và truyền thông theo Hợp đồng số 0145/08/025C_ TIKTOK_GARNIER DRY TOUCH WORKSHOP_AUG_VN - tranhongphuc07 ký ngày 20/08/2025 và Biên bản nghiệm thu ký ngày 11/09/2025 HĐ số 12</t>
  </si>
  <si>
    <t>Doanh thu Dịch vụ quảng cáo và truyền thông theo Hợp đồng số 20250826/HĐDV/IMUxTRANHONGPHUC ký ngày 26/08/2025 và Biên bản nghiệm thu ký ngày 12/09/2025 HĐ số 13</t>
  </si>
  <si>
    <t>Điều chỉnh giảm Doanh thu Dịch vụ quảng cáo và truyền thông theo Hợp đồng số 20250826/HĐDV/IMUxTRANHONGPHUC ký ngày 26/08/2025 và Biên bản nghiệm thu ký ngày 12/09/2025 HĐ số 13</t>
  </si>
  <si>
    <t>Doanh thu Dịch vụ quảng cáo và truyền thông theo Hợp đồng số HDDV/FAROSONTTP/09/2025 ký ngày 12/09/2025 (Đợt 1) HĐ số 14</t>
  </si>
  <si>
    <t>Điều chỉnh giảm Doanh thu Dịch vụ quảng cáo và truyền thông theo Hợp đồng số HDDV/FAROSONTTP/09/2025 ký ngày 12/09/2025 (Đợt 1) HĐ số 14</t>
  </si>
  <si>
    <t>Doanh thu Dịch vụ quảng cáo và truyền thông theo Hợp đồng số HKD THP_ANUA_01072025 ký ngày 01/07/2025 HĐ số 15</t>
  </si>
  <si>
    <t>Điều chỉnh giảm Doanh thu Dịch vụ quảng cáo và truyền thông theo Hợp đồng số HKD THP_ANUA_01072025 ký ngày 01/07/2025 HĐ số 15</t>
  </si>
  <si>
    <t>Doanh thu Dịch vụ quảng cáo và truyền thông theo Hợp đồng số HKD THP_ GARNIER_01092025 ký ngày 01/09/2025 và Biên bản nghiệm thu ký ngày 16/09/2025 HĐ số 16</t>
  </si>
  <si>
    <t>Điều chỉnh giảm Doanh thu Dịch vụ quảng cáo và truyền thông theo Hợp đồng số HKD THP_ GARNIER_01092025 ký ngày 01/09/2025 và Biên bản nghiệm thu ký ngày 16/09/2025 HĐ số 16</t>
  </si>
  <si>
    <t>Doanh thu Dịch vụ quảng cáo và truyền thông theo Hợp đồng số 20250825/HADALABO-UNICORNxTRANHONGPHUC ký ngày 25/08/2025 và Biên bản nghiệm thu ký ngày 18/09/2025 HĐ số 17</t>
  </si>
  <si>
    <t>Điều chỉnh giảm Doanh thu Dịch vụ quảng cáo và truyền thông theo Hợp đồng số 20250825/HADALABO-UNICORNxTRANHONGPHUC ký ngày 25/08/2025 và Biên bản nghiệm thu ký ngày 18/09/2025 HĐ số 17</t>
  </si>
  <si>
    <t>Doanh thu Dịch vụ quảng cáo và truyền thông theo Thỏa thuận hơp tác với KOL ký ngày 27/08/2025 (Đợt 2) Advertising and communication services under the Agreement for KOL signed on August 27, 2025 (Term 2) HĐ số 18</t>
  </si>
  <si>
    <t>Điều chỉnh giảm Doanh thu Dịch vụ quảng cáo và truyền thông theo Thỏa thuận hơp tác với KOL ký ngày 27/08/2025 (Đợt 2) Advertising and communication services under the Agreement for KOL signed on August 27, 2025 (Term 2) HĐ số 18</t>
  </si>
  <si>
    <t>Doanh thu Dịch vụ quảng cáo và truyền thông theo Hợp đồng số HKD THP_ GARNIER_TRI_ACID_01092025 ký ngày 01/09/2025 và Biên bản nghiệm thu ký ngày 22/09/2025 HĐ số 19</t>
  </si>
  <si>
    <t>Điều chỉnh giảm Doanh thu Dịch vụ quảng cáo và truyền thông theo Hợp đồng số HKD THP_ GARNIER_TRI_ACID_01092025 ký ngày 01/09/2025 và Biên bản nghiệm thu ký ngày 22/09/2025 HĐ số 19</t>
  </si>
  <si>
    <t>Doanh thu Dịch vụ quảng cáo và truyền thông theo Hợp đồng số 24082025/HĐ-DVQC2025 ký ngày 27/08/2025 (Đợt 2) và Biên bản nghiệm thu ký ngày 24/09/2025 HĐ số 20</t>
  </si>
  <si>
    <t>Điều chỉnh giảm Doanh thu Dịch vụ quảng cáo và truyền thông theo Hợp đồng số 24082025/HĐ-DVQC2025 ký ngày 27/08/2025 (Đợt 2) và Biên bản nghiệm thu ký ngày 24/09/2025 HĐ số 20</t>
  </si>
  <si>
    <t>Doanh thu Dịch vụ quảng cáo và truyền thông theo Hợp đồng số 25082025/HĐ-DVQC2025 ký ngày 27/08/2025 (Đợt 2) và Biên bản nghiệm thu ký ngày 24/09/2025 HĐ số 21</t>
  </si>
  <si>
    <t>Điều chỉnh giảm Doanh thu Dịch vụ quảng cáo và truyền thông theo Hợp đồng số 25082025/HĐ-DVQC2025 ký ngày 27/08/2025 (Đợt 2) và Biên bản nghiệm thu ký ngày 24/09/2025 HĐ số 21</t>
  </si>
  <si>
    <t>Doanh thu Dịch vụ quảng cáo và truyền thông theo Hợp đồng số HDDV/FAROSONTTP/09/2025 ký ngày 12/09/2025 (Đợt 2) và Biên bản nghiệm thu ký ngày 25/09/2025 HĐ số 22</t>
  </si>
  <si>
    <t>Điều chỉnh giảm Doanh thu Dịch vụ quảng cáo và truyền thông theo Hợp đồng số HDDV/FAROSONTTP/09/2025 ký ngày 12/09/2025 (Đợt 2) và Biên bản nghiệm thu ký ngày 25/09/2025 HĐ số 22</t>
  </si>
  <si>
    <t>Phần mềm hóa đơn điện tử M-100 072098001948.matbao.in (1 năm) HĐ số 76263</t>
  </si>
  <si>
    <t>Lệ phí Chứng thư CKS Token-HKD-MBCA (3 năm), USB Token-DN/HKD-MBCA, Phí duy trì Chứng thư CKS Token-HKD-MBCA (3 năm) HĐ số 77477</t>
  </si>
  <si>
    <t>0313993268</t>
  </si>
  <si>
    <t>0313403198</t>
  </si>
  <si>
    <t>0316106411</t>
  </si>
  <si>
    <t>0107631488-001</t>
  </si>
  <si>
    <t>8100636410-001</t>
  </si>
  <si>
    <t>0102313379-011</t>
  </si>
  <si>
    <t>Tiền thuê văn phòng gói SAVE+ từ ngày 14/08/2025 đến ngày 08/08/2026 Theo hợp đồng số: 0982/VPA/481CH HĐ số 229</t>
  </si>
  <si>
    <t>Chi phí tiếp khách, ngoại giao HĐ số 2208</t>
  </si>
  <si>
    <t>Chi phí tiếp khách, ngoại giao HĐ số 12053689</t>
  </si>
  <si>
    <t>Chi phí tiếp khách, ngoại giao HĐ số 12526400</t>
  </si>
  <si>
    <t>Chi phí tiếp khách, ngoại giao HĐ số 12748307</t>
  </si>
  <si>
    <t>Chi phí tiếp khách, ngoại giao HĐ số 591</t>
  </si>
  <si>
    <t>Chi phí tiếp khách, ngoại giao HĐ số 383608</t>
  </si>
  <si>
    <t>Chi phí đồ dùng văn phòng HĐ số 135342</t>
  </si>
  <si>
    <t>Chi phí dịch vụ mua ngoài HĐ số 30330</t>
  </si>
  <si>
    <t>Nhận Doanh thu Dịch vụ quảng cáo và truyền thông theo Hợp đồng số 2108/HDDV/TCELL-THP ký ngày 21/08/2025 và Biên bản nghiệm thu ký ngày 26/08/2025 HĐ số 4</t>
  </si>
  <si>
    <t>Nhận Doanh thu Dịch vụ quảng cáo và truyền thông theo Thỏa thuận hơp tác với KOL ký ngày 27/08/2025 (Đợt 1) Advertising and communication services under the Agreement for KOL signed on August 27, 2025 (Term 1) HĐ số 6</t>
  </si>
  <si>
    <t>Nhận Doanh thu Thanh toán theo Hợp đồng số HD01082025/D’ALBA_ASIACONSULTING_TRANHONGPHUC ký ngày 01/08/2025 và Biên bản nghiệm thu ký ngày 28/08/2025 HĐ số 2</t>
  </si>
  <si>
    <t>072098001948</t>
  </si>
  <si>
    <t>Nhận Doanh thu Dịch vụ quảng cáo và truyền thông theo Hợp đồng số HKD THP_JUMISO_23072025 ký ngày 23/07/2025 HĐ số 1</t>
  </si>
  <si>
    <t>Nhận Doanh thu Thanh toán 100% phí dịch vụ 3CE - KOC Hub Aug - Video - Scope 3 - 2908 SOW số 21170/2025/WPP-BTL-LO - ID Tiktok: tranhongphuc107 HĐ số 7</t>
  </si>
  <si>
    <t>Nhận Doanh thu Dịch vụ quảng cáo và truyền thông theo Hợp đồng số 08/2025/HDDV-HKD-THP ký ngày 26/08/2025 HĐ số 5</t>
  </si>
  <si>
    <t>Nhận Doanh thu Dịch vụ quảng cáo và truyền thông theo Hợp đồng số 24082025/HĐ-DVQC2025 ký ngày 27/08/2025 (Đợt 1) HĐ số 10</t>
  </si>
  <si>
    <t>Nhận Doanh thu Dịch vụ quảng cáo và truyền thông theo Hợp đồng số 25082025/HĐ-DVQC2025 ký ngày 27/08/2025 (Đợt 1) HĐ số 9</t>
  </si>
  <si>
    <t>Nhận Doanh thu Dịch vụ quảng cáo và truyền thông theo Hợp đồng số 20250826/HĐDV/IMUxTRANHONGPHUC ký ngày 26/08/2025 và Biên bản nghiệm thu ký ngày 12/09/2025 HĐ số 13</t>
  </si>
  <si>
    <t>Nhận Doanh thu Dịch vụ quảng cáo và truyền thông theo Hợp đồng số HDDV/FAROSONTTP/09/2025 ký ngày 12/09/2025 (Đợt 1) HĐ số 14</t>
  </si>
  <si>
    <t>Nhận Doanh thu Dịch vụ quảng cáo và truyền thông theo Hợp đồng số HKD THP_GARNIER_01072025 ký ngày 01/07/2025 và Biên bản nghiệm thu ký ngày 08/09/2025 HĐ số 8</t>
  </si>
  <si>
    <t>Nhận Doanh thu Dịch vụ quảng cáo và truyền thông theo Thỏa thuận hơp tác với KOL ký ngày 27/08/2025 (Đợt 2) Advertising and communication services under the Agreement for KOL signed on August 27, 2025 (Term 2) HĐ số 18</t>
  </si>
  <si>
    <t>0100786940-006</t>
  </si>
  <si>
    <t>Nhận Doanh thu Dịch vụ quảng cáo và truyền thông theo Hợp đồng số 0145/08/025C_ TIKTOK_GARNIER DRY TOUCH WORKSHOP_AUG_VN - tranhongphuc07 ký ngày 20/08/2025 và Biên bản nghiệm thu ký ngày 11/09/2025 HĐ số 12</t>
  </si>
  <si>
    <t>Nhận Doanh thu Dịch vụ quảng cáo và truyền thông theo Hợp đồng số HKD THP_ANUA_01072025 ký ngày 01/07/2025 HĐ số 15</t>
  </si>
  <si>
    <t>Nhận Doanh thu Dịch vụ quảng cáo và truyền thông theo Hợp đồng số 20250825/HADALABO-UNICORNxTRANHONGPHUC ký ngày 25/08/2025 và Biên bản nghiệm thu ký ngày 18/09/2025 HĐ số 17</t>
  </si>
  <si>
    <t>Thuế GTGT, TNCN sàn TMĐT</t>
  </si>
  <si>
    <t>1801417397</t>
  </si>
  <si>
    <t>0313997777</t>
  </si>
  <si>
    <t>0317837492</t>
  </si>
  <si>
    <t>0110881960</t>
  </si>
  <si>
    <t>Doanh thu Dịch vụ quảng cáo và truyền thông theo Hợp đồng số 2152025/ZAKKA NATURALS – LUKE ĐỖ ký ngày 21/05/2025 và Biên bản nghiệm thu ký ngày 18/07/2025 HĐ số 15</t>
  </si>
  <si>
    <t>Doanh thu Dịch vụ quảng cáo và truyền thông theo Hợp đồng số 01062025HDDVLUONGDOEVENTTORRIDEN ký ngày 01/06/2025 và Biên bản nghiệm thu ký ngày 23/07/2025 HĐ số 16</t>
  </si>
  <si>
    <t>Điều chỉnh giảm Doanh thu Dịch vụ quảng cáo và truyền thông theo Hợp đồng số 01062025HDDVLUONGDOEVENTTORRIDEN ký ngày 01/06/2025 và Biên bản nghiệm thu ký ngày 23/07/2025 HĐ số 16</t>
  </si>
  <si>
    <t>Doanh thu Dịch vụ quảng cáo và truyền thông theo Hợp đồng số 17072025/DST-LUONGDO ký ngày 01/07/2025 và Biên bản nghiệm thu ký ngày 23/07/2025 HĐ số 17</t>
  </si>
  <si>
    <t>Điều chỉnh giảm Doanh thu Dịch vụ quảng cáo và truyền thông theo Hợp đồng số 17072025/DST-LUONGDO ký ngày 01/07/2025 và Biên bản nghiệm thu ký ngày 23/07/2025 HĐ số 17</t>
  </si>
  <si>
    <t>Doanh thu Dịch vụ quảng cáo và truyền thông theo Phụ lục 04 ngày 10/06/2025 của Hợp đồng số SSPb/07102024/HDDV/MDA-HKDDTL ngày 07/10/2024 và Biên bản nghiệm thu dịch vụ ngày 24/07/2025 HĐ số 18</t>
  </si>
  <si>
    <t>Điều chỉnh giảm Doanh thu Dịch vụ quảng cáo và truyền thông theo Phụ lục 04 ngày 10/06/2025 của Hợp đồng số SSPb/07102024/HDDV/MDA-HKDDTL ngày 07/10/2024 và Biên bản nghiệm thu dịch vụ ngày 24/07/2025 HĐ số 18</t>
  </si>
  <si>
    <t>Doanh thu Dịch vụ quảng cáo và truyền thông theo Phụ lục 03 ngày 01/06/2025 của Hợp đồng số SSPb/07102024/HDDV/MDA-HKDDTL ngày 07/10/2024 và Biên bản nghiệm thu dịch vụ ngày 24/07/2025 HĐ số 19</t>
  </si>
  <si>
    <t>Điều chỉnh giảm Doanh thu Dịch vụ quảng cáo và truyền thông theo Phụ lục 03 ngày 01/06/2025 của Hợp đồng số SSPb/07102024/HDDV/MDA-HKDDTL ngày 07/10/2024 và Biên bản nghiệm thu dịch vụ ngày 24/07/2025 HĐ số 19</t>
  </si>
  <si>
    <t>Doanh thu Cung cấp dịch vụ theo Hợp đồng số 21072025 /HDDV/VT-LUONGDO ký ngày 21/07/2025 HĐ số 20</t>
  </si>
  <si>
    <t>Điều chỉnh giảm Doanh thu Cung cấp dịch vụ theo Hợp đồng số 21072025 /HDDV/VT-LUONGDO ký ngày 21/07/2025 HĐ số 20</t>
  </si>
  <si>
    <t>Doanh thu Dịch vụ quảng cáo và truyền thông theo Hợp đồng số 01072025HDDVLUONGDOCELIMAX ký ngày 01/07/2025 và Biên bản nghiệm thu ký ngày 29/07/2025 HĐ số 21</t>
  </si>
  <si>
    <t>Điều chỉnh giảm Doanh thu Dịch vụ quảng cáo và truyền thông theo Hợp đồng số 01072025HDDVLUONGDOCELIMAX ký ngày 01/07/2025 và Biên bản nghiệm thu ký ngày 29/07/2025 HĐ số 21</t>
  </si>
  <si>
    <t>Doanh thu Phí dịch vụ quảng cáo theo Hợp đồng dịch vụ số MDA/20250723/935 ngày 01/07/2025 và Biên bản nghiệm thu và thanh lý ngày 31/07/2025 HĐ số 22</t>
  </si>
  <si>
    <t>Điều chỉnh giảm Doanh thu Phí dịch vụ quảng cáo theo Hợp đồng dịch vụ số MDA/20250723/935 ngày 01/07/2025 và Biên bản nghiệm thu và thanh lý ngày 31/07/2025 HĐ số 22</t>
  </si>
  <si>
    <t>Doanh thu Thanh toán 100% phí dịch vụ OAP - Glyco Campaign P2 - PO4001432323 - Scope 3 - Video - 3007 SOW số 18432/2025/WPP-BTL-LO - ID Tiktok: im.lukedo HĐ số 23</t>
  </si>
  <si>
    <t>Điều chỉnh giảm Doanh thu Thanh toán 100% phí dịch vụ OAP - Glyco Campaign P2 - PO4001432323 - Scope 3 - Video - 3007 SOW số 18432/2025/WPP-BTL-LO - ID Tiktok: im.lukedo HĐ số 23</t>
  </si>
  <si>
    <t>Doanh thu Dịch vụ quảng cáo và truyền thông theo Hợp đồng số 13052025/HĐDV-AHC-LUONGDO-BRANDLIVE1405 ký ngày 13/05/2025 và Biên bản nghiệm thu ký ngày 01/08/2025 HĐ số 24</t>
  </si>
  <si>
    <t>Điều chỉnh giảm Doanh thu Dịch vụ quảng cáo và truyền thông theo Hợp đồng số 13052025/HĐDV-AHC-LUONGDO-BRANDLIVE1405 ký ngày 13/05/2025 và Biên bản nghiệm thu ký ngày 01/08/2025 HĐ số 24</t>
  </si>
  <si>
    <t>Doanh thu Dịch vụ quảng cáo và truyền thông theo Hợp đồng số 13052025/HĐDV-AHC-LUONGDO-BRANDLIVE1405 ký ngày 13/05/2025 và Biên bản nghiệm thu ký ngày 01/08/2025 HĐ số 25</t>
  </si>
  <si>
    <t>Điều chỉnh giảm Doanh thu Dịch vụ quảng cáo và truyền thông theo Hợp đồng số 13052025/HĐDV-AHC-LUONGDO-BRANDLIVE1405 ký ngày 13/05/2025 và Biên bản nghiệm thu ký ngày 01/08/2025 HĐ số 25</t>
  </si>
  <si>
    <t>Doanh thu Thanh toán 100% phí dịch vụ OAP - Top UV Glyco - Video - Scope 3 - 3007 SOW số 16108/2025/WPP-BTL-LO - ID Tiktok: im.lukedo HĐ số 26</t>
  </si>
  <si>
    <t>Điều chỉnh giảm Doanh thu Thanh toán 100% phí dịch vụ OAP - Top UV Glyco - Video - Scope 3 - 3007 SOW số 16108/2025/WPP-BTL-LO - ID Tiktok: im.lukedo HĐ số 26</t>
  </si>
  <si>
    <t>Doanh thu Thanh toán 100% phí dịch vụ GRN - KOC Hub - Video - Scope 3 - 3006 SOW số 10800/2025/WPP-BTL-LO - ID Tiktok: im.lukedo HĐ số 27</t>
  </si>
  <si>
    <t>Điều chỉnh giảm Doanh thu Thanh toán 100% phí dịch vụ GRN - KOC Hub - Video - Scope 3 - 3006 SOW số 10800/2025/WPP-BTL-LO - ID Tiktok: im.lukedo HĐ số 27</t>
  </si>
  <si>
    <t>Doanh thu Thanh toán 100% phí dịch vụ OAP - Glyco - Video - Scope 3 - 3006 SOW số 10819/2025/WPP-BTL-LO - ID Tiktok: im.lukedo HĐ số 28</t>
  </si>
  <si>
    <t>Điều chỉnh giảm Doanh thu Thanh toán 100% phí dịch vụ OAP - Glyco - Video - Scope 3 - 3006 SOW số 10819/2025/WPP-BTL-LO - ID Tiktok: im.lukedo HĐ số 28</t>
  </si>
  <si>
    <t>Doanh thu Phí dịch vụ hợp đồng số 10182025/HĐDV/Y&amp;B ký ngày 01/07/2025 và Biên bản nghiệm thu số 10182025/BBNT-TT/Y&amp;B ký ngày 11/08/2025 HĐ số 29</t>
  </si>
  <si>
    <t>Điều chỉnh giảm Doanh thu Phí dịch vụ hợp đồng số 10182025/HĐDV/Y&amp;B ký ngày 01/07/2025 và Biên bản nghiệm thu số 10182025/BBNT-TT/Y&amp;B ký ngày 11/08/2025 HĐ số 29</t>
  </si>
  <si>
    <t>Doanh thu Phí dịch vụ quảng cáo theo hợp đồng số HĐ/956/2025/VNNL ký ngày 06/06/2025 kèm biên bản nghiệm thu và thanh lý ký ngày 12/08/2025 HĐ số 30</t>
  </si>
  <si>
    <t>Điều chỉnh giảm Doanh thu Phí dịch vụ quảng cáo theo hợp đồng số HĐ/956/2025/VNNL ký ngày 06/06/2025 kèm biên bản nghiệm thu và thanh lý ký ngày 12/08/2025 HĐ số 30</t>
  </si>
  <si>
    <t>Doanh thu Phí dịch vụ quảng cáo theo hợp đồng số HĐ/1094/2025/VNNL ký ngày 06/06/2025 kèm biên bản nghiệm thu và thanh lý ký ngày 12/08/2025 HĐ số 31</t>
  </si>
  <si>
    <t>Điều chỉnh giảm Doanh thu Phí dịch vụ quảng cáo theo hợp đồng số HĐ/1094/2025/VNNL ký ngày 06/06/2025 kèm biên bản nghiệm thu và thanh lý ký ngày 12/08/2025 HĐ số 31</t>
  </si>
  <si>
    <t>Doanh thu Phí dịch vụ quảng cáo theo hợp đồng số HĐ/959/2025/VNNL ký ngày 06/06/2025 kèm biên bản nghiệm thu và thanh lý ký ngày 12/08/2025 HĐ số 32</t>
  </si>
  <si>
    <t>Điều chỉnh giảm Doanh thu Phí dịch vụ quảng cáo theo hợp đồng số HĐ/959/2025/VNNL ký ngày 06/06/2025 kèm biên bản nghiệm thu và thanh lý ký ngày 12/08/2025 HĐ số 32</t>
  </si>
  <si>
    <t>Doanh thu Thanh toán 100% phí dịch vụ 3CE - KOC Hub Aug - Video - Scope 3 - 1008 SOW số 19696/2025/WPP-BTL-LO - ID Tiktok: im.lukedo HĐ số 34</t>
  </si>
  <si>
    <t>Điều chỉnh giảm Doanh thu Thanh toán 100% phí dịch vụ 3CE - KOC Hub Aug - Video - Scope 3 - 1008 SOW số 19696/2025/WPP-BTL-LO - ID Tiktok: im.lukedo HĐ số 34</t>
  </si>
  <si>
    <t>Doanh thu Dịch vụ quảng cáo và truyền thông theo Hợp đồng số ATV/Lương Đỗ/Curel - Launching Kem phan 2025/2025-HDDV-1232P ký ngày 01/03/2025 và Biên bản nghiệm thu ký ngày 19/08/2025 HĐ số 35</t>
  </si>
  <si>
    <t>Doanh thu Phí dịch vụ quảng cáo theo Hợp đồng dịch vụ số MDA/20250824/1398 ngày 10/08/2025 kèm Biên bản nghiệm thu và thanh lý ngày 27/08/2025 HĐ số 36</t>
  </si>
  <si>
    <t>Điều chỉnh giảm Doanh thu Phí dịch vụ quảng cáo theo Hợp đồng dịch vụ số MDA/20250824/1398 ngày 10/08/2025 kèm Biên bản nghiệm thu và thanh lý ngày 27/08/2025 HĐ số 36</t>
  </si>
  <si>
    <t>Doanh thu Phí dịch vụ quảng cáo theo Hợp đồng dịch vụ số MDA/20250811/1209 ngày 01/08/2025 kèm Biên bản nghiệm thu và thanh lý ngày 29/08/2025 HĐ số 37</t>
  </si>
  <si>
    <t>Điều chỉnh giảm Doanh thu Phí dịch vụ quảng cáo theo Hợp đồng dịch vụ số MDA/20250811/1209 ngày 01/08/2025 kèm Biên bản nghiệm thu và thanh lý ngày 29/08/2025 HĐ số 37</t>
  </si>
  <si>
    <t>Doanh thu Phí dịch vụ hợp đồng số 11722025/HĐDV/Y&amp;B ký ngày 01/08/2025 và Biên bản nghiệm thu số 11722025/BBNT-TT/Y&amp;B ký ngày 03/09/2025 HĐ số 38</t>
  </si>
  <si>
    <t>Điều chỉnh giảm Doanh thu Phí dịch vụ hợp đồng số 11722025/HĐDV/Y&amp;B ký ngày 01/08/2025 và Biên bản nghiệm thu số 11722025/BBNT-TT/Y&amp;B ký ngày 03/09/2025 HĐ số 38</t>
  </si>
  <si>
    <t>Doanh thu Dịch vụ quảng cáo và truyền thông theo Hợp đồng dịch vụ khung ký ngày 26/07/2025, Phạm vi công việc số 01 ký ngày 26/07/2025 và Biên bản nghiệm thu ký ngày 08/09/2025 HĐ số 39</t>
  </si>
  <si>
    <t>Điều chỉnh giảm Doanh thu Dịch vụ quảng cáo và truyền thông theo Hợp đồng dịch vụ khung ký ngày 26/07/2025, Phạm vi công việc số 01 ký ngày 26/07/2025 và Biên bản nghiệm thu ký ngày 08/09/2025 HĐ số 39</t>
  </si>
  <si>
    <t>Doanh thu Phí dịch vụ quảng cáo theo hợp đồng số HĐ/1372/2025/VNNL ký ngày 07/07/2025 kèm biên bản nghiệm thu và thanh lý ký ngày 10/09/2025 HĐ số 40</t>
  </si>
  <si>
    <t>Điều chỉnh giảm Doanh thu Phí dịch vụ quảng cáo theo hợp đồng số HĐ/1372/2025/VNNL ký ngày 07/07/2025 kèm biên bản nghiệm thu và thanh lý ký ngày 10/09/2025 HĐ số 40</t>
  </si>
  <si>
    <t>Doanh thu Dịch vụ quảng cáo và truyền thông theo Hợp đồng số 1808KT/TTLAPO2025-HV ký ngày 18/08/2025 (Đợt 1) HĐ số 41</t>
  </si>
  <si>
    <t>Điều chỉnh giảm Doanh thu Dịch vụ quảng cáo và truyền thông theo Hợp đồng số 1808KT/TTLAPO2025-HV ký ngày 18/08/2025 (Đợt 1) HĐ số 41</t>
  </si>
  <si>
    <t>Doanh thu Cung cấp dịch vụ 100% theo Biên bản nghiệm thu ký ngày 18/09/2025 của Hợp đồng số HĐ/2390/2025/METUB ký ngày 19/08/2025 HĐ số 1</t>
  </si>
  <si>
    <t>Điều chỉnh giảm Doanh thu Cung cấp dịch vụ 100% theo Biên bản nghiệm thu ký ngày 18/09/2025 của Hợp đồng số HĐ/2390/2025/METUB ký ngày 19/08/2025 HĐ số 1</t>
  </si>
  <si>
    <t>Doanh thu Thanh toán 100% phí dịch vụ GRN - KOC HUB Skin - Video - Scope 3 - 3009 - Add SOW số 22162/2025/WPP-BTL-LO ID Tiktok: im.lukedo HĐ số 2</t>
  </si>
  <si>
    <t>05/07/2025</t>
  </si>
  <si>
    <t>13/07/2025</t>
  </si>
  <si>
    <t>27/07/2025</t>
  </si>
  <si>
    <t>27/09/2025</t>
  </si>
  <si>
    <t>0100233583</t>
  </si>
  <si>
    <t>0104509916</t>
  </si>
  <si>
    <t>0318387609</t>
  </si>
  <si>
    <t>0314136636</t>
  </si>
  <si>
    <t>0317499941</t>
  </si>
  <si>
    <t>0314222123</t>
  </si>
  <si>
    <t>0303217354</t>
  </si>
  <si>
    <t>0301955155</t>
  </si>
  <si>
    <t>0101308344</t>
  </si>
  <si>
    <t>001188006556</t>
  </si>
  <si>
    <t>1700509429</t>
  </si>
  <si>
    <t>0101659783</t>
  </si>
  <si>
    <t>Phí dịch vụ tư vấn tháng 06/2025 HĐ số 77</t>
  </si>
  <si>
    <t>Phí dịch vụ tư vấn tháng 07/2025 HĐ số 86</t>
  </si>
  <si>
    <t>Phí dịch vụ tư vấn tháng 08/2025 HĐ số 112</t>
  </si>
  <si>
    <t>Doanh thu Dịch vụ tư vấn quản lý tháng 06/2025 theo Hợp đồng số 0506/2025/HĐ/KT-TWINSSKIN ký ngày 05/06/2025, Biên bản nghiệm thu và đối soát ký ngày 18/07/2025 HĐ số 5</t>
  </si>
  <si>
    <t>Doanh thu Dịch vụ quảng cáo và truyền thông theo Hợp đồng số 07072025/DST-HKDTAMTAITRI ký ngày 07/07/2025 (Đợt 1) HĐ số 6</t>
  </si>
  <si>
    <t>Doanh thu Dịch vụ tư vấn quản lý tháng 07/2025 theo Hợp đồng số 03/2025/HĐ/KT-GEMARI ký ngày 04/06/2025 HĐ số 7</t>
  </si>
  <si>
    <t>Doanh thu Phí dịch vụ hợp đồng số 9902025/HĐDV/Y&amp;B ký ngày 01/07/2025 và Biên bản nghiệm thu số 9902025/BBNT-TT/Y&amp;B ký ngày 23/07/2025 HĐ số 8</t>
  </si>
  <si>
    <t>Điều chỉnh giảm Doanh thu Phí dịch vụ hợp đồng số 9902025/HĐDV/Y&amp;B ký ngày 01/07/2025 và Biên bản nghiệm thu số 9902025/BBNT-TT/Y&amp;B ký ngày 23/07/2025 HĐ số 8</t>
  </si>
  <si>
    <t>Doanh thu Dịch vụ quảng cáo và truyền thông theo Hợp đồng số 07072025/DST-HKDTAMTAITRI ký ngày 07/07/2025 (Đợt 2) và Biên bản nghiệm thu ký ngày 25/07/2025 HĐ số 9</t>
  </si>
  <si>
    <t>Doanh thu Dịch vụ tư vấn quản lý tháng 07/2025 theo Hợp đồng số 0506/2025/HĐ/KT-HKDTTT ký ngày 05/06/2025 HĐ số 10</t>
  </si>
  <si>
    <t>Doanh thu Dịch vụ tư vấn phát triển thương hiệu theo hợp đồng số 07/2025/HĐ/KT-HKDTTT ký ngày 31/07/2025 (Đợt 1) HĐ số 11</t>
  </si>
  <si>
    <t>Doanh thu Dịch vụ tư vấn quản lý tháng 07/2025 theo Hợp đồng số 0506/2025/HĐ/KT-TWINSSKIN ký ngày 05/06/2025, Biên bản nghiệm thu và đối soát ký ngày 06/08/2025 HĐ số 13</t>
  </si>
  <si>
    <t>Doanh thu Dịch vụ tư vấn phát triển sản phẩm theo hợp đồng số 0107/2025/HĐ/KT-CLINICOS ký ngày 01/07/2025 HĐ số 14</t>
  </si>
  <si>
    <t>Điều chỉnh giảm Doanh thu Dịch vụ tư vấn phát triển sản phẩm theo hợp đồng số 0107/2025/HĐ/KT-CLINICOS ký ngày 01/07/2025 HĐ số 14</t>
  </si>
  <si>
    <t>Doanh thu Dịch vụ tư vấn quản lý tháng 08/2025 theo Hợp đồng số 03/2025/HĐ/KT-GEMARI ký ngày 04/06/2025 HĐ số 15</t>
  </si>
  <si>
    <t>Điều chỉnh giảm Doanh thu Dịch vụ tư vấn quản lý tháng 08/2025 theo Hợp đồng số 03/2025/HĐ/KT-GEMARI ký ngày 04/06/2025 HĐ số 15</t>
  </si>
  <si>
    <t>Doanh thu Dịch vụ tư vấn quản lý tháng 08/2025 theo Hợp đồng số 0506/2025/HĐ/KT-HKDTTT ký ngày 05/06/2025 HĐ số 16</t>
  </si>
  <si>
    <t>Điều chỉnh giảm Doanh thu Dịch vụ tư vấn quản lý tháng 08/2025 theo Hợp đồng số 0506/2025/HĐ/KT-HKDTTT ký ngày 05/06/2025 HĐ số 16</t>
  </si>
  <si>
    <t>Doanh thu Phí dịch vụ hợp đồng số 11462025/HĐDV/Y&amp;B ký ngày 01/08/2025 và Biên bản nghiệm thu số 11462025/BBNT-TT/Y&amp;B ký ngày 08/09/2025 HĐ số 17</t>
  </si>
  <si>
    <t>Điều chỉnh giảm Doanh thu Phí dịch vụ hợp đồng số 11462025/HĐDV/Y&amp;B ký ngày 01/08/2025 và Biên bản nghiệm thu số 11462025/BBNT-TT/Y&amp;B ký ngày 08/09/2025 HĐ số 17</t>
  </si>
  <si>
    <t>Doanh thu Dịch vụ tư vấn quản lý tháng 08/2025 theo Hợp đồng số 0506/2025/HĐ/KT-TWINSSKIN ký ngày 05/06/2025, Biên bản nghiệm thu và đối soát ký ngày 10/09/2025 HĐ số 18</t>
  </si>
  <si>
    <t>Điều chỉnh giảm Doanh thu Dịch vụ tư vấn quản lý tháng 08/2025 theo Hợp đồng số 0506/2025/HĐ/KT-TWINSSKIN ký ngày 05/06/2025, Biên bản nghiệm thu và đối soát ký ngày 10/09/2025 HĐ số 18</t>
  </si>
  <si>
    <t>Doanh thu Dịch vụ sáng tạo nội dung, bài viết quảng cáo cho thương hiệu theo Hợp đồng số 270825/HĐTVMOCHA ký ngày 28/08/2025 (Đợt 1) HĐ số 19</t>
  </si>
  <si>
    <t>Điều chỉnh giảm Doanh thu Dịch vụ sáng tạo nội dung, bài viết quảng cáo cho thương hiệu theo Hợp đồng số 270825/HĐTVMOCHA ký ngày 28/08/2025 (Đợt 1) HĐ số 19</t>
  </si>
  <si>
    <t>Doanh thu Dịch vụ tư vấn quản lý tháng 09/2025 theo Hợp đồng số 03/2025/HĐ/KT-GEMARI ký ngày 04/06/2025 HĐ số 20</t>
  </si>
  <si>
    <t>Điều chỉnh giảm Doanh thu Dịch vụ tư vấn quản lý tháng 09/2025 theo Hợp đồng số 03/2025/HĐ/KT-GEMARI ký ngày 04/06/2025 HĐ số 20</t>
  </si>
  <si>
    <t>Doanh thu Dịch vụ tư vấn, quản lý chiến dịch truyền thông quảng bá sản phẩm theo Hợp đồng số 280825/HĐTVANVITAL ký ngày 28/08/2025 (Đợt 1) HĐ số 21</t>
  </si>
  <si>
    <t>Điều chỉnh giảm Doanh thu Dịch vụ tư vấn, quản lý chiến dịch truyền thông quảng bá sản phẩm theo Hợp đồng số 280825/HĐTVANVITAL ký ngày 28/08/2025 (Đợt 1) HĐ số 21</t>
  </si>
  <si>
    <t>Doanh thu Dịch vụ quảng cáo và truyền thông theo Hợp đồng số 09092025/HĐDV/GREENBOX ký kết ngày 09/09/2025 và Biên bản nghiệm thu ký ngày 22/09/2025 HĐ số 22</t>
  </si>
  <si>
    <t>Điều chỉnh giảm Doanh thu Dịch vụ quảng cáo và truyền thông theo Hợp đồng số 09092025/HĐDV/GREENBOX ký kết ngày 09/09/2025 và Biên bản nghiệm thu ký ngày 22/09/2025 HĐ số 22</t>
  </si>
  <si>
    <t>Doanh thu Dịch vụ tư vấn phát triển thương hiệu theo hợp đồng số 230825/2025/HĐ/KT-HKDTTT ký ngày 23/08/2025 (Đợt 1) HĐ số 23</t>
  </si>
  <si>
    <t>Điều chỉnh giảm Doanh thu Dịch vụ tư vấn phát triển thương hiệu theo hợp đồng số 230825/2025/HĐ/KT-HKDTTT ký ngày 23/08/2025 (Đợt 1) HĐ số 23</t>
  </si>
  <si>
    <t>3502289736</t>
  </si>
  <si>
    <t>0313771882</t>
  </si>
  <si>
    <t>0110850923</t>
  </si>
  <si>
    <t>0316914465</t>
  </si>
  <si>
    <t>2902185433</t>
  </si>
  <si>
    <t>0310251405</t>
  </si>
  <si>
    <t>2802248369</t>
  </si>
  <si>
    <t>Phí dịch vụ tư vấn tháng 06/2025 HĐ số 82</t>
  </si>
  <si>
    <t>Phí dịch vụ tư vấn tháng 07/2025 HĐ số 103</t>
  </si>
  <si>
    <t>Phí dịch vụ tư vấn tháng 08/2025 HĐ số 108</t>
  </si>
  <si>
    <t>0304998358</t>
  </si>
  <si>
    <t>Doanh thu Dịch vụ quảng cáo và truyền thông theo Hợp đồng số 01062025HDDVLUONGLEEEVENTTORRIDEN ký ngày 01/06/2025 và Biên bản nghiệm thu ký ngày 17/07/2025 HĐ số 1</t>
  </si>
  <si>
    <t>Doanh thu Dịch vụ quảng cáo và truyền thông cho nhãn hàng M.Asam theo Hợp đồng số 680708202502/HDDV/RV/KOL ký ngày 07/08/2025 và Biên bản nghiệm thu ký ngày 13/08/2025 HĐ số 2</t>
  </si>
  <si>
    <t>Điều chỉnh giảm Doanh thu Dịch vụ quảng cáo và truyền thông cho nhãn hàng M.Asam theo Hợp đồng số 680708202502/HDDV/RV/KOL ký ngày 07/08/2025 và Biên bản nghiệm thu ký ngày 13/08/2025 HĐ số 2</t>
  </si>
  <si>
    <t>0310524194</t>
  </si>
  <si>
    <t>Doanh thu Dịch vụ quảng cáo và truyền thông theo Hợp đồng số 070525/HDDV/RV/KOL ký ngày 05/07/2025 HĐ số 3</t>
  </si>
  <si>
    <t>Điều chỉnh giảm Doanh thu Dịch vụ quảng cáo và truyền thông theo Hợp đồng số 070525/HDDV/RV/KOL ký ngày 05/07/2025 HĐ số 3</t>
  </si>
  <si>
    <t>Doanh thu Dịch vụ quảng cáo và truyền thông theo Hợp đồng số 250818/HDDV/BRAINAD-LUONGLEE ký ngày 18/08/2025 và Biên bản nghiệm thu ký ngày 08/09/2025 HĐ số 4</t>
  </si>
  <si>
    <t>Điều chỉnh giảm Doanh thu Dịch vụ quảng cáo và truyền thông theo Hợp đồng số 250818/HDDV/BRAINAD-LUONGLEE ký ngày 18/08/2025 và Biên bản nghiệm thu ký ngày 08/09/2025 HĐ số 4</t>
  </si>
  <si>
    <t>Doanh thu Dịch vụ quảng cáo và truyền thông theo Hợp đồng số QC2508/2025/HĐQC/LPCOS - LƯƠNG LEE ký ngày 25/08/2025 kèm Biên bản nghiệm thu và thanh lý hợp đồng ký ngày 09/09/2025 HĐ số 5</t>
  </si>
  <si>
    <t>Điều chỉnh giảm Doanh thu Dịch vụ quảng cáo và truyền thông theo Hợp đồng số QC2508/2025/HĐQC/LPCOS - LƯƠNG LEE ký ngày 25/08/2025 kèm Biên bản nghiệm thu và thanh lý hợp đồng ký ngày 09/09/2025 HĐ số 5</t>
  </si>
  <si>
    <t>0314001942</t>
  </si>
  <si>
    <t>Doanh thu Dịch vụ quảng cáo và truyền thông theo Hợp đồng số 003/08-2025/HĐMKT - SB ký ngày 01/08/2025 HĐ số 6</t>
  </si>
  <si>
    <t>Điều chỉnh giảm Doanh thu Dịch vụ quảng cáo và truyền thông theo Hợp đồng số 003/08-2025/HĐMKT - SB ký ngày 01/08/2025 HĐ số 6</t>
  </si>
  <si>
    <t>Doanh thu Dịch vụ quảng cáo và truyền thông theo Hợp đồng số 1009.2025/HDDV/UPBASE-KEYSHU-LUONGLEE1404 ký ngày 10/09/2025 HĐ số 7</t>
  </si>
  <si>
    <t>Điều chỉnh giảm Doanh thu Dịch vụ quảng cáo và truyền thông theo Hợp đồng số 1009.2025/HDDV/UPBASE-KEYSHU-LUONGLEE1404 ký ngày 10/09/2025 HĐ số 7</t>
  </si>
  <si>
    <t>Doanh thu Dịch vụ quảng cáo và truyền thông theo Hợp đồng số HKD LUONGLEE_ GARNIER_TRI_ACID_01092025 ký ngày 01/09/2025 và Biên bản nghiệm thu ký ngày 22/09/2025 HĐ số 8</t>
  </si>
  <si>
    <t>Điều chỉnh giảm Doanh thu Dịch vụ quảng cáo và truyền thông theo Hợp đồng số HKD LUONGLEE_ GARNIER_TRI_ACID_01092025 ký ngày 01/09/2025 và Biên bản nghiệm thu ký ngày 22/09/2025 HĐ số 8</t>
  </si>
  <si>
    <t>Doanh thu Dịch vụ quảng cáo và truyền thông theo Hợp đồng số 17092025/HDDV/ZAKKA- LƯƠNGLEE ký ngày 17/09/2025 và Biên bản nghiệm thu ký ngày 25/09/2025 HĐ số 9</t>
  </si>
  <si>
    <t>Điều chỉnh giảm Doanh thu Dịch vụ quảng cáo và truyền thông theo Hợp đồng số 17092025/HDDV/ZAKKA- LƯƠNGLEE ký ngày 17/09/2025 và Biên bản nghiệm thu ký ngày 25/09/2025 HĐ số 9</t>
  </si>
  <si>
    <t>Phí dịch vụ tư vấn tháng 07/2025 HĐ số 91</t>
  </si>
  <si>
    <t>Phí dịch vụ tư vấn tháng 08/2025 HĐ số 125</t>
  </si>
  <si>
    <t>Doanh thu Dịch vụ quảng cáo và truyền thông theo Hợp đồng số 01062025HDDVPUMETBAYEVENTTORRIDEN ký ngày 01/06/2025 và Biên bản nghiệm thu ký ngày 18/07/2025 HĐ số 22</t>
  </si>
  <si>
    <t>0318793255</t>
  </si>
  <si>
    <t>Doanh thu Dịch vụ quảng cáo và truyền thông theo Hợp đồng số HD0206/2025/HDDV/PMB-BK ký ngày 02/06/2025 và Biên bản nghiệm thu ký ngày 18/07/2025 HĐ số 23</t>
  </si>
  <si>
    <t>3502384588</t>
  </si>
  <si>
    <t>Doanh thu Dịch vụ quảng cáo và truyền thông theo Hợp đồng số PAP-KOLPUMETBAY/SLIMD3/2105 ký ngày 21/05/2025 và Biên bản nghiệm thu ký ngày 22/07/2025 HĐ số 24</t>
  </si>
  <si>
    <t>Doanh thu Dịch vụ quảng cáo và truyền thông theo Hợp đồng số HKD PUMETBAY_GARNIER_01082025 ký ngày 01/08/2025 và Biên bản nghiệm thu ký ngày 19/08/2025 HĐ số 25</t>
  </si>
  <si>
    <t>Điều chỉnh giảm Doanh thu Dịch vụ quảng cáo và truyền thông theo Hợp đồng số HKD PUMETBAY_GARNIER_01082025 ký ngày 01/08/2025 và Biên bản nghiệm thu ký ngày 19/08/2025 HĐ số 25</t>
  </si>
  <si>
    <t>Doanh thu Dịch vụ quảng cáo và truyền thông theo Hợp đồng số HD0307/2025/HDDV/PMB-BK ký ngày 03/07/2025 và Biên bản nghiệm thu ký ngày 19/08/2025 HĐ số 26</t>
  </si>
  <si>
    <t>Điều chỉnh giảm Doanh thu Dịch vụ quảng cáo và truyền thông theo Hợp đồng số HD0307/2025/HDDV/PMB-BK ký ngày 03/07/2025 và Biên bản nghiệm thu ký ngày 19/08/2025 HĐ số 26</t>
  </si>
  <si>
    <t>0315792976</t>
  </si>
  <si>
    <t>Doanh thu Dịch vụ quảng cáo và truyền thông theo Hợp đồng số 20250811/NEWFACExPUMETBAY ký ngày 11/08/2025 và Biên bản nghiệm thu ký ngày 22/08/2025 HĐ số 27</t>
  </si>
  <si>
    <t>Điều chỉnh giảm Doanh thu Dịch vụ quảng cáo và truyền thông theo Hợp đồng số 20250811/NEWFACExPUMETBAY ký ngày 11/08/2025 và Biên bản nghiệm thu ký ngày 22/08/2025 HĐ số 27</t>
  </si>
  <si>
    <t>Doanh thu Dịch vụ quảng cáo và truyền thông theo Hợp đồng số PAP-KOLPUMETBAY/Q7B7/2407 ký ngày 24/07/2025 HĐ số 28</t>
  </si>
  <si>
    <t>Điều chỉnh giảm Doanh thu Dịch vụ quảng cáo và truyền thông theo Hợp đồng số PAP-KOLPUMETBAY/Q7B7/2407 ký ngày 24/07/2025 HĐ số 28</t>
  </si>
  <si>
    <t>Doanh thu Dịch vụ quảng cáo và truyền thông theo Hợp đồng số HD0408/2025/HDDV/PMB-BK ký ngày 04/08/2025 và Biên bản nghiệm thu ký ngày 11/09/2025 HĐ số 1</t>
  </si>
  <si>
    <t>Điều chỉnh giảm Doanh thu Dịch vụ quảng cáo và truyền thông theo Hợp đồng số HD0408/2025/HDDV/PMB-BK ký ngày 04/08/2025 và Biên bản nghiệm thu ký ngày 11/09/2025 HĐ số 1</t>
  </si>
  <si>
    <t>Doanh thu Dịch vụ quảng cáo và truyền thông theo Hợp đồng số HD01102024/d’Alba_BAASIACONSULTING_its.pupham ký ngày 20/09/2025 và Biên bản nghiệm thu ký ngày 29/09/2025 HĐ số 2</t>
  </si>
  <si>
    <t>Điều chỉnh giảm Doanh thu Dịch vụ quảng cáo và truyền thông theo Hợp đồng số HD01102024/d’Alba_BAASIACONSULTING_its.pupham ký ngày 20/09/2025 và Biên bản nghiệm thu ký ngày 29/09/2025 HĐ số 2</t>
  </si>
  <si>
    <t>Phí dịch vụ tư vấn tháng 05/2025 HĐ số 83</t>
  </si>
  <si>
    <t>09/07/2025</t>
  </si>
  <si>
    <t>Phí dịch vụ tư vấn tháng 06/2025 HĐ số 101</t>
  </si>
  <si>
    <t>0311936673-001</t>
  </si>
  <si>
    <t>0313861247</t>
  </si>
  <si>
    <t>Doanh thu Dịch vụ quảng cáo và truyền thông theo Hợp đồng số 03-2206/2025/TTS/TRANGTRAN/WIPRO ký ngày 03/06/2025 và Biên bản nghiệm thu ký ngày 18/07/2025 HĐ số 1</t>
  </si>
  <si>
    <t>Điều chỉnh giảm Doanh thu Dịch vụ quảng cáo và truyền thông theo Hợp đồng số 03-2206/2025/TTS/TRANGTRAN/WIPRO ký ngày 03/06/2025 và Biên bản nghiệm thu ký ngày 18/07/2025 HĐ số 1</t>
  </si>
  <si>
    <t>Doanh thu Dịch vụ quảng cáo và truyền thông theo Hợp đồng số 20250702/LIVESTREAM/UNICORN&amp;SUNPLAY-TRANGTRANOFFICIAL ký ngày 02/07/2025 và Biên bản nghiệm thu ký ngày 01/08/2025 HĐ số 2</t>
  </si>
  <si>
    <t>Điều chỉnh giảm Doanh thu Dịch vụ quảng cáo và truyền thông theo Hợp đồng số 20250702/LIVESTREAM/UNICORN&amp;SUNPLAY-TRANGTRANOFFICIAL ký ngày 02/07/2025 và Biên bản nghiệm thu ký ngày 01/08/2025 HĐ số 2</t>
  </si>
  <si>
    <t>Doanh thu Phí dịch vụ quảng cáo theo Hợp đồng dịch vụ số MDA/20250725/979 ngày 15/07/2025 và Biên bản nghiệm thu và thanh lý ngày 05/08/2025 HĐ số 3</t>
  </si>
  <si>
    <t>Điều chỉnh giảm Doanh thu Phí dịch vụ quảng cáo theo Hợp đồng dịch vụ số MDA/20250725/979 ngày 15/07/2025 và Biên bản nghiệm thu và thanh lý ngày 05/08/2025 HĐ số 3</t>
  </si>
  <si>
    <t>Doanh thu Dịch vụ quảng cáo và truyền thông theo Đơn đặt hàng số 120825 ký ngày 12/08/2025 và Biên bản nghiệm thu ký ngày 15/08/2025 HĐ số 4</t>
  </si>
  <si>
    <t>Điều chỉnh giảm Doanh thu Dịch vụ quảng cáo và truyền thông theo Đơn đặt hàng số 120825 ký ngày 12/08/2025 và Biên bản nghiệm thu ký ngày 15/08/2025 HĐ số 4</t>
  </si>
  <si>
    <t>Doanh thu Dịch vụ quảng cáo và truyền thông theo Hợp đồng số 0207/HKDTRANGTRAN-LAVA/NEU/2025 ký ngày 02/07/2025 và Biên bản nghiệm thu ký ngày 15/08/2025 HĐ số 5</t>
  </si>
  <si>
    <t>Điều chỉnh giảm Doanh thu Dịch vụ quảng cáo và truyền thông theo Hợp đồng số 0207/HKDTRANGTRAN-LAVA/NEU/2025 ký ngày 02/07/2025 và Biên bản nghiệm thu ký ngày 15/08/2025 HĐ số 5</t>
  </si>
  <si>
    <t>Doanh thu Dịch vụ quảng cáo và truyền thông theo Hợp đồng số 2007/2025/TTS/TRANGTRAN/CETAPHILký ngày 20/07/2025 và Biên bản nghiệm thu ký ngày 26/08/2025 HĐ số 6</t>
  </si>
  <si>
    <t>Điều chỉnh giảm Doanh thu Dịch vụ quảng cáo và truyền thông theo Hợp đồng số 2007/2025/TTS/TRANGTRAN/CETAPHILký ngày 20/07/2025 và Biên bản nghiệm thu ký ngày 26/08/2025 HĐ số 6</t>
  </si>
  <si>
    <t>Doanh thu Dịch vụ quảng cáo và truyền thông theo Hợp đồng số 0307/HDDV/UPBASE-KEYSHU-TRANGTRANKOC/2025 ký ngày 03/07/2025 HĐ số 7</t>
  </si>
  <si>
    <t>Điều chỉnh giảm Doanh thu Dịch vụ quảng cáo và truyền thông theo Hợp đồng số 0307/HDDV/UPBASE-KEYSHU-TRANGTRANKOC/2025 ký ngày 03/07/2025 HĐ số 7</t>
  </si>
  <si>
    <t>Doanh thu Dịch vụ quảng cáo và truyền thông theo Hợp đồng số 2808/2025/TTS/TRANGTRAN/WIPRO ký ngày 28/08/2025 và Biên bản nghiệm thu ký ngày 09/09/2025 HĐ số 8</t>
  </si>
  <si>
    <t>Điều chỉnh giảm Doanh thu Dịch vụ quảng cáo và truyền thông theo Hợp đồng số 2808/2025/TTS/TRANGTRAN/WIPRO ký ngày 28/08/2025 và Biên bản nghiệm thu ký ngày 09/09/2025 HĐ số 8</t>
  </si>
  <si>
    <t>Doanh thu Dịch vụ quảng cáo và truyền thông theo Hợp đồng số 20250801/LIVESTREAM/UNICORN&amp;ROHTO-TRANGTRANOFFICIAL ký ngày 01/08/2025 và Biên bản nghiệm thu ký ngày 11/09/2025 HĐ số 9</t>
  </si>
  <si>
    <t>Điều chỉnh giảm Doanh thu Dịch vụ quảng cáo và truyền thông theo Hợp đồng số 20250801/LIVESTREAM/UNICORN&amp;ROHTO-TRANGTRANOFFICIAL ký ngày 01/08/2025 và Biên bản nghiệm thu ký ngày 11/09/2025 HĐ số 9</t>
  </si>
  <si>
    <t>Doanh thu Dịch vụ quảng cáo và truyền thông theo Hợp đồng số 16082025/trangtrankoc- INTOYOU ký ngày 13/08/2025 và Biên bản nghiệm thu ký ngày 16/09/2025 HĐ số 10</t>
  </si>
  <si>
    <t>Điều chỉnh giảm Doanh thu Dịch vụ quảng cáo và truyền thông theo Hợp đồng số 16082025/trangtrankoc- INTOYOU ký ngày 13/08/2025 và Biên bản nghiệm thu ký ngày 16/09/2025 HĐ số 10</t>
  </si>
  <si>
    <t>Doanh thu Phí dịch vụ quảng cáo theo Hợp đồng dịch vụ số MDA/20250903/1533 ngày 18/08/2025 và Biên bản nghiệm thu và thanh lý ngày 16/09/2025 HĐ số 11</t>
  </si>
  <si>
    <t>Điều chỉnh giảm Doanh thu Phí dịch vụ quảng cáo theo Hợp đồng dịch vụ số MDA/20250903/1533 ngày 18/08/2025 và Biên bản nghiệm thu và thanh lý ngày 16/09/2025 HĐ số 11</t>
  </si>
  <si>
    <t>Doanh thu Dịch vụ quảng cáo và truyền thông theo Hợp đồng số 20250901/LIVESTREAM/UNICORN&amp;ROHTO-TRANGTRANOFFICIAL ký ngày 01/09/2025 và Biên bản nghiệm thu ký ngày 22/09/2025 HĐ số 12</t>
  </si>
  <si>
    <t>Điều chỉnh giảm Doanh thu Dịch vụ quảng cáo và truyền thông theo Hợp đồng số 20250901/LIVESTREAM/UNICORN&amp;ROHTO-TRANGTRANOFFICIAL ký ngày 01/09/2025 và Biên bản nghiệm thu ký ngày 22/09/2025 HĐ số 12</t>
  </si>
  <si>
    <t>0305089147</t>
  </si>
  <si>
    <t>Phí dịch vụ tư vấn tháng 06/2025 HĐ số 79</t>
  </si>
  <si>
    <t>0101778163</t>
  </si>
  <si>
    <t>0110013883</t>
  </si>
  <si>
    <t>Phí dịch vụ tư vấn tháng 07/2025 HĐ số 98</t>
  </si>
  <si>
    <t>0109065051</t>
  </si>
  <si>
    <t>Phí dịch vụ tư vấn tháng 08/2025 HĐ số 116</t>
  </si>
  <si>
    <t>0108677693</t>
  </si>
  <si>
    <t>Dịch vụ phần mềm hỗ trợ khai thác, cài đặt, tích hợp và sử dụng Giải pháp nền tảng Số liệu Thương mại điện tử HĐ số 767</t>
  </si>
  <si>
    <t>079302004855</t>
  </si>
  <si>
    <t>079098009021</t>
  </si>
  <si>
    <t>014198000033</t>
  </si>
  <si>
    <t>052300008705</t>
  </si>
  <si>
    <t>Doanh thu Dịch vụ quảng cáo và truyền thông theo Hợp đồng số 016/09-2025/HĐMKT - SG ký ngày 09/09/2025 HĐ số 1</t>
  </si>
  <si>
    <t>Điều chỉnh giảm Doanh thu Dịch vụ quảng cáo và truyền thông theo Hợp đồng số 016/09-2025/HĐMKT - SG ký ngày 09/09/2025 HĐ số 1</t>
  </si>
  <si>
    <t>Doanh thu Dịch vụ quảng cáo và truyền thông theo Hợp đồng số 20250919/ MEISHANG x HKDNGOCXUANNHI ký ngày 03/09/2025 và Biên bản nghiệm thu ký ngày 24/09/2025 HĐ số 2</t>
  </si>
  <si>
    <t>Điều chỉnh giảm Doanh thu Dịch vụ quảng cáo và truyền thông theo Hợp đồng số 20250919/ MEISHANG x HKDNGOCXUANNHI ký ngày 03/09/2025 và Biên bản nghiệm thu ký ngày 24/09/2025 HĐ số 2</t>
  </si>
  <si>
    <t>Doanh thu Dịch vụ quảng cáo và truyền thông theo Hợp đồng số MOK - xuannhilamgido - V - 2025 - 09/HĐHTKD ký ngày 19/09/2025 và Biên bản nghiệm thu ký ngày 25/09/2025 HĐ số 3</t>
  </si>
  <si>
    <t>Điều chỉnh giảm Doanh thu Dịch vụ quảng cáo và truyền thông theo Hợp đồng số MOK - xuannhilamgido - V - 2025 - 09/HĐHTKD ký ngày 19/09/2025 và Biên bản nghiệm thu ký ngày 25/09/2025 HĐ số 3</t>
  </si>
  <si>
    <t>Doanh thu Dịch vụ quảng cáo và truyền thông theo Hợp đồng số 2508/2025/HDDV-LEMONADE.XUANNHI ký ngày 25/08/2025 và Biên bản nghiệm thu ký ngày 25/09/2025 HĐ số 4</t>
  </si>
  <si>
    <t>Điều chỉnh giảm Doanh thu Dịch vụ quảng cáo và truyền thông theo Hợp đồng số 2508/2025/HDDV-LEMONADE.XUANNHI ký ngày 25/08/2025 và Biên bản nghiệm thu ký ngày 25/09/2025 HĐ số 4</t>
  </si>
  <si>
    <t>Doanh thu Dịch vụ quảng cáo và truyền thông theo Phụ lục yêu cầu số 01 ký ngày 15/09/2025 của Hợp đồng nguyên tắc số HD/01092025/WV-XUANNHILAMGIDO ký ngày 01/09/2025 và Biên bản nghiệm thu ký ngày 26/09/2025 HĐ số 5</t>
  </si>
  <si>
    <t>Điều chỉnh giảm Doanh thu Dịch vụ quảng cáo và truyền thông theo Phụ lục yêu cầu số 01 ký ngày 15/09/2025 của Hợp đồng nguyên tắc số HD/01092025/WV-XUANNHILAMGIDO ký ngày 01/09/2025 và Biên bản nghiệm thu ký ngày 26/09/2025 HĐ số 5</t>
  </si>
  <si>
    <t>0317271785</t>
  </si>
  <si>
    <t>Doanh thu Dịch vụ quảng cáo và truyền thông theo Hợp đồng số 250825/HĐDV/APERIRE-XUANNHI ký ngày 25/08/2025 và Biên bản nghiệm thu ký ngày 26/09/2025 HĐ số 6</t>
  </si>
  <si>
    <t>Điều chỉnh giảm Doanh thu Dịch vụ quảng cáo và truyền thông theo Hợp đồng số 250825/HĐDV/APERIRE-XUANNHI ký ngày 25/08/2025 và Biên bản nghiệm thu ký ngày 26/09/2025 HĐ số 6</t>
  </si>
  <si>
    <t>Doanh thu Cung cấp dịch vụ quảng cáo đợt 1 theo hợp đồng số HĐ/1598/2025/VNNL ký ngày 05/09/2025 HĐ số 7</t>
  </si>
  <si>
    <t>Điều chỉnh giảm Doanh thu Cung cấp dịch vụ quảng cáo đợt 1 theo hợp đồng số HĐ/1598/2025/VNNL ký ngày 05/09/2025 HĐ số 7</t>
  </si>
  <si>
    <t>0318964648</t>
  </si>
  <si>
    <t>Phí thuê văn phòng từ ngày 25/08/2025 đến ngày 24/08/2026 HĐ số 30</t>
  </si>
  <si>
    <t>Phần mềm hóa đơn điện tử M-100 079302004855.matbao.in (1 năm) HĐ số 80714</t>
  </si>
  <si>
    <t>Lệ phí Chứng thư CKS Token-HKD-MBCA (1 năm), USB Token-DN/HKD-MBCA, Phí duy trì Chứng thư CKS Token-HKD-MBCA (1 năm) HĐ số 81936</t>
  </si>
  <si>
    <t>0318805574</t>
  </si>
  <si>
    <t>Doanh thu Dịch vụ quảng cáo và truyền thông theo Hợp đồng số 20250828/UNICORN x HAIDANGOFFICIAL ký ngày 28/08/2025 và Biên bản nghiệm thu ký ngày 25/09/2025 HĐ số 1</t>
  </si>
  <si>
    <t>Điều chỉnh giảm Doanh thu Dịch vụ quảng cáo và truyền thông theo Hợp đồng số 20250828/UNICORN x HAIDANGOFFICIAL ký ngày 28/08/2025 và Biên bản nghiệm thu ký ngày 25/09/2025 HĐ số 1</t>
  </si>
  <si>
    <t>3702704796</t>
  </si>
  <si>
    <t>Thu tiền 10% Dự án Khu Chung cư Hạnh Phúc (The Felix) theo HĐMB số: A.36.13/CHD_HĐMB ký ngày 06/08/2025 HĐ số 1639</t>
  </si>
  <si>
    <t>Thu tiền 10% Dự án Khu Chung cư Hạnh Phúc (The Felix) theo HĐMB số: A.36.13/CHD_HĐMB ký ngày 06/08/2025 HĐ số 2063</t>
  </si>
  <si>
    <t>Phần mềm hóa đơn điện tử M-100 079098009021.matbao.in (1 năm) HĐ số 80713</t>
  </si>
  <si>
    <t>0317601881</t>
  </si>
  <si>
    <t>Phí thuê văn phòng từ 29/08/2025 đến 28/08/2026 HĐ số 233</t>
  </si>
  <si>
    <t>Lệ phí Chứng thư CKS Token-HKD-MBCA (3 năm), USB Token-DN/HKD-MBCA, Phí duy trì Chứng thư CKS Token-HKD-MBCA (3 năm) HĐ số 81677</t>
  </si>
  <si>
    <t>0315304386</t>
  </si>
  <si>
    <t>3502358323</t>
  </si>
  <si>
    <t>0303779843-002</t>
  </si>
  <si>
    <t>Doanh thu Thanh toán theo Hợp đồng dịch vụ số HD01092025/D’ALBA_ASIACONSULTING_DOANVANANH ký ngày 01/09/2025 và Biên bản nghiệm thu ký ngày 24/09/2025 HĐ số 1</t>
  </si>
  <si>
    <t>Điều chỉnh giảm Doanh thu Thanh toán theo Hợp đồng dịch vụ số HD01092025/D’ALBA_ASIACONSULTING_DOANVANANH ký ngày 01/09/2025 và Biên bản nghiệm thu ký ngày 24/09/2025 HĐ số 1</t>
  </si>
  <si>
    <t>Doanh thu Thanh toán 100% phí dịch vụ GRN - KOC HUB Skin - Video - Scope 3 - 3009 SOW số 22015/2025/WPP-BTL-LO ID Tiktok: vanjinka HĐ số 2</t>
  </si>
  <si>
    <t>Doanh thu Dịch vụ quảng cáo và truyền thông theo Hợp đồng số 1709/2025/HDDV/WEI-DVA ký ngày 17/09/2025 và Biên bản nghiệm thu ký ngày 26/09/2025 HĐ số 3</t>
  </si>
  <si>
    <t>Điều chỉnh giảm Doanh thu Dịch vụ quảng cáo và truyền thông theo Hợp đồng số 1709/2025/HDDV/WEI-DVA ký ngày 17/09/2025 và Biên bản nghiệm thu ký ngày 26/09/2025 HĐ số 3</t>
  </si>
  <si>
    <t>0901096917</t>
  </si>
  <si>
    <t>Doanh thu Dịch vụ quảng cáo và truyền thông theo Hợp đống số 0509/HDDV/ PARISTREE - VANJINKA /2025 ký ngày 05/09/2025 và Biên bản nghiệm thu ký ngày 26/09/2025 HĐ số 4</t>
  </si>
  <si>
    <t>Điều chỉnh giảm Doanh thu Dịch vụ quảng cáo và truyền thông theo Hợp đống số 0509/HDDV/ PARISTREE - VANJINKA /2025 ký ngày 05/09/2025 và Biên bản nghiệm thu ký ngày 26/09/2025 HĐ số 4</t>
  </si>
  <si>
    <t>Doanh thu Thanh toán 100% phí dịch vụ OAP - KOC Hub Hair Sep Video - Scope 3 - 3009 SOW số 23989/2025/WPP-BTL-LO ID Tiktok: vanjinka HĐ số 5</t>
  </si>
  <si>
    <t>Doanh thu Thanh toán 100% phí dịch vụ GRN - KOC HUB Skin - Video - Scope 3 - 3009 - Add SOW số 22154/2025/WPP-BTL-LO ID Tiktok: vanjinka HĐ số 6</t>
  </si>
  <si>
    <t>Phí dịch vụ Affiliate 06/2025_17355060002 HĐ số 618160</t>
  </si>
  <si>
    <t>Phí dịch vụ Affiliate 07/2025_17355060002 HĐ số 1192270</t>
  </si>
  <si>
    <t>Phần mềm hóa đơn điện tử M-100 014198000033.matbao.in (1 năm) HĐ số 84148</t>
  </si>
  <si>
    <t>Lệ phí Chứng thư CKS Token-HKD-MBCA (3 năm), USB Token-DN/HKD-MBCA, Phí duy trì Chứng thư CKS Token-HKD-MBCA (3 năm) HĐ số 84339</t>
  </si>
  <si>
    <t>Phí dịch vụ Affiliate 08/2025_17355060002 HĐ số 1407024</t>
  </si>
  <si>
    <t>Tiền thuê văn phòng gói SAVE+ từ ngày 11/09/2025 đến hết ngày 04/09/2026 tại địa chỉ 38 Cộng Hoà, Phường Tân Sơn Nhất, Thành phố Hồ Chí Minh . Theo hợp đồng số 1025/VPA/38CH, Chiết khấu giảm 5% giá thuê HĐ số 387</t>
  </si>
  <si>
    <t>Phần mềm hóa đơn điện tử M-100 052300008705.matbao.in (1 năm) HĐ số 84780</t>
  </si>
  <si>
    <t>Lệ phí Chứng thư CKS Token-HKD-MBCA (1 năm), USB Token-DN/HKD-MBCA, Phí duy trì Chứng thư CKS Token-HKD-MBCA (1 năm) HĐ số 85172</t>
  </si>
  <si>
    <t>Không tìm thấy hóa đơn xuất</t>
  </si>
  <si>
    <t>Nhận Doanh thu Dịch vụ quảng cáo và truyền thông theo Hợp đống số 0509/HDDV/ PARISTREE - VANJINKA /2025 ký ngày 05/09/2025 và Biên bản nghiệm thu ký ngày 26/09/2025 HĐ số 4</t>
  </si>
  <si>
    <t>Thanh toán Phí dịch vụ Affiliate 06/2025_17355060002 HĐ số 618160</t>
  </si>
  <si>
    <t>Thanh toán Phí dịch vụ Affiliate 07/2025_17355060002 HĐ số 1192270</t>
  </si>
  <si>
    <t>Thanh toán Phần mềm hóa đơn điện tử M-100 014198000033.matbao.in (1 năm) HĐ số 84148</t>
  </si>
  <si>
    <t>Thanh toán Lệ phí Chứng thư CKS Token-HKD-MBCA (3 năm), USB Token-DN/HKD-MBCA, Phí duy trì Chứng thư CKS Token-HKD-MBCA (3 năm) HĐ số 84339</t>
  </si>
  <si>
    <t>Thanh toán Phí dịch vụ Affiliate 08/2025_17355060002 HĐ số 1407024</t>
  </si>
  <si>
    <t>Chi phí di chuyển, đi lại HĐ số 6033060</t>
  </si>
  <si>
    <t>Chi phí di chuyển, đi lại HĐ số 6573684</t>
  </si>
  <si>
    <t>Chi phí di chuyển, đi lại HĐ số 6799702</t>
  </si>
  <si>
    <t>Chi phí di chuyển, đi lại HĐ số 6811354</t>
  </si>
  <si>
    <t>Chi phí di chuyển, đi lại HĐ số 3248584</t>
  </si>
  <si>
    <t>Chi phí di chuyển, đi lại HĐ số 7012110</t>
  </si>
  <si>
    <t>Chi phí di chuyển, đi lại HĐ số 7044463</t>
  </si>
  <si>
    <t>Chi phí di chuyển, đi lại HĐ số 7121204</t>
  </si>
  <si>
    <t>Chi phí di chuyển, đi lại HĐ số 7230622</t>
  </si>
  <si>
    <t>Chi phí di chuyển, đi lại HĐ số 7422638</t>
  </si>
  <si>
    <t>Chi phí di chuyển, đi lại HĐ số 7433086</t>
  </si>
  <si>
    <t>Chi phí di chuyển, đi lại HĐ số 8283401</t>
  </si>
  <si>
    <t>Chi phí di chuyển, đi lại HĐ số 8301587</t>
  </si>
  <si>
    <t>Chi phí di chuyển, đi lại HĐ số 8338249</t>
  </si>
  <si>
    <t>Chi phí di chuyển, đi lại HĐ số 8347402</t>
  </si>
  <si>
    <t>Chi phí di chuyển, đi lại HĐ số 8377536</t>
  </si>
  <si>
    <t>Chi phí di chuyển, đi lại HĐ số 3932495</t>
  </si>
  <si>
    <t>Chi phí di chuyển, đi lại HĐ số 8473256</t>
  </si>
  <si>
    <t>Chi phí di chuyển, đi lại HĐ số 8528411</t>
  </si>
  <si>
    <t>Chi phí di chuyển, đi lại HĐ số 8530088</t>
  </si>
  <si>
    <t>Chi phí di chuyển, đi lại HĐ số 4044009</t>
  </si>
  <si>
    <t>Chi phí di chuyển, đi lại HĐ số 8780045</t>
  </si>
  <si>
    <t>Chi phí di chuyển, đi lại HĐ số 8790759</t>
  </si>
  <si>
    <t>Chi phí di chuyển, đi lại HĐ số 8823762</t>
  </si>
  <si>
    <t>Chi phí di chuyển, đi lại HĐ số 8856129</t>
  </si>
  <si>
    <t>Chi phí di chuyển, đi lại HĐ số 4108180</t>
  </si>
  <si>
    <t>Chi phí di chuyển, đi lại HĐ số 9396292</t>
  </si>
  <si>
    <t>Chi phí di chuyển, đi lại HĐ số 9422897</t>
  </si>
  <si>
    <t>Chi phí di chuyển, đi lại HĐ số 9611871</t>
  </si>
  <si>
    <t>Chi phí di chuyển, đi lại HĐ số 9648034</t>
  </si>
  <si>
    <t>Chi phí di chuyển, đi lại HĐ số 9673636</t>
  </si>
  <si>
    <t>Chi phí di chuyển, đi lại HĐ số 9685527</t>
  </si>
  <si>
    <t>Chi phí di chuyển, đi lại HĐ số 4714749</t>
  </si>
  <si>
    <t>Chi phí di chuyển, đi lại HĐ số 5253034</t>
  </si>
  <si>
    <t>Chi phí di chuyển, đi lại HĐ số 1053502</t>
  </si>
  <si>
    <t>Chi phí di chuyển, đi lại HĐ số 1060026</t>
  </si>
  <si>
    <t>Chi phí di chuyển, đi lại HĐ số 1265818</t>
  </si>
  <si>
    <t>Chi phí di chuyển, đi lại HĐ số 1399187</t>
  </si>
  <si>
    <t>Chi phí di chuyển, đi lại HĐ số 1409728</t>
  </si>
  <si>
    <t>Chi phí di chuyển, đi lại HĐ số 1531123</t>
  </si>
  <si>
    <t>Chi phí di chuyển, đi lại HĐ số 1579374</t>
  </si>
  <si>
    <t>Chi phí di chuyển, đi lại HĐ số 1587471</t>
  </si>
  <si>
    <t>Chi phí di chuyển, đi lại HĐ số 1720786</t>
  </si>
  <si>
    <t>Chi phí di chuyển, đi lại HĐ số 1723635</t>
  </si>
  <si>
    <t>Chi phí di chuyển, đi lại HĐ số 2285994</t>
  </si>
  <si>
    <t>Chi phí di chuyển, đi lại HĐ số 2288817</t>
  </si>
  <si>
    <t>Chi phí di chuyển, đi lại HĐ số 2688298</t>
  </si>
  <si>
    <t>Chi phí di chuyển, đi lại HĐ số 2693500</t>
  </si>
  <si>
    <t>Chi phí di chuyển, đi lại HĐ số 6514712</t>
  </si>
  <si>
    <t>Chi phí di chuyển, đi lại HĐ số 3108700</t>
  </si>
  <si>
    <t>Chi phí di chuyển, đi lại HĐ số 3155009</t>
  </si>
  <si>
    <t>Chi phí di chuyển, đi lại HĐ số 6427702</t>
  </si>
  <si>
    <t>Chi phí di chuyển, đi lại HĐ số 4005591</t>
  </si>
  <si>
    <t>Chi phí di chuyển, đi lại HĐ số 4049828</t>
  </si>
  <si>
    <t>Chi phí di chuyển, đi lại HĐ số 4139144</t>
  </si>
  <si>
    <t>Chi phí di chuyển, đi lại HĐ số 4152780</t>
  </si>
  <si>
    <t>Chi phí di chuyển, đi lại HĐ số 4317655</t>
  </si>
  <si>
    <t>Chi phí di chuyển, đi lại HĐ số 4319957</t>
  </si>
  <si>
    <t>Chi phí di chuyển, đi lại HĐ số 4756193</t>
  </si>
  <si>
    <t>Chi phí di chuyển, đi lại HĐ số 4760145</t>
  </si>
  <si>
    <t>Chi phí di chuyển, đi lại HĐ số 4997424</t>
  </si>
  <si>
    <t>Chi phí di chuyển, đi lại HĐ số 5054929</t>
  </si>
  <si>
    <t>Chi phí di chuyển, đi lại HĐ số 7187117</t>
  </si>
  <si>
    <t>Chi phí di chuyển, đi lại HĐ số 5199095</t>
  </si>
  <si>
    <t>Chi phí di chuyển, đi lại HĐ số 5204441</t>
  </si>
  <si>
    <t>Chi phí di chuyển, đi lại HĐ số 5229820</t>
  </si>
  <si>
    <t>Chi phí di chuyển, đi lại HĐ số 5236262</t>
  </si>
  <si>
    <t>Chi phí di chuyển, đi lại HĐ số 0488929</t>
  </si>
  <si>
    <t>Chi phí di chuyển, đi lại HĐ số 0535354</t>
  </si>
  <si>
    <t>Chi phí di chuyển, đi lại HĐ số 0735607</t>
  </si>
  <si>
    <t>Chi phí di chuyển, đi lại HĐ số 0770911</t>
  </si>
  <si>
    <t>Chi phí di chuyển, đi lại HĐ số 0415905</t>
  </si>
  <si>
    <t>Chi phí di chuyển, đi lại HĐ số 0416033</t>
  </si>
  <si>
    <t>Chi phí di chuyển, đi lại HĐ số 0947434</t>
  </si>
  <si>
    <t>Chi phí di chuyển, đi lại HĐ số 0977621</t>
  </si>
  <si>
    <t>Chi phí di chuyển, đi lại HĐ số 1141303</t>
  </si>
  <si>
    <t>Chi phí di chuyển, đi lại HĐ số 1170816</t>
  </si>
  <si>
    <t>Chi phí di chuyển, đi lại HĐ số 1338313</t>
  </si>
  <si>
    <t>Chi phí di chuyển, đi lại HĐ số 1487159</t>
  </si>
  <si>
    <t>Chi phí di chuyển, đi lại HĐ số 1619779</t>
  </si>
  <si>
    <t>Chi phí di chuyển, đi lại HĐ số 1751297</t>
  </si>
  <si>
    <t>Chi phí di chuyển, đi lại HĐ số 1843503</t>
  </si>
  <si>
    <t>Chi phí di chuyển, đi lại HĐ số 1889788</t>
  </si>
  <si>
    <t>Chi phí di chuyển, đi lại HĐ số 1896137</t>
  </si>
  <si>
    <t>Chi phí di chuyển, đi lại HĐ số 1963921</t>
  </si>
  <si>
    <t>Chi phí di chuyển, đi lại HĐ số 2064700</t>
  </si>
  <si>
    <t>Chi phí di chuyển, đi lại HĐ số 2894177</t>
  </si>
  <si>
    <t>Chi phí di chuyển, đi lại HĐ số 2837983</t>
  </si>
  <si>
    <t>Chi phí di chuyển, đi lại HĐ số 2857062</t>
  </si>
  <si>
    <t>Chi phí di chuyển, đi lại HĐ số 2864008</t>
  </si>
  <si>
    <t>Chi phí di chuyển, đi lại HĐ số 2870665</t>
  </si>
  <si>
    <t>Chi phí di chuyển, đi lại HĐ số 3047676</t>
  </si>
  <si>
    <t>Chi phí di chuyển, đi lại HĐ số 3275223</t>
  </si>
  <si>
    <t>Chi phí di chuyển, đi lại HĐ số 4912135</t>
  </si>
  <si>
    <t>Chi phí di chuyển, đi lại HĐ số 4915075</t>
  </si>
  <si>
    <t>Chi phí di chuyển, đi lại HĐ số 4919498</t>
  </si>
  <si>
    <t>Chi phí di chuyển, đi lại HĐ số 5050193</t>
  </si>
  <si>
    <t>Chi phí di chuyển, đi lại HĐ số 5084956</t>
  </si>
  <si>
    <t>Chi phí di chuyển, đi lại HĐ số 1962318</t>
  </si>
  <si>
    <t>Chi phí di chuyển, đi lại HĐ số 5510518</t>
  </si>
  <si>
    <t>Chi phí di chuyển, đi lại HĐ số 5537652</t>
  </si>
  <si>
    <t>Chi phí di chuyển, đi lại HĐ số 6436395</t>
  </si>
  <si>
    <t>Chi phí di chuyển, đi lại HĐ số 6715051</t>
  </si>
  <si>
    <t>Chi phí di chuyển, đi lại HĐ số 2600761</t>
  </si>
  <si>
    <t>Chi phí di chuyển, đi lại HĐ số 5591408</t>
  </si>
  <si>
    <t>Chi phí di chuyển, đi lại HĐ số 6835993</t>
  </si>
  <si>
    <t>Chi phí di chuyển, đi lại HĐ số 6836911</t>
  </si>
  <si>
    <t>Chi phí di chuyển, đi lại HĐ số 6838705</t>
  </si>
  <si>
    <t>Chi phí di chuyển, đi lại HĐ số 6841276</t>
  </si>
  <si>
    <t>Chi phí di chuyển, đi lại HĐ số 6841571</t>
  </si>
  <si>
    <t>Chi phí di chuyển, đi lại HĐ số 6843142</t>
  </si>
  <si>
    <t>Chi phí di chuyển, đi lại HĐ số 2705101</t>
  </si>
  <si>
    <t>Chi phí di chuyển, đi lại HĐ số 6998611</t>
  </si>
  <si>
    <t>Chi phí di chuyển, đi lại HĐ số 7015582</t>
  </si>
  <si>
    <t>Chi phí di chuyển, đi lại HĐ số 7041769</t>
  </si>
  <si>
    <t>Chi phí di chuyển, đi lại HĐ số 7055623</t>
  </si>
  <si>
    <t>Chi phí di chuyển, đi lại HĐ số 2713031</t>
  </si>
  <si>
    <t>Chi phí di chuyển, đi lại HĐ số 7904884</t>
  </si>
  <si>
    <t>Chi phí di chuyển, đi lại HĐ số 7916642</t>
  </si>
  <si>
    <t>Chi phí di chuyển, đi lại HĐ số 8166880</t>
  </si>
  <si>
    <t>Chi phí di chuyển, đi lại HĐ số 8182164</t>
  </si>
  <si>
    <t>Chi phí di chuyển, đi lại HĐ số 8698036</t>
  </si>
  <si>
    <t>Chi phí di chuyển, đi lại HĐ số 8699155</t>
  </si>
  <si>
    <t>Chi phí di chuyển, đi lại HĐ số 8860208</t>
  </si>
  <si>
    <t>Chi phí di chuyển, đi lại HĐ số 8861807</t>
  </si>
  <si>
    <t>Chi phí di chuyển, đi lại HĐ số 9692805</t>
  </si>
  <si>
    <t>Chi phí di chuyển, đi lại HĐ số 9726846</t>
  </si>
  <si>
    <t>Chi phí tiếp khách, ngoại giao HĐ số 400429</t>
  </si>
  <si>
    <t>Chi phí tiếp khách, ngoại giao HĐ số 16016</t>
  </si>
  <si>
    <t>Chi phí tiếp khách, ngoại giao HĐ số 8039</t>
  </si>
  <si>
    <t>Chi phí tiếp khách, ngoại giao HĐ số 13953</t>
  </si>
  <si>
    <t>Chi phí tiếp khách, ngoại giao HĐ số 2223</t>
  </si>
  <si>
    <t>Chi phí tiếp khách, ngoại giao HĐ số 342</t>
  </si>
  <si>
    <t>Chi phí tiếp khách, ngoại giao HĐ số 32021</t>
  </si>
  <si>
    <t>Chi phí tiếp khách, ngoại giao HĐ số 1037</t>
  </si>
  <si>
    <t>Chi phí tiếp khách, ngoại giao HĐ số 3910</t>
  </si>
  <si>
    <t>Chi phí đồ dùng văn phòng HĐ số 4348</t>
  </si>
  <si>
    <t>Chi phí đồ dùng văn phòng HĐ số 2631</t>
  </si>
  <si>
    <t>Chi phí đồ dùng văn phòng HĐ số 10351</t>
  </si>
  <si>
    <t>Chi phí đồ dùng văn phòng HĐ số 8111848</t>
  </si>
  <si>
    <t>Chi phí dịch vụ mua ngoài HĐ số 50563</t>
  </si>
  <si>
    <t>Chi phí di chuyển, đi lại HĐ số 18198</t>
  </si>
  <si>
    <t>Chi phí di chuyển, đi lại HĐ số 4360</t>
  </si>
  <si>
    <t>Chi phí dịch vụ mua ngoài HĐ số 51114</t>
  </si>
  <si>
    <t>Phí ngân hàng HĐ số 1651833</t>
  </si>
  <si>
    <t>Chi phí di chuyển, đi lại HĐ số 1393719</t>
  </si>
  <si>
    <t>Phí chuyển tiền HĐ số 1347392</t>
  </si>
  <si>
    <t>Phí chuyển tiền HĐ số 1595191</t>
  </si>
  <si>
    <t>Thanh toán Chi phí dịch vụ mua ngoài HĐ số 51114</t>
  </si>
  <si>
    <t>Thanh toán Phí dịch vụ tư vấn tháng 06/2025 HĐ số 77</t>
  </si>
  <si>
    <t>Thanh toán Phí dịch vụ tư vấn tháng 07/2025 HĐ số 86</t>
  </si>
  <si>
    <t>Thanh toán Chi phí di chuyển, đi lại HĐ số 6033060</t>
  </si>
  <si>
    <t>Thanh toán Chi phí di chuyển, đi lại HĐ số 6573684</t>
  </si>
  <si>
    <t>Thanh toán Chi phí di chuyển, đi lại HĐ số 6799702</t>
  </si>
  <si>
    <t>Thanh toán Chi phí di chuyển, đi lại HĐ số 6811354</t>
  </si>
  <si>
    <t>Thanh toán Chi phí di chuyển, đi lại HĐ số 3248584</t>
  </si>
  <si>
    <t>Thanh toán Chi phí di chuyển, đi lại HĐ số 7012110</t>
  </si>
  <si>
    <t>Thanh toán Chi phí di chuyển, đi lại HĐ số 7044463</t>
  </si>
  <si>
    <t>Thanh toán Chi phí di chuyển, đi lại HĐ số 7121204</t>
  </si>
  <si>
    <t>Thanh toán Phí ngân hàng HĐ số 1651833</t>
  </si>
  <si>
    <t>Thanh toán Chi phí di chuyển, đi lại HĐ số 7230622</t>
  </si>
  <si>
    <t>Thanh toán Chi phí di chuyển, đi lại HĐ số 7422638</t>
  </si>
  <si>
    <t>Thanh toán Chi phí di chuyển, đi lại HĐ số 7433086</t>
  </si>
  <si>
    <t>Thanh toán Chi phí di chuyển, đi lại HĐ số 8283401</t>
  </si>
  <si>
    <t>Thanh toán Chi phí di chuyển, đi lại HĐ số 8301587</t>
  </si>
  <si>
    <t>Thanh toán Chi phí di chuyển, đi lại HĐ số 8338249</t>
  </si>
  <si>
    <t>Thanh toán Chi phí di chuyển, đi lại HĐ số 8347402</t>
  </si>
  <si>
    <t>Thanh toán Chi phí di chuyển, đi lại HĐ số 8377536</t>
  </si>
  <si>
    <t>Thanh toán Chi phí di chuyển, đi lại HĐ số 3932495</t>
  </si>
  <si>
    <t>Thanh toán Chi phí di chuyển, đi lại HĐ số 8473256</t>
  </si>
  <si>
    <t>Thanh toán Chi phí di chuyển, đi lại HĐ số 8528411</t>
  </si>
  <si>
    <t>Thanh toán Chi phí di chuyển, đi lại HĐ số 8530088</t>
  </si>
  <si>
    <t>Thanh toán Chi phí di chuyển, đi lại HĐ số 4044009</t>
  </si>
  <si>
    <t>Thanh toán Chi phí di chuyển, đi lại HĐ số 8780045</t>
  </si>
  <si>
    <t>Thanh toán Chi phí di chuyển, đi lại HĐ số 8790759</t>
  </si>
  <si>
    <t>Thanh toán Chi phí di chuyển, đi lại HĐ số 8823762</t>
  </si>
  <si>
    <t>Thanh toán Chi phí di chuyển, đi lại HĐ số 8856129</t>
  </si>
  <si>
    <t>Thanh toán Chi phí di chuyển, đi lại HĐ số 4108180</t>
  </si>
  <si>
    <t>Thanh toán Chi phí di chuyển, đi lại HĐ số 9396292</t>
  </si>
  <si>
    <t>Thanh toán Chi phí di chuyển, đi lại HĐ số 9422897</t>
  </si>
  <si>
    <t>Thanh toán Chi phí di chuyển, đi lại HĐ số 9611871</t>
  </si>
  <si>
    <t>Thanh toán Chi phí di chuyển, đi lại HĐ số 9648034</t>
  </si>
  <si>
    <t>Thanh toán Chi phí di chuyển, đi lại HĐ số 9673636</t>
  </si>
  <si>
    <t>Thanh toán Chi phí di chuyển, đi lại HĐ số 9685527</t>
  </si>
  <si>
    <t>Thanh toán Chi phí di chuyển, đi lại HĐ số 1393719</t>
  </si>
  <si>
    <t>Thanh toán Chi phí di chuyển, đi lại HĐ số 4714749</t>
  </si>
  <si>
    <t>Thanh toán Chi phí di chuyển, đi lại HĐ số 5253034</t>
  </si>
  <si>
    <t>Thanh toán Chi phí di chuyển, đi lại HĐ số 1053502</t>
  </si>
  <si>
    <t>Thanh toán Chi phí di chuyển, đi lại HĐ số 1060026</t>
  </si>
  <si>
    <t>Thanh toán Chi phí di chuyển, đi lại HĐ số 1265818</t>
  </si>
  <si>
    <t>Thanh toán Chi phí di chuyển, đi lại HĐ số 1399187</t>
  </si>
  <si>
    <t>Thanh toán Chi phí di chuyển, đi lại HĐ số 1409728</t>
  </si>
  <si>
    <t>Thanh toán Chi phí di chuyển, đi lại HĐ số 1531123</t>
  </si>
  <si>
    <t>Thanh toán Chi phí di chuyển, đi lại HĐ số 1579374</t>
  </si>
  <si>
    <t>Thanh toán Chi phí di chuyển, đi lại HĐ số 1587471</t>
  </si>
  <si>
    <t>Thanh toán Chi phí di chuyển, đi lại HĐ số 1720786</t>
  </si>
  <si>
    <t>Thanh toán Chi phí di chuyển, đi lại HĐ số 1723635</t>
  </si>
  <si>
    <t>Thanh toán Chi phí di chuyển, đi lại HĐ số 2285994</t>
  </si>
  <si>
    <t>Thanh toán Chi phí di chuyển, đi lại HĐ số 2288817</t>
  </si>
  <si>
    <t>Thanh toán Chi phí di chuyển, đi lại HĐ số 2688298</t>
  </si>
  <si>
    <t>Thanh toán Chi phí di chuyển, đi lại HĐ số 2693500</t>
  </si>
  <si>
    <t>Thanh toán Chi phí di chuyển, đi lại HĐ số 6514712</t>
  </si>
  <si>
    <t>Thanh toán Chi phí đồ dùng văn phòng HĐ số 4348</t>
  </si>
  <si>
    <t>Thanh toán Chi phí đồ dùng văn phòng HĐ số 2631</t>
  </si>
  <si>
    <t>Thanh toán Chi phí tiếp khách, ngoại giao HĐ số 3910</t>
  </si>
  <si>
    <t>Thanh toán Chi phí tiếp khách, ngoại giao HĐ số 1037</t>
  </si>
  <si>
    <t>Thanh toán Chi phí tiếp khách, ngoại giao HĐ số 32021</t>
  </si>
  <si>
    <t>Thanh toán Chi phí đồ dùng văn phòng HĐ số 10351</t>
  </si>
  <si>
    <t>Thanh toán Phí dịch vụ tư vấn tháng 08/2025 HĐ số 112</t>
  </si>
  <si>
    <t>Thanh toán Chi phí di chuyển, đi lại HĐ số 3108700</t>
  </si>
  <si>
    <t>Thanh toán Chi phí di chuyển, đi lại HĐ số 3155009</t>
  </si>
  <si>
    <t>Thanh toán Chi phí di chuyển, đi lại HĐ số 6427702</t>
  </si>
  <si>
    <t>Thanh toán Chi phí di chuyển, đi lại HĐ số 4005591</t>
  </si>
  <si>
    <t>Thanh toán Chi phí di chuyển, đi lại HĐ số 4049828</t>
  </si>
  <si>
    <t>Thanh toán Chi phí di chuyển, đi lại HĐ số 4139144</t>
  </si>
  <si>
    <t>Thanh toán Chi phí di chuyển, đi lại HĐ số 4152780</t>
  </si>
  <si>
    <t>Thanh toán Chi phí di chuyển, đi lại HĐ số 4317655</t>
  </si>
  <si>
    <t>Thanh toán Chi phí di chuyển, đi lại HĐ số 4319957</t>
  </si>
  <si>
    <t>Thanh toán Chi phí di chuyển, đi lại HĐ số 4756193</t>
  </si>
  <si>
    <t>Thanh toán Chi phí di chuyển, đi lại HĐ số 4760145</t>
  </si>
  <si>
    <t>Thanh toán Chi phí di chuyển, đi lại HĐ số 4997424</t>
  </si>
  <si>
    <t>Thanh toán Chi phí di chuyển, đi lại HĐ số 5054929</t>
  </si>
  <si>
    <t>Thanh toán Chi phí di chuyển, đi lại HĐ số 7187117</t>
  </si>
  <si>
    <t>Thanh toán Chi phí di chuyển, đi lại HĐ số 5199095</t>
  </si>
  <si>
    <t>Thanh toán Chi phí di chuyển, đi lại HĐ số 5204441</t>
  </si>
  <si>
    <t>Thanh toán Chi phí di chuyển, đi lại HĐ số 5229820</t>
  </si>
  <si>
    <t>Thanh toán Chi phí di chuyển, đi lại HĐ số 5236262</t>
  </si>
  <si>
    <t>Thanh toán Chi phí đồ dùng văn phòng HĐ số 8111848</t>
  </si>
  <si>
    <t>Thanh toán Chi phí di chuyển, đi lại HĐ số 0488929</t>
  </si>
  <si>
    <t>Thanh toán Chi phí di chuyển, đi lại HĐ số 0535354</t>
  </si>
  <si>
    <t>Thanh toán Chi phí di chuyển, đi lại HĐ số 0735607</t>
  </si>
  <si>
    <t>Thanh toán Chi phí di chuyển, đi lại HĐ số 0770911</t>
  </si>
  <si>
    <t>Thanh toán Chi phí di chuyển, đi lại HĐ số 0415905</t>
  </si>
  <si>
    <t>Thanh toán Chi phí di chuyển, đi lại HĐ số 0416033</t>
  </si>
  <si>
    <t>Thanh toán Chi phí di chuyển, đi lại HĐ số 0947434</t>
  </si>
  <si>
    <t>Thanh toán Chi phí di chuyển, đi lại HĐ số 0977621</t>
  </si>
  <si>
    <t>Thanh toán Chi phí di chuyển, đi lại HĐ số 1141303</t>
  </si>
  <si>
    <t>Thanh toán Chi phí di chuyển, đi lại HĐ số 1170816</t>
  </si>
  <si>
    <t>Thanh toán Chi phí di chuyển, đi lại HĐ số 1338313</t>
  </si>
  <si>
    <t>Thanh toán Chi phí di chuyển, đi lại HĐ số 1487159</t>
  </si>
  <si>
    <t>Thanh toán Chi phí di chuyển, đi lại HĐ số 1619779</t>
  </si>
  <si>
    <t>Thanh toán Chi phí di chuyển, đi lại HĐ số 1751297</t>
  </si>
  <si>
    <t>Thanh toán Chi phí di chuyển, đi lại HĐ số 1843503</t>
  </si>
  <si>
    <t>Thanh toán Chi phí di chuyển, đi lại HĐ số 1889788</t>
  </si>
  <si>
    <t>Thanh toán Chi phí di chuyển, đi lại HĐ số 1896137</t>
  </si>
  <si>
    <t>Thanh toán Chi phí di chuyển, đi lại HĐ số 1963921</t>
  </si>
  <si>
    <t>Thanh toán Chi phí di chuyển, đi lại HĐ số 2064700</t>
  </si>
  <si>
    <t>Thanh toán Chi phí di chuyển, đi lại HĐ số 2894177</t>
  </si>
  <si>
    <t>Thanh toán Chi phí di chuyển, đi lại HĐ số 2837983</t>
  </si>
  <si>
    <t>Thanh toán Chi phí di chuyển, đi lại HĐ số 2857062</t>
  </si>
  <si>
    <t>Thanh toán Chi phí di chuyển, đi lại HĐ số 2864008</t>
  </si>
  <si>
    <t>Thanh toán Chi phí di chuyển, đi lại HĐ số 2870665</t>
  </si>
  <si>
    <t>Thanh toán Chi phí di chuyển, đi lại HĐ số 3047676</t>
  </si>
  <si>
    <t>Thanh toán Chi phí di chuyển, đi lại HĐ số 3275223</t>
  </si>
  <si>
    <t>Thanh toán Phí chuyển tiền HĐ số 1347392</t>
  </si>
  <si>
    <t>Thanh toán Chi phí di chuyển, đi lại HĐ số 4360</t>
  </si>
  <si>
    <t>Thanh toán Chi phí di chuyển, đi lại HĐ số 4912135</t>
  </si>
  <si>
    <t>Thanh toán Chi phí di chuyển, đi lại HĐ số 4915075</t>
  </si>
  <si>
    <t>Thanh toán Chi phí di chuyển, đi lại HĐ số 4919498</t>
  </si>
  <si>
    <t>Thanh toán Chi phí tiếp khách, ngoại giao HĐ số 342</t>
  </si>
  <si>
    <t>Thanh toán Chi phí tiếp khách, ngoại giao HĐ số 2223</t>
  </si>
  <si>
    <t>Thanh toán Chi phí tiếp khách, ngoại giao HĐ số 13953</t>
  </si>
  <si>
    <t>Thanh toán Chi phí dịch vụ mua ngoài HĐ số 50563</t>
  </si>
  <si>
    <t>Thanh toán Chi phí tiếp khách, ngoại giao HĐ số 8039</t>
  </si>
  <si>
    <t>Thanh toán Chi phí di chuyển, đi lại HĐ số 5050193</t>
  </si>
  <si>
    <t>Thanh toán Chi phí di chuyển, đi lại HĐ số 5084956</t>
  </si>
  <si>
    <t>Thanh toán Chi phí di chuyển, đi lại HĐ số 1962318</t>
  </si>
  <si>
    <t>Thanh toán Chi phí di chuyển, đi lại HĐ số 5510518</t>
  </si>
  <si>
    <t>Thanh toán Chi phí di chuyển, đi lại HĐ số 5537652</t>
  </si>
  <si>
    <t>Thanh toán Chi phí di chuyển, đi lại HĐ số 6436395</t>
  </si>
  <si>
    <t>Thanh toán Chi phí di chuyển, đi lại HĐ số 6715051</t>
  </si>
  <si>
    <t>Thanh toán Chi phí di chuyển, đi lại HĐ số 2600761</t>
  </si>
  <si>
    <t>Thanh toán Chi phí di chuyển, đi lại HĐ số 5591408</t>
  </si>
  <si>
    <t>Thanh toán Chi phí di chuyển, đi lại HĐ số 6835993</t>
  </si>
  <si>
    <t>Thanh toán Chi phí di chuyển, đi lại HĐ số 6836911</t>
  </si>
  <si>
    <t>Thanh toán Chi phí di chuyển, đi lại HĐ số 6838705</t>
  </si>
  <si>
    <t>Thanh toán Chi phí di chuyển, đi lại HĐ số 6841276</t>
  </si>
  <si>
    <t>Thanh toán Chi phí di chuyển, đi lại HĐ số 6841571</t>
  </si>
  <si>
    <t>Thanh toán Chi phí di chuyển, đi lại HĐ số 6843142</t>
  </si>
  <si>
    <t>Thanh toán Chi phí di chuyển, đi lại HĐ số 2705101</t>
  </si>
  <si>
    <t>Thanh toán Chi phí di chuyển, đi lại HĐ số 6998611</t>
  </si>
  <si>
    <t>Thanh toán Chi phí di chuyển, đi lại HĐ số 7015582</t>
  </si>
  <si>
    <t>Thanh toán Chi phí di chuyển, đi lại HĐ số 7041769</t>
  </si>
  <si>
    <t>Thanh toán Chi phí di chuyển, đi lại HĐ số 7055623</t>
  </si>
  <si>
    <t>Thanh toán Chi phí di chuyển, đi lại HĐ số 2713031</t>
  </si>
  <si>
    <t>Thanh toán Chi phí di chuyển, đi lại HĐ số 7904884</t>
  </si>
  <si>
    <t>Thanh toán Chi phí di chuyển, đi lại HĐ số 7916642</t>
  </si>
  <si>
    <t>Thanh toán Chi phí di chuyển, đi lại HĐ số 8166880</t>
  </si>
  <si>
    <t>Thanh toán Chi phí di chuyển, đi lại HĐ số 8182164</t>
  </si>
  <si>
    <t>Thanh toán Chi phí di chuyển, đi lại HĐ số 8698036</t>
  </si>
  <si>
    <t>Thanh toán Chi phí di chuyển, đi lại HĐ số 8699155</t>
  </si>
  <si>
    <t>Thanh toán Chi phí di chuyển, đi lại HĐ số 8860208</t>
  </si>
  <si>
    <t>Thanh toán Chi phí di chuyển, đi lại HĐ số 8861807</t>
  </si>
  <si>
    <t>Thanh toán Phí chuyển tiền HĐ số 1595191</t>
  </si>
  <si>
    <t>Thanh toán Chi phí di chuyển, đi lại HĐ số 9692805</t>
  </si>
  <si>
    <t>Thanh toán Chi phí di chuyển, đi lại HĐ số 9726846</t>
  </si>
  <si>
    <t>Thanh toán Chi phí tiếp khách, ngoại giao HĐ số 16016</t>
  </si>
  <si>
    <t>Thanh toán Chi phí di chuyển, đi lại HĐ số 18198</t>
  </si>
  <si>
    <t>Thanh toán Chi phí tiếp khách, ngoại giao HĐ số 400429</t>
  </si>
  <si>
    <t>Doanh thu hoa hồng liên kết</t>
  </si>
  <si>
    <t>Nhận Doanh thu hoa hồng liên kết</t>
  </si>
  <si>
    <t>Nộp chi phí bảo hiểm T8.2025</t>
  </si>
  <si>
    <t>Nhận Doanh thu Dịch vụ quảng cáo và truyền thông theo Hợp đồng số HĐ/750/2025/VNNL HĐ số 00000007</t>
  </si>
  <si>
    <t>Nhận Doanh thu Dịch vụ quảng cáo và truyền thông theo Hợp đồng số 01062025HDDVLUONGDOEVENTTORRIDEN ký ngày 01/06/2025 và Biên bản nghiệm thu ký ngày 23/07/2025 HĐ số 16</t>
  </si>
  <si>
    <t>Nhận Doanh thu Dịch vụ quảng cáo và truyền thông theo Hợp đồng số 01072025HDDVLUONGDOCELIMAX ký ngày 01/07/2025 và Biên bản nghiệm thu ký ngày 29/07/2025 HĐ số 21</t>
  </si>
  <si>
    <t>Nhận Doanh thu Cung cấp dịch vụ theo Hợp đồng số 21072025 /HDDV/VT-LUONGDO ký ngày 21/07/2025 HĐ số 20</t>
  </si>
  <si>
    <t>Nhận Doanh thu Thanh toán 100% phí dịch vụ OAP - Glyco Campaign P2 - PO4001432323 - Scope 3 - Video - 3007 SOW số 18432/2025/WPP-BTL-LO - ID Tiktok: im.lukedo HĐ số 23</t>
  </si>
  <si>
    <t>Nhận Doanh thu Thanh toán 100% phí dịch vụ OAP - Top UV Glyco - Video - Scope 3 - 3007 SOW số 16108/2025/WPP-BTL-LO - ID Tiktok: im.lukedo HĐ số 26</t>
  </si>
  <si>
    <t>0313875232</t>
  </si>
  <si>
    <t>Nhận Doanh thu Dịch vụ quảng cáo và truyền thông theo Hợp đồng số I05154C_HDDV/HIIP2025-12691 HĐ số 00000013</t>
  </si>
  <si>
    <t>Nhận Doanh thu Dịch vụ quảng cáo và truyền thông theo Phụ lục 03 ngày 01/06/2025 của Hợp đồng số SSPb/07102024/HDDV/MDA-HKDDTL ngày 07/10/2024 và Biên bản nghiệm thu dịch vụ ngày 24/07/2025 HĐ số 19</t>
  </si>
  <si>
    <t>Nhận Doanh thu Dịch vụ quảng cáo và truyền thông theo Phụ lục 04 ngày 10/06/2025 của Hợp đồng số SSPb/07102024/HDDV/MDA-HKDDTL ngày 07/10/2024 và Biên bản nghiệm thu dịch vụ ngày 24/07/2025 HĐ số 18</t>
  </si>
  <si>
    <t>Nhận Doanh thu Thanh toán 100% phí dịch vụ GRN - KOC Hub - Video - Scope 3 - 3006 SOW số 10800/2025/WPP-BTL-LO - ID Tiktok: im.lukedo HĐ số 27</t>
  </si>
  <si>
    <t>Nhận Doanh thu Thanh toán 100% phí dịch vụ OAP - Glyco - Video - Scope 3 - 3006 SOW số 10819/2025/WPP-BTL-LO - ID Tiktok: im.lukedo HĐ số 28</t>
  </si>
  <si>
    <t>Nhận Doanh thu Phí dịch vụ hợp đồng số 10182025/HĐDV/Y&amp;B ký ngày 01/07/2025 và Biên bản nghiệm thu số 10182025/BBNT-TT/Y&amp;B ký ngày 11/08/2025 HĐ số 29</t>
  </si>
  <si>
    <t>Nhận Doanh thu Dịch vụ quảng cáo và truyền thông theo Hợp đồng số 13052025/HĐDV-AHC-LUONGDO-BRANDLIVE1405 ký ngày 13/05/2025 và Biên bản nghiệm thu ký ngày 01/08/2025 HĐ số 24</t>
  </si>
  <si>
    <t>Nhận Doanh thu Dịch vụ quảng cáo và truyền thông theo Hợp đồng số 13052025/HĐDV-AHC-LUONGDO-BRANDLIVE1405 ký ngày 13/05/2025 và Biên bản nghiệm thu ký ngày 01/08/2025 HĐ số 25</t>
  </si>
  <si>
    <t>Nhận Doanh thu Phí dịch vụ quảng cáo theo Hợp đồng dịch vụ số MDA/20250723/935 ngày 01/07/2025 và Biên bản nghiệm thu và thanh lý ngày 31/07/2025 HĐ số 22</t>
  </si>
  <si>
    <t>Nhận Doanh thu Thanh toán 100% phí dịch vụ 3CE - KOC Hub Aug - Video - Scope 3 - 1008 SOW số 19696/2025/WPP-BTL-LO - ID Tiktok: im.lukedo HĐ số 34</t>
  </si>
  <si>
    <t>Nhận Doanh thu Dịch vụ quảng cáo và truyền thông theo Hợp đồng số ATV/Lương Đỗ/Curel - Launching Kem phan 2025/2025-HDDV-1232P ký ngày 01/03/2025 và Biên bản nghiệm thu ký ngày 19/08/2025 HĐ số 35</t>
  </si>
  <si>
    <t>Nhận Doanh thu Phí dịch vụ hợp đồng số 11722025/HĐDV/Y&amp;B ký ngày 01/08/2025 và Biên bản nghiệm thu số 11722025/BBNT-TT/Y&amp;B ký ngày 03/09/2025 HĐ số 38</t>
  </si>
  <si>
    <t>Nhận Doanh thu Dịch vụ quảng cáo và truyền thông theo Hợp đồng số 17072025/DST-LUONGDO ký ngày 01/07/2025 và Biên bản nghiệm thu ký ngày 23/07/2025 HĐ số 17</t>
  </si>
  <si>
    <t>Nhận Doanh thu Phí dịch vụ quảng cáo theo hợp đồng số HĐ/959/2025/VNNL ký ngày 06/06/2025 kèm biên bản nghiệm thu và thanh lý ký ngày 12/08/2025 HĐ số 32</t>
  </si>
  <si>
    <t>Nhận Doanh thu Phí dịch vụ quảng cáo theo hợp đồng số HĐ/956/2025/VNNL ký ngày 06/06/2025 kèm biên bản nghiệm thu và thanh lý ký ngày 12/08/2025 HĐ số 30</t>
  </si>
  <si>
    <t>Nhận Doanh thu Dịch vụ quảng cáo và truyền thông theo Hợp đồng số 1808KT/TTLAPO2025-HV ký ngày 18/08/2025 (Đợt 1) HĐ số 41</t>
  </si>
  <si>
    <t>Nhận Doanh thu Phí dịch vụ quảng cáo theo Hợp đồng dịch vụ số MDA/20250824/1398 ngày 10/08/2025 kèm Biên bản nghiệm thu và thanh lý ngày 27/08/2025 HĐ số 36</t>
  </si>
  <si>
    <t>Nhận Doanh thu Dịch vụ quảng cáo và truyền thông theo Hợp đồng dịch vụ khung ký ngày 26/07/2025, Phạm vi công việc số 01 ký ngày 26/07/2025 và Biên bản nghiệm thu ký ngày 08/09/2025 HĐ số 39</t>
  </si>
  <si>
    <t>Nhận Doanh thu Phí dịch vụ quảng cáo theo hợp đồng số HĐ/1372/2025/VNNL ký ngày 07/07/2025 kèm biên bản nghiệm thu và thanh lý ký ngày 10/09/2025 HĐ số 40</t>
  </si>
  <si>
    <t>Nhận Doanh thu Dịch vụ quảng cáo và truyền thông theo SOW số 9885/2025/WPP-BTL-LO HĐ số 00000011</t>
  </si>
  <si>
    <t>Nhận Doanh thu Dịch vụ quảng cáo và truyền thông theo SOW số 3401/2025/WPP-BTL-LO HĐ số 00000014</t>
  </si>
  <si>
    <t>5300138174-001</t>
  </si>
  <si>
    <t>Nộp Thuế GTGT, TNCN sàn TMĐT 06/2025</t>
  </si>
  <si>
    <t>Thuế GTGT, TNCN 2025/Q2</t>
  </si>
  <si>
    <t>Nộp Thuế GTGT, TNCN sàn TMĐT 07/2025</t>
  </si>
  <si>
    <t>Chi phí đồ dùng văn phòng HĐ số 58456</t>
  </si>
  <si>
    <t>Chi phí tiếp khách, ngoại giao HĐ số 1869</t>
  </si>
  <si>
    <t>Thanh toán Chi phí đồ dùng văn phòng HĐ số 58456</t>
  </si>
  <si>
    <t>Thanh toán Phí dịch vụ tư vấn tháng 06/2025 HĐ số 82</t>
  </si>
  <si>
    <t>Thanh toán Chi phí tiếp khách, ngoại giao HĐ số 1869</t>
  </si>
  <si>
    <t>Thanh toán Phí dịch vụ tư vấn tháng 07/2025 HĐ số 103</t>
  </si>
  <si>
    <t>Thanh toán Phí dịch vụ tư vấn tháng 08/2025 HĐ số 108</t>
  </si>
  <si>
    <t>Phí ngân hàng HĐ số 1132542</t>
  </si>
  <si>
    <t>Phí ngân hàng HĐ số 1384113</t>
  </si>
  <si>
    <t>Phí ngân hàng HĐ số 1384221</t>
  </si>
  <si>
    <t>Phí ngân hàng HĐ số 1132560</t>
  </si>
  <si>
    <t>Phí ngân hàng HĐ số 642401</t>
  </si>
  <si>
    <t>Phí ngân hàng HĐ số 7186882</t>
  </si>
  <si>
    <t>Thanh toán Phí dịch vụ tư vấn tháng 07/2025 HĐ số 91</t>
  </si>
  <si>
    <t>Thanh toán Phí ngân hàng HĐ số 1132542</t>
  </si>
  <si>
    <t>Thanh toán Phí ngân hàng HĐ số 1132560</t>
  </si>
  <si>
    <t>Thanh toán Phí dịch vụ tư vấn tháng 08/2025 HĐ số 125</t>
  </si>
  <si>
    <t>Thanh toán Phí ngân hàng HĐ số 1384113</t>
  </si>
  <si>
    <t>Thanh toán Phí ngân hàng HĐ số 1384221</t>
  </si>
  <si>
    <t>Thanh toán Phí ngân hàng HĐ số 7186882</t>
  </si>
  <si>
    <t>Thanh toán Phí ngân hàng HĐ số 642401</t>
  </si>
  <si>
    <t>Chi phí di chuyển, đi lại HĐ số 9003870</t>
  </si>
  <si>
    <t>Chi phí di chuyển, đi lại HĐ số 9012102</t>
  </si>
  <si>
    <t>Chi phí di chuyển, đi lại HĐ số 9100321</t>
  </si>
  <si>
    <t>Chi phí di chuyển, đi lại HĐ số 9315124</t>
  </si>
  <si>
    <t>Chi phí di chuyển, đi lại HĐ số 9402850</t>
  </si>
  <si>
    <t>Chi phí di chuyển, đi lại HĐ số 0148050</t>
  </si>
  <si>
    <t>Chi phí di chuyển, đi lại HĐ số 0240670</t>
  </si>
  <si>
    <t>Chi phí di chuyển, đi lại HĐ số 0931035</t>
  </si>
  <si>
    <t>Chi phí di chuyển, đi lại HĐ số 1265491</t>
  </si>
  <si>
    <t>Chi phí di chuyển, đi lại HĐ số 1296477</t>
  </si>
  <si>
    <t>Chi phí di chuyển, đi lại HĐ số 1573212</t>
  </si>
  <si>
    <t>Chi phí di chuyển, đi lại HĐ số 1729878</t>
  </si>
  <si>
    <t>Chi phí di chuyển, đi lại HĐ số 1766389</t>
  </si>
  <si>
    <t>Chi phí di chuyển, đi lại HĐ số 1832294</t>
  </si>
  <si>
    <t>Chi phí di chuyển, đi lại HĐ số 2477726</t>
  </si>
  <si>
    <t>Chi phí di chuyển, đi lại HĐ số 2610150</t>
  </si>
  <si>
    <t>Chi phí tiếp khách, ngoại giao HĐ số 3386</t>
  </si>
  <si>
    <t>Chi phí tiếp khách, ngoại giao HĐ số 2208579</t>
  </si>
  <si>
    <t>Chi phí tiếp khách, ngoại giao HĐ số 733848</t>
  </si>
  <si>
    <t>Chi phí tiếp khách, ngoại giao HĐ số 811707</t>
  </si>
  <si>
    <t>Chi phí tiếp khách, ngoại giao HĐ số 17174</t>
  </si>
  <si>
    <t>Chi phí tiếp khách, ngoại giao HĐ số 21595</t>
  </si>
  <si>
    <t>Chi phí tiếp khách, ngoại giao HĐ số 933969</t>
  </si>
  <si>
    <t>Chi phí đồ dùng văn phòng HĐ số 746080</t>
  </si>
  <si>
    <t>Chi phí đồ dùng văn phòng HĐ số 10857</t>
  </si>
  <si>
    <t>Thanh toán Phí dịch vụ tư vấn tháng 05/2025 HĐ số 83</t>
  </si>
  <si>
    <t>Thanh toán Chi phí di chuyển, đi lại HĐ số 9003870</t>
  </si>
  <si>
    <t>Thanh toán Chi phí di chuyển, đi lại HĐ số 9012102</t>
  </si>
  <si>
    <t>Thanh toán Chi phí di chuyển, đi lại HĐ số 9100321</t>
  </si>
  <si>
    <t>Thanh toán Chi phí di chuyển, đi lại HĐ số 9315124</t>
  </si>
  <si>
    <t>Thanh toán Chi phí di chuyển, đi lại HĐ số 9402850</t>
  </si>
  <si>
    <t>Thanh toán Chi phí di chuyển, đi lại HĐ số 0148050</t>
  </si>
  <si>
    <t>Thanh toán Chi phí di chuyển, đi lại HĐ số 0240670</t>
  </si>
  <si>
    <t>Thanh toán Chi phí di chuyển, đi lại HĐ số 0931035</t>
  </si>
  <si>
    <t>Thanh toán Chi phí di chuyển, đi lại HĐ số 1265491</t>
  </si>
  <si>
    <t>Thanh toán Chi phí di chuyển, đi lại HĐ số 1296477</t>
  </si>
  <si>
    <t>Thanh toán Chi phí di chuyển, đi lại HĐ số 1573212</t>
  </si>
  <si>
    <t>Thanh toán Chi phí di chuyển, đi lại HĐ số 1729878</t>
  </si>
  <si>
    <t>Thanh toán Chi phí di chuyển, đi lại HĐ số 1766389</t>
  </si>
  <si>
    <t>Thanh toán Chi phí tiếp khách, ngoại giao HĐ số 3386</t>
  </si>
  <si>
    <t>Thanh toán Chi phí di chuyển, đi lại HĐ số 1832294</t>
  </si>
  <si>
    <t>Thanh toán Chi phí tiếp khách, ngoại giao HĐ số 2208579</t>
  </si>
  <si>
    <t>Thanh toán Chi phí di chuyển, đi lại HĐ số 2477726</t>
  </si>
  <si>
    <t>Thanh toán Chi phí di chuyển, đi lại HĐ số 2610150</t>
  </si>
  <si>
    <t>Thanh toán Phí dịch vụ tư vấn tháng 06/2025 HĐ số 101</t>
  </si>
  <si>
    <t>Thanh toán Chi phí tiếp khách, ngoại giao HĐ số 733848</t>
  </si>
  <si>
    <t>Thanh toán Chi phí tiếp khách, ngoại giao HĐ số 811707</t>
  </si>
  <si>
    <t>Thanh toán Chi phí tiếp khách, ngoại giao HĐ số 17174</t>
  </si>
  <si>
    <t>Thanh toán Chi phí đồ dùng văn phòng HĐ số 746080</t>
  </si>
  <si>
    <t>Thanh toán Chi phí đồ dùng văn phòng HĐ số 10857</t>
  </si>
  <si>
    <t>Thanh toán Chi phí tiếp khách, ngoại giao HĐ số 21595</t>
  </si>
  <si>
    <t>Thanh toán Chi phí tiếp khách, ngoại giao HĐ số 933969</t>
  </si>
  <si>
    <t>Chi phí tiếp khách, ngoại giao HĐ số 799</t>
  </si>
  <si>
    <t>Chi phí tiếp khách, ngoại giao HĐ số 2030</t>
  </si>
  <si>
    <t>Chi phí tiếp khách, ngoại giao HĐ số 7171</t>
  </si>
  <si>
    <t>Chi phí di chuyển, đi lại HĐ số 0461078</t>
  </si>
  <si>
    <t>Chi phí di chuyển, đi lại HĐ số 1627841</t>
  </si>
  <si>
    <t>Chi phí di chuyển, đi lại HĐ số 3273819</t>
  </si>
  <si>
    <t>Chi phí mạng viễn thông HĐ số 2787379</t>
  </si>
  <si>
    <t>Chi phí mạng viễn thông HĐ số 3229993</t>
  </si>
  <si>
    <t>Chi phí mạng viễn thông HĐ số 3674042</t>
  </si>
  <si>
    <t>Chi phí di chuyển, đi lại HĐ số 33957968</t>
  </si>
  <si>
    <t>Chi phí di chuyển, đi lại HĐ số 33977836</t>
  </si>
  <si>
    <t>Chi phí di chuyển, đi lại HĐ số 34034501</t>
  </si>
  <si>
    <t>Chi phí di chuyển, đi lại HĐ số 34144105</t>
  </si>
  <si>
    <t>Chi phí di chuyển, đi lại HĐ số 34209127</t>
  </si>
  <si>
    <t>Chi phí di chuyển, đi lại HĐ số 36558494</t>
  </si>
  <si>
    <t>Chi phí di chuyển, đi lại HĐ số 36650765</t>
  </si>
  <si>
    <t>Chi phí di chuyển, đi lại HĐ số 36989090</t>
  </si>
  <si>
    <t>Chi phí tiếp khách, ngoại giao HĐ số 2371</t>
  </si>
  <si>
    <t>Thanh toán Phí thuê văn phòng từ ngày 25/08/2025 đến ngày 24/08/2026 HĐ số 30</t>
  </si>
  <si>
    <t>Thanh toán Phần mềm hóa đơn điện tử M-100 079302004855.matbao.in (1 năm) HĐ số 80714</t>
  </si>
  <si>
    <t>Thanh toán Lệ phí Chứng thư CKS Token-HKD-MBCA (1 năm), USB Token-DN/HKD-MBCA, Phí duy trì Chứng thư CKS Token-HKD-MBCA (1 năm) HĐ số 81936</t>
  </si>
  <si>
    <t>Thanh toán Chi phí di chuyển, đi lại HĐ số 33957968</t>
  </si>
  <si>
    <t>Thanh toán Chi phí di chuyển, đi lại HĐ số 33977836</t>
  </si>
  <si>
    <t>Thanh toán Chi phí di chuyển, đi lại HĐ số 34034501</t>
  </si>
  <si>
    <t>Thanh toán Chi phí di chuyển, đi lại HĐ số 34144105</t>
  </si>
  <si>
    <t>Thanh toán Chi phí di chuyển, đi lại HĐ số 34209127</t>
  </si>
  <si>
    <t>Thanh toán Chi phí di chuyển, đi lại HĐ số 36558494</t>
  </si>
  <si>
    <t>Thanh toán Chi phí di chuyển, đi lại HĐ số 36650765</t>
  </si>
  <si>
    <t>Thanh toán Chi phí di chuyển, đi lại HĐ số 36989090</t>
  </si>
  <si>
    <t>Thanh toán Chi phí tiếp khách, ngoại giao HĐ số 2371</t>
  </si>
  <si>
    <t>Thanh toán Phí dịch vụ tư vấn tháng 06/2025 HĐ số 79</t>
  </si>
  <si>
    <t>Thanh toán Chi phí mạng viễn thông HĐ số 2787379</t>
  </si>
  <si>
    <t>Thanh toán Chi phí tiếp khách, ngoại giao HĐ số 799</t>
  </si>
  <si>
    <t>Thanh toán Chi phí di chuyển, đi lại HĐ số 0461078</t>
  </si>
  <si>
    <t>Thanh toán Chi phí di chuyển, đi lại HĐ số 1627841</t>
  </si>
  <si>
    <t>Thanh toán Chi phí di chuyển, đi lại HĐ số 3273819</t>
  </si>
  <si>
    <t>Thanh toán Phí dịch vụ tư vấn tháng 07/2025 HĐ số 98</t>
  </si>
  <si>
    <t>Thanh toán Chi phí mạng viễn thông HĐ số 3229993</t>
  </si>
  <si>
    <t>Thanh toán Chi phí tiếp khách, ngoại giao HĐ số 2030</t>
  </si>
  <si>
    <t>Thanh toán Chi phí tiếp khách, ngoại giao HĐ số 7171</t>
  </si>
  <si>
    <t>Thanh toán Phí dịch vụ tư vấn tháng 08/2025 HĐ số 116</t>
  </si>
  <si>
    <t>Thanh toán Dịch vụ phần mềm hỗ trợ khai thác, cài đặt, tích hợp và sử dụng Giải pháp nền tảng Số liệu Thương mại điện tử HĐ số 767</t>
  </si>
  <si>
    <t>Thanh toán Chi phí mạng viễn thông HĐ số 3674042</t>
  </si>
  <si>
    <t>Thanh toán Tiền thuê văn phòng gói SAVE+ từ ngày 11/09/2025 đến hết ngày 04/09/2026 tại địa chỉ 38 Cộng Hoà, Phường Tân Sơn Nhất, Thành phố Hồ Chí Minh . Theo hợp đồng số 1025/VPA/38CH, Chiết khấu giảm 5% giá thuê HĐ số 387</t>
  </si>
  <si>
    <t>Thanh toán Phần mềm hóa đơn điện tử M-100 052300008705.matbao.in (1 năm) HĐ số 84780</t>
  </si>
  <si>
    <t>Thanh toán Lệ phí Chứng thư CKS Token-HKD-MBCA (1 năm), USB Token-DN/HKD-MBCA, Phí duy trì Chứng thư CKS Token-HKD-MBCA (1 năm) HĐ số 85172</t>
  </si>
  <si>
    <t>Chi phí đồ dùng văn phòng HĐ số 1117</t>
  </si>
  <si>
    <t>Chi phí di chuyển, đi lại HĐ số 28087</t>
  </si>
  <si>
    <t>Chi phí tiếp khách, ngoại giao HĐ số 2989147</t>
  </si>
  <si>
    <t>Chi phí tiếp khách, ngoại giao HĐ số 24681</t>
  </si>
  <si>
    <t>Chi phí tiếp khách, ngoại giao HĐ số 232</t>
  </si>
  <si>
    <t>Chi phí đồ dùng văn phòng HĐ số 877421</t>
  </si>
  <si>
    <t>Chi phí tiếp khách, ngoại giao HĐ số 404268</t>
  </si>
  <si>
    <t>Thanh toán Phần mềm hóa đơn điện tử M-100 079098009021.matbao.in (1 năm) HĐ số 80713</t>
  </si>
  <si>
    <t>Thanh toán Phí thuê văn phòng từ 29/08/2025 đến 28/08/2026 HĐ số 233</t>
  </si>
  <si>
    <t>Thanh toán Lệ phí Chứng thư CKS Token-HKD-MBCA (3 năm), USB Token-DN/HKD-MBCA, Phí duy trì Chứng thư CKS Token-HKD-MBCA (3 năm) HĐ số 81677</t>
  </si>
  <si>
    <t>Thanh toán Chi phí đồ dùng văn phòng HĐ số 1117</t>
  </si>
  <si>
    <t>Thanh toán Chi phí di chuyển, đi lại HĐ số 28087</t>
  </si>
  <si>
    <t>Thanh toán Chi phí tiếp khách, ngoại giao HĐ số 2989147</t>
  </si>
  <si>
    <t>Thanh toán Chi phí tiếp khách, ngoại giao HĐ số 24681</t>
  </si>
  <si>
    <t>Thanh toán Chi phí tiếp khách, ngoại giao HĐ số 232</t>
  </si>
  <si>
    <t>Thanh toán Chi phí đồ dùng văn phòng HĐ số 877421</t>
  </si>
  <si>
    <t>Thanh toán Chi phí tiếp khách, ngoại giao HĐ số 404268</t>
  </si>
  <si>
    <t>Nhận Doanh thu Dịch vụ quảng cáo và truyền thông theo Phụ lục yêu cầu số 01 ký ngày 15/09/2025 của Hợp đồng nguyên tắc số HD/01092025/WV-XUANNHILAMGIDO ký ngày 01/09/2025 và Biên bản nghiệm thu ký ngày 26/09/2025 HĐ số 5</t>
  </si>
  <si>
    <t>Nhận Doanh thu Cung cấp dịch vụ quảng cáo đợt 1 theo hợp đồng số HĐ/1598/2025/VNNL ký ngày 05/09/2025 HĐ số 7</t>
  </si>
  <si>
    <t>Nộp Chi phí bảo hiểm tháng 2025.08, 2025.09</t>
  </si>
  <si>
    <t>Nhận Doanh thu Dịch vụ quảng cáo và truyền thông theo Hợp đồng số 016/09-2025/HĐMKT - SG ký ngày 09/09/2025 HĐ số 1</t>
  </si>
  <si>
    <t>Nộp tiền mặt vào tài khoản ngân hàng</t>
  </si>
  <si>
    <t>Nộp Chi phí bảo hiểm xã hội tháng 2025.07</t>
  </si>
  <si>
    <t>Nhận Doanh thu Dịch vụ quảng cáo và truyền thông theo Hợp đồng số HD0206/2025/HDDV/PMB-BK ký ngày 02/06/2025 và Biên bản nghiệm thu ký ngày 18/07/2025 HĐ số 23</t>
  </si>
  <si>
    <t>Nhận Doanh thu Dịch vụ quảng cáo và truyền thông theo Hợp đồng số 01062025HDDVPUMETBAYEVENTTORRIDEN ký ngày 01/06/2025 và Biên bản nghiệm thu ký ngày 18/07/2025 HĐ số 22</t>
  </si>
  <si>
    <t>Nhận Doanh thu Dịch vụ quảng cáo và truyền thông theo Hợp đồng số PAP-KOLPUMETBAY/SLIMD3/2105 ký ngày 21/05/2025 và Biên bản nghiệm thu ký ngày 22/07/2025 HĐ số 24</t>
  </si>
  <si>
    <t>Nhận Doanh thu Dịch vụ quảng cáo và truyền thông theo Hợp đồng số HD0307/2025/HDDV/PMB-BK ký ngày 03/07/2025 và Biên bản nghiệm thu ký ngày 19/08/2025 HĐ số 26</t>
  </si>
  <si>
    <t>Nhận Doanh thu Dịch vụ quảng cáo và truyền thông theo Hợp đồng số 20250811/NEWFACExPUMETBAY ký ngày 11/08/2025 và Biên bản nghiệm thu ký ngày 22/08/2025 HĐ số 27</t>
  </si>
  <si>
    <t>Nhận Doanh thu Dịch vụ quảng cáo và truyền thông theo Hợp đồng số PAP-KOLPUMETBAY/Q7B7/2407 ký ngày 24/07/2025 HĐ số 28</t>
  </si>
  <si>
    <t>Nhận Doanh thu Dịch vụ quảng cáo và truyền thông theo Hợp đồng số HD0408/2025/HDDV/PMB-BK ký ngày 04/08/2025 và Biên bản nghiệm thu ký ngày 11/09/2025 HĐ số 1</t>
  </si>
  <si>
    <t>Nhận Doanh thu Dịch vụ quảng cáo và truyền thông theo Hợp đồng số HKD PUMETBAY_GARNIER_01082025 ký ngày 01/08/2025 và Biên bản nghiệm thu ký ngày 19/08/2025 HĐ số 25</t>
  </si>
  <si>
    <t>Nhận Doanh thu Doanh thu Dịch vụ quảng cáo và truyền thông Hợp đồng số HKD PUMETBAY_GARNIER INHUB_01042025 HĐ số 00000015</t>
  </si>
  <si>
    <t>Nộp Thuế GTGT, TNCN Q2/2025</t>
  </si>
  <si>
    <t>Thu nhập khác không xác định được chủ</t>
  </si>
  <si>
    <t>Nộp Chi phí BHXH tháng 2025.07</t>
  </si>
  <si>
    <t>Rút tiền mặt gửi tài khoản ngân hàng</t>
  </si>
  <si>
    <t>Nhận Doanh thu Dịch vụ quảng cáo và truyền thông theo Hợp đồng số 20250702/LIVESTREAM/UNICORN&amp;SUNPLAY-TRANGTRANOFFICIAL ký ngày 02/07/2025 và Biên bản nghiệm thu ký ngày 01/08/2025 HĐ số 2</t>
  </si>
  <si>
    <t>Nhận Doanh thu Dịch vụ quảng cáo và truyền thông theo Hợp đồng số 0307/HDDV/UPBASE-KEYSHU-TRANGTRANKOC/2025 ký ngày 03/07/2025 HĐ số 7</t>
  </si>
  <si>
    <t>Nhận Doanh thu Dịch vụ quảng cáo và truyền thông theo Đơn đặt hàng số 120825 ký ngày 12/08/2025 và Biên bản nghiệm thu ký ngày 15/08/2025 HĐ số 4</t>
  </si>
  <si>
    <t>Nhận Doanh thu Dịch vụ quảng cáo và truyền thông theo Hợp đồng số 20250801/LIVESTREAM/UNICORN&amp;ROHTO-TRANGTRANOFFICIAL ký ngày 01/08/2025 và Biên bản nghiệm thu ký ngày 11/09/2025 HĐ số 9</t>
  </si>
  <si>
    <t>Nhận Doanh thu Phí dịch vụ quảng cáo theo Hợp đồng dịch vụ số MDA/20250725/979 ngày 15/07/2025 và Biên bản nghiệm thu và thanh lý ngày 05/08/2025 HĐ số 3</t>
  </si>
  <si>
    <t>Nhận Doanh thu Phí dịch vụ quảng cáo theo Hợp đồng dịch vụ số MDA/20250903/1533 ngày 18/08/2025 và Biên bản nghiệm thu và thanh lý ngày 16/09/2025 HĐ số 11</t>
  </si>
  <si>
    <t>Nhận Doanh thu Dịch vụ quảng cáo và truyền thông theo Hợp đồng số 20250901/LIVESTREAM/UNICORN&amp;ROHTO-TRANGTRANOFFICIAL ký ngày 01/09/2025 và Biên bản nghiệm thu ký ngày 22/09/2025 HĐ số 12</t>
  </si>
  <si>
    <t>Nhận Doanh thu Dịch vụ quảng cáo và truyền thông theo Hợp đồng số 03-2206/2025/TTS/TRANGTRAN/WIPRO ký ngày 03/06/2025 và Biên bản nghiệm thu ký ngày 18/07/2025 HĐ số 1</t>
  </si>
  <si>
    <t>Nhận Doanh thu Dịch vụ quảng cáo và truyền thông theo Hợp đồng số 0207/HKDTRANGTRAN-LAVA/NEU/2025 ký ngày 02/07/2025 và Biên bản nghiệm thu ký ngày 15/08/2025 HĐ số 5</t>
  </si>
  <si>
    <t>Chi phí lương tháng 2025.07</t>
  </si>
  <si>
    <t>Chi phí lương tháng 2025.08</t>
  </si>
  <si>
    <t>Chi phí lương tháng 2025.09</t>
  </si>
  <si>
    <t>Thanh toán Chi phí lương tháng 2025.07</t>
  </si>
  <si>
    <t>Thanh toán Chi phí lương tháng 2025.08</t>
  </si>
  <si>
    <t>Thanh toán Chi phí lương tháng 2025.09</t>
  </si>
  <si>
    <t>Loại do cá nhân mua nhà, trả 10%</t>
  </si>
  <si>
    <t>Nhận Doanh thu Dịch vụ quảng cáo và truyền thông theo SOW số 10741/2025/WPP-BTL-LO HĐ số 00000003</t>
  </si>
  <si>
    <t>Nhận Doanh thu Dịch vụ tư vấn quản lý tháng 06/2025 theo Hợp đồng số 0506/2025/HĐ/KT-TWINSSKIN ký ngày 05/06/2025, Biên bản nghiệm thu và đối soát ký ngày 18/07/2025 HĐ số 5</t>
  </si>
  <si>
    <t>Nhận Doanh thu Dịch vụ tư vấn quản lý tháng 07/2025 theo Hợp đồng số 03/2025/HĐ/KT-GEMARI ký ngày 04/06/2025 HĐ số 7</t>
  </si>
  <si>
    <t>Nhận Doanh thu Dịch vụ quảng cáo và truyền thông theo Hợp đồng số 07072025/DST-HKDTAMTAITRI ký ngày 07/07/2025 (Đợt 1) HĐ số 6</t>
  </si>
  <si>
    <t>Nhận Doanh thu Phí dịch vụ hợp đồng số 9902025/HĐDV/Y&amp;B ký ngày 01/07/2025 và Biên bản nghiệm thu số 9902025/BBNT-TT/Y&amp;B ký ngày 23/07/2025 HĐ số 8</t>
  </si>
  <si>
    <t>Nhận Doanh thu Dịch vụ quảng cáo và truyền thông theo Hợp đồng số 07072025/DST-HKDTAMTAITRI ký ngày 07/07/2025 (Đợt 2) và Biên bản nghiệm thu ký ngày 25/07/2025 HĐ số 9</t>
  </si>
  <si>
    <t>Nhận Doanh thu Dịch vụ tư vấn quản lý tháng 07/2025 theo Hợp đồng số 0506/2025/HĐ/KT-HKDTTT ký ngày 05/06/2025 HĐ số 10</t>
  </si>
  <si>
    <t>Nhận Doanh thu Dịch vụ tư vấn phát triển thương hiệu theo hợp đồng số 07/2025/HĐ/KT-HKDTTT ký ngày 31/07/2025 (Đợt 1) HĐ số 11</t>
  </si>
  <si>
    <t>Nhận Doanh thu Dịch vụ tư vấn quản lý tháng 07/2025 theo Hợp đồng số 0506/2025/HĐ/KT-TWINSSKIN ký ngày 05/06/2025, Biên bản nghiệm thu và đối soát ký ngày 06/08/2025 HĐ số 13</t>
  </si>
  <si>
    <t>Nhận Doanh thu Dịch vụ tư vấn quản lý tháng 08/2025 theo Hợp đồng số 03/2025/HĐ/KT-GEMARI ký ngày 04/06/2025 HĐ số 15</t>
  </si>
  <si>
    <t>Nhận Doanh thu Dịch vụ tư vấn phát triển sản phẩm theo hợp đồng số 0107/2025/HĐ/KT-CLINICOS ký ngày 01/07/2025 HĐ số 14</t>
  </si>
  <si>
    <t>Nhận Doanh thu Dịch vụ tư vấn quản lý tháng 08/2025 theo Hợp đồng số 0506/2025/HĐ/KT-TWINSSKIN ký ngày 05/06/2025, Biên bản nghiệm thu và đối soát ký ngày 10/09/2025 HĐ số 18</t>
  </si>
  <si>
    <t>Nhận Doanh thu Phí dịch vụ hợp đồng số 11462025/HĐDV/Y&amp;B ký ngày 01/08/2025 và Biên bản nghiệm thu số 11462025/BBNT-TT/Y&amp;B ký ngày 08/09/2025 HĐ số 17</t>
  </si>
  <si>
    <t>Nhận Doanh thu Dịch vụ tư vấn quản lý tháng 09/2025 theo Hợp đồng số 03/2025/HĐ/KT-GEMARI ký ngày 04/06/2025 HĐ số 20</t>
  </si>
  <si>
    <t>Nhận tiền do khách chuyển sai nội dung</t>
  </si>
  <si>
    <t>Hoàn tiền do khách chuyển sai nội dung</t>
  </si>
  <si>
    <t>Nhận Doanh thu Dịch vụ tư vấn phát triển thương hiệu theo hợp đồng số 230825/2025/HĐ/KT-HKDTTT ký ngày 23/08/2025 (Đợt 1) HĐ số 23</t>
  </si>
  <si>
    <t>Nhận Doanh thu Dịch vụ sáng tạo nội dung, bài viết quảng cáo cho thương hiệu theo Hợp đồng số 270825/HĐTVMOCHA ký ngày 28/08/2025 (Đợt 1) HĐ số 19</t>
  </si>
  <si>
    <t>Nhận Doanh thu Dịch vụ tư vấn, quản lý chiến dịch truyền thông quảng bá sản phẩm theo Hợp đồng số 280825/HĐTVANVITAL ký ngày 28/08/2025 (Đợt 1) HĐ số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</si>
</sst>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\ _₫_-;\-* #,##0\ _₫_-;_-* &quot;-&quot;\ _₫_-;_-@_-"/>
    <numFmt numFmtId="165" formatCode="[$-1010000]d/m/yyyy;@"/>
  </numFmts>
  <fonts count="26" x14ac:knownFonts="1">
    <font>
      <sz val="11"/>
      <color theme="1"/>
      <name val="Calibri"/>
      <family val="2"/>
      <charset val="163"/>
      <scheme val="minor"/>
    </font>
    <font>
      <sz val="10"/>
      <name val="Arial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indexed="10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b/>
      <sz val="10"/>
      <color indexed="10"/>
      <name val="Times New Roman"/>
      <family val="1"/>
      <charset val="163"/>
    </font>
    <font>
      <b/>
      <sz val="10"/>
      <name val="Times New Roman"/>
      <family val="1"/>
      <charset val="163"/>
    </font>
    <font>
      <sz val="10"/>
      <color rgb="FF000000"/>
      <name val="Times New Roman"/>
      <family val="1"/>
      <charset val="163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  <charset val="163"/>
    </font>
    <font>
      <b/>
      <sz val="10"/>
      <color rgb="FF00000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1"/>
      <color theme="1"/>
      <name val="Aptos Narrow"/>
      <family val="2"/>
    </font>
    <font>
      <u/>
      <sz val="11"/>
      <color rgb="FF467886"/>
      <name val="Times New Roman"/>
      <family val="1"/>
      <charset val="163"/>
    </font>
    <font>
      <u/>
      <sz val="11"/>
      <color theme="10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198">
    <xf numFmtId="0" fontId="0" fillId="0" borderId="0" xfId="0"/>
    <xf numFmtId="0" fontId="4" fillId="0" borderId="7" xfId="0" applyFont="1" applyBorder="1"/>
    <xf numFmtId="0" fontId="5" fillId="0" borderId="0" xfId="0" applyFont="1"/>
    <xf numFmtId="0" fontId="2" fillId="0" borderId="4" xfId="0" applyFont="1" applyBorder="1" applyAlignment="1">
      <alignment horizontal="center" wrapText="1"/>
    </xf>
    <xf numFmtId="0" fontId="4" fillId="0" borderId="8" xfId="0" applyFont="1" applyBorder="1"/>
    <xf numFmtId="49" fontId="6" fillId="0" borderId="0" xfId="1" applyNumberFormat="1" applyFont="1" applyAlignment="1">
      <alignment horizontal="center" vertical="center" wrapText="1"/>
    </xf>
    <xf numFmtId="14" fontId="6" fillId="0" borderId="0" xfId="1" applyNumberFormat="1" applyFont="1" applyAlignment="1">
      <alignment horizontal="center" vertical="center" wrapText="1"/>
    </xf>
    <xf numFmtId="49" fontId="7" fillId="0" borderId="0" xfId="1" applyNumberFormat="1" applyFont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horizontal="right"/>
    </xf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horizontal="center" vertical="center" wrapText="1"/>
    </xf>
    <xf numFmtId="164" fontId="6" fillId="0" borderId="0" xfId="2" applyNumberFormat="1" applyFont="1" applyAlignment="1">
      <alignment horizontal="center" vertical="center" wrapText="1"/>
    </xf>
    <xf numFmtId="0" fontId="4" fillId="0" borderId="0" xfId="0" applyFont="1"/>
    <xf numFmtId="14" fontId="4" fillId="0" borderId="0" xfId="0" applyNumberFormat="1" applyFont="1"/>
    <xf numFmtId="49" fontId="4" fillId="0" borderId="0" xfId="0" applyNumberFormat="1" applyFont="1"/>
    <xf numFmtId="164" fontId="4" fillId="0" borderId="0" xfId="0" applyNumberFormat="1" applyFont="1" applyAlignment="1">
      <alignment horizontal="right" wrapText="1"/>
    </xf>
    <xf numFmtId="164" fontId="5" fillId="0" borderId="0" xfId="0" applyNumberFormat="1" applyFont="1"/>
    <xf numFmtId="49" fontId="5" fillId="0" borderId="0" xfId="0" applyNumberFormat="1" applyFont="1"/>
    <xf numFmtId="0" fontId="2" fillId="0" borderId="4" xfId="0" applyFont="1" applyBorder="1" applyAlignment="1">
      <alignment horizontal="center"/>
    </xf>
    <xf numFmtId="41" fontId="6" fillId="0" borderId="0" xfId="2" applyNumberFormat="1" applyFont="1" applyAlignment="1">
      <alignment horizontal="center" vertical="center" wrapText="1"/>
    </xf>
    <xf numFmtId="41" fontId="4" fillId="0" borderId="0" xfId="0" applyNumberFormat="1" applyFont="1"/>
    <xf numFmtId="0" fontId="4" fillId="0" borderId="0" xfId="0" applyFont="1" applyAlignment="1">
      <alignment vertical="center" wrapText="1"/>
    </xf>
    <xf numFmtId="0" fontId="10" fillId="0" borderId="7" xfId="0" applyFont="1" applyBorder="1"/>
    <xf numFmtId="0" fontId="10" fillId="0" borderId="0" xfId="0" applyFont="1"/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10" fillId="0" borderId="8" xfId="0" applyFont="1" applyBorder="1"/>
    <xf numFmtId="49" fontId="11" fillId="0" borderId="0" xfId="1" applyNumberFormat="1" applyFont="1" applyAlignment="1">
      <alignment horizontal="center" vertical="center" wrapText="1"/>
    </xf>
    <xf numFmtId="14" fontId="11" fillId="0" borderId="0" xfId="1" applyNumberFormat="1" applyFont="1" applyAlignment="1">
      <alignment horizontal="center" vertical="center" wrapText="1"/>
    </xf>
    <xf numFmtId="49" fontId="12" fillId="0" borderId="0" xfId="1" applyNumberFormat="1" applyFont="1" applyAlignment="1">
      <alignment horizontal="center" vertical="center" wrapText="1"/>
    </xf>
    <xf numFmtId="49" fontId="11" fillId="0" borderId="0" xfId="1" applyNumberFormat="1" applyFont="1" applyAlignment="1">
      <alignment horizontal="center" vertical="center"/>
    </xf>
    <xf numFmtId="49" fontId="11" fillId="0" borderId="0" xfId="1" applyNumberFormat="1" applyFont="1" applyAlignment="1">
      <alignment horizontal="right"/>
    </xf>
    <xf numFmtId="0" fontId="11" fillId="0" borderId="0" xfId="1" applyFont="1" applyAlignment="1">
      <alignment horizontal="center" vertical="center" wrapText="1"/>
    </xf>
    <xf numFmtId="3" fontId="11" fillId="0" borderId="0" xfId="1" applyNumberFormat="1" applyFont="1" applyAlignment="1">
      <alignment horizontal="center" vertical="center" wrapText="1"/>
    </xf>
    <xf numFmtId="164" fontId="11" fillId="0" borderId="0" xfId="2" applyNumberFormat="1" applyFont="1" applyAlignment="1">
      <alignment horizontal="center" vertical="center" wrapText="1"/>
    </xf>
    <xf numFmtId="14" fontId="10" fillId="0" borderId="0" xfId="0" applyNumberFormat="1" applyFont="1"/>
    <xf numFmtId="49" fontId="10" fillId="0" borderId="0" xfId="0" applyNumberFormat="1" applyFont="1"/>
    <xf numFmtId="164" fontId="10" fillId="0" borderId="0" xfId="0" applyNumberFormat="1" applyFont="1"/>
    <xf numFmtId="164" fontId="10" fillId="0" borderId="0" xfId="0" applyNumberFormat="1" applyFont="1" applyAlignment="1">
      <alignment horizontal="right" wrapText="1"/>
    </xf>
    <xf numFmtId="164" fontId="11" fillId="0" borderId="0" xfId="2" applyNumberFormat="1" applyFont="1" applyAlignment="1">
      <alignment horizontal="right" vertical="center" wrapText="1"/>
    </xf>
    <xf numFmtId="14" fontId="4" fillId="0" borderId="0" xfId="0" applyNumberFormat="1" applyFont="1" applyAlignment="1">
      <alignment horizontal="center"/>
    </xf>
    <xf numFmtId="0" fontId="13" fillId="0" borderId="0" xfId="0" applyFont="1"/>
    <xf numFmtId="14" fontId="13" fillId="0" borderId="0" xfId="0" applyNumberFormat="1" applyFont="1"/>
    <xf numFmtId="0" fontId="13" fillId="0" borderId="0" xfId="0" applyFont="1" applyAlignment="1">
      <alignment wrapText="1"/>
    </xf>
    <xf numFmtId="3" fontId="13" fillId="0" borderId="0" xfId="0" applyNumberFormat="1" applyFont="1" applyAlignment="1">
      <alignment wrapText="1"/>
    </xf>
    <xf numFmtId="0" fontId="14" fillId="0" borderId="0" xfId="0" applyFont="1"/>
    <xf numFmtId="14" fontId="14" fillId="0" borderId="0" xfId="0" applyNumberFormat="1" applyFont="1"/>
    <xf numFmtId="3" fontId="14" fillId="0" borderId="0" xfId="0" applyNumberFormat="1" applyFont="1"/>
    <xf numFmtId="0" fontId="13" fillId="0" borderId="10" xfId="0" applyFont="1" applyBorder="1"/>
    <xf numFmtId="0" fontId="8" fillId="0" borderId="11" xfId="0" applyFont="1" applyBorder="1"/>
    <xf numFmtId="0" fontId="8" fillId="0" borderId="11" xfId="0" applyFont="1" applyBorder="1" applyAlignment="1">
      <alignment wrapText="1"/>
    </xf>
    <xf numFmtId="0" fontId="8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8" fillId="0" borderId="0" xfId="0" applyFont="1"/>
    <xf numFmtId="0" fontId="14" fillId="0" borderId="10" xfId="0" applyFont="1" applyBorder="1"/>
    <xf numFmtId="0" fontId="2" fillId="0" borderId="11" xfId="0" applyFont="1" applyBorder="1"/>
    <xf numFmtId="0" fontId="2" fillId="0" borderId="11" xfId="0" applyFont="1" applyBorder="1" applyAlignment="1">
      <alignment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49" fontId="7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/>
    <xf numFmtId="41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horizontal="center" wrapText="1"/>
    </xf>
    <xf numFmtId="49" fontId="14" fillId="0" borderId="0" xfId="0" applyNumberFormat="1" applyFont="1"/>
    <xf numFmtId="41" fontId="14" fillId="0" borderId="0" xfId="0" applyNumberFormat="1" applyFont="1" applyAlignment="1">
      <alignment wrapText="1"/>
    </xf>
    <xf numFmtId="41" fontId="14" fillId="0" borderId="0" xfId="0" applyNumberFormat="1" applyFont="1"/>
    <xf numFmtId="49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49" fontId="19" fillId="0" borderId="0" xfId="0" applyNumberFormat="1" applyFont="1"/>
    <xf numFmtId="0" fontId="19" fillId="0" borderId="0" xfId="0" applyFont="1"/>
    <xf numFmtId="0" fontId="20" fillId="0" borderId="0" xfId="0" applyFont="1"/>
    <xf numFmtId="0" fontId="19" fillId="0" borderId="0" xfId="0" quotePrefix="1" applyFont="1"/>
    <xf numFmtId="49" fontId="20" fillId="0" borderId="0" xfId="0" applyNumberFormat="1" applyFont="1"/>
    <xf numFmtId="49" fontId="8" fillId="0" borderId="0" xfId="0" applyNumberFormat="1" applyFont="1" applyAlignment="1">
      <alignment wrapText="1"/>
    </xf>
    <xf numFmtId="49" fontId="13" fillId="0" borderId="0" xfId="0" applyNumberFormat="1" applyFont="1"/>
    <xf numFmtId="49" fontId="0" fillId="0" borderId="0" xfId="0" applyNumberFormat="1"/>
    <xf numFmtId="164" fontId="8" fillId="0" borderId="0" xfId="0" applyNumberFormat="1" applyFont="1" applyAlignment="1">
      <alignment wrapText="1"/>
    </xf>
    <xf numFmtId="164" fontId="10" fillId="0" borderId="0" xfId="0" applyNumberFormat="1" applyFont="1" applyAlignment="1">
      <alignment wrapText="1"/>
    </xf>
    <xf numFmtId="14" fontId="10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center"/>
    </xf>
    <xf numFmtId="164" fontId="14" fillId="0" borderId="0" xfId="0" applyNumberFormat="1" applyFont="1"/>
    <xf numFmtId="164" fontId="13" fillId="0" borderId="0" xfId="0" applyNumberFormat="1" applyFont="1" applyAlignment="1">
      <alignment wrapText="1"/>
    </xf>
    <xf numFmtId="14" fontId="8" fillId="0" borderId="0" xfId="0" applyNumberFormat="1" applyFont="1" applyAlignment="1">
      <alignment horizontal="center" wrapText="1"/>
    </xf>
    <xf numFmtId="164" fontId="0" fillId="0" borderId="0" xfId="0" applyNumberFormat="1"/>
    <xf numFmtId="164" fontId="8" fillId="0" borderId="0" xfId="0" applyNumberFormat="1" applyFont="1" applyAlignment="1">
      <alignment horizontal="right" wrapText="1"/>
    </xf>
    <xf numFmtId="164" fontId="14" fillId="0" borderId="0" xfId="0" applyNumberFormat="1" applyFont="1" applyAlignment="1">
      <alignment horizontal="right" wrapText="1"/>
    </xf>
    <xf numFmtId="164" fontId="13" fillId="0" borderId="0" xfId="0" applyNumberFormat="1" applyFont="1" applyAlignment="1">
      <alignment horizontal="right" wrapText="1"/>
    </xf>
    <xf numFmtId="14" fontId="8" fillId="0" borderId="0" xfId="0" applyNumberFormat="1" applyFont="1" applyAlignment="1">
      <alignment horizontal="center" vertical="center" wrapText="1"/>
    </xf>
    <xf numFmtId="14" fontId="1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25" fillId="0" borderId="0" xfId="3" applyFill="1" applyBorder="1" applyAlignment="1"/>
    <xf numFmtId="0" fontId="23" fillId="0" borderId="0" xfId="0" applyFont="1"/>
    <xf numFmtId="3" fontId="21" fillId="0" borderId="0" xfId="0" applyNumberFormat="1" applyFont="1" applyAlignment="1">
      <alignment horizontal="right"/>
    </xf>
    <xf numFmtId="14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0" fontId="24" fillId="0" borderId="0" xfId="0" applyFont="1"/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 wrapText="1"/>
    </xf>
    <xf numFmtId="14" fontId="2" fillId="0" borderId="0" xfId="0" applyNumberFormat="1" applyFont="1" applyAlignment="1">
      <alignment horizontal="center" vertical="center" wrapText="1"/>
    </xf>
    <xf numFmtId="41" fontId="2" fillId="0" borderId="0" xfId="0" applyNumberFormat="1" applyFont="1" applyAlignment="1">
      <alignment horizontal="right" wrapText="1"/>
    </xf>
    <xf numFmtId="49" fontId="2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 wrapText="1"/>
    </xf>
    <xf numFmtId="165" fontId="4" fillId="0" borderId="0" xfId="0" applyNumberFormat="1" applyFont="1"/>
    <xf numFmtId="41" fontId="10" fillId="0" borderId="0" xfId="0" applyNumberFormat="1" applyFont="1"/>
    <xf numFmtId="164" fontId="4" fillId="0" borderId="0" xfId="0" applyNumberFormat="1" applyFont="1"/>
    <xf numFmtId="3" fontId="4" fillId="0" borderId="0" xfId="0" applyNumberFormat="1" applyFont="1"/>
    <xf numFmtId="14" fontId="0" fillId="0" borderId="0" xfId="0" applyNumberFormat="1" applyAlignment="1">
      <alignment horizontal="center"/>
    </xf>
    <xf numFmtId="41" fontId="0" fillId="0" borderId="0" xfId="0" applyNumberFormat="1"/>
    <xf numFmtId="164" fontId="2" fillId="0" borderId="1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41" fontId="2" fillId="0" borderId="5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right" vertical="center" wrapText="1"/>
    </xf>
    <xf numFmtId="164" fontId="8" fillId="0" borderId="5" xfId="0" applyNumberFormat="1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wrapText="1"/>
    </xf>
    <xf numFmtId="41" fontId="2" fillId="0" borderId="5" xfId="0" applyNumberFormat="1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49" fontId="2" fillId="0" borderId="5" xfId="0" applyNumberFormat="1" applyFont="1" applyBorder="1" applyAlignment="1">
      <alignment wrapText="1"/>
    </xf>
    <xf numFmtId="0" fontId="2" fillId="0" borderId="1" xfId="0" applyFont="1" applyBorder="1"/>
    <xf numFmtId="0" fontId="2" fillId="0" borderId="5" xfId="0" applyFont="1" applyBorder="1"/>
    <xf numFmtId="0" fontId="16" fillId="0" borderId="9" xfId="0" applyFont="1" applyBorder="1" applyAlignment="1">
      <alignment wrapText="1"/>
    </xf>
    <xf numFmtId="0" fontId="16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5" xfId="0" applyFont="1" applyBorder="1" applyAlignment="1">
      <alignment wrapText="1"/>
    </xf>
    <xf numFmtId="49" fontId="16" fillId="0" borderId="1" xfId="0" applyNumberFormat="1" applyFont="1" applyBorder="1" applyAlignment="1">
      <alignment wrapText="1"/>
    </xf>
    <xf numFmtId="49" fontId="16" fillId="0" borderId="5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horizontal="center" wrapText="1"/>
    </xf>
    <xf numFmtId="14" fontId="2" fillId="0" borderId="5" xfId="0" applyNumberFormat="1" applyFont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5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14" fontId="2" fillId="0" borderId="5" xfId="0" applyNumberFormat="1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5" fillId="0" borderId="6" xfId="0" applyFont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49" fontId="8" fillId="0" borderId="5" xfId="0" applyNumberFormat="1" applyFont="1" applyBorder="1" applyAlignment="1">
      <alignment wrapText="1"/>
    </xf>
    <xf numFmtId="0" fontId="8" fillId="0" borderId="1" xfId="0" applyFont="1" applyBorder="1"/>
    <xf numFmtId="0" fontId="8" fillId="0" borderId="5" xfId="0" applyFont="1" applyBorder="1"/>
    <xf numFmtId="0" fontId="15" fillId="0" borderId="9" xfId="0" applyFont="1" applyBorder="1" applyAlignment="1">
      <alignment wrapText="1"/>
    </xf>
    <xf numFmtId="0" fontId="15" fillId="0" borderId="3" xfId="0" applyFont="1" applyBorder="1" applyAlignment="1">
      <alignment wrapText="1"/>
    </xf>
    <xf numFmtId="164" fontId="8" fillId="0" borderId="1" xfId="0" applyNumberFormat="1" applyFont="1" applyBorder="1" applyAlignment="1">
      <alignment wrapText="1"/>
    </xf>
    <xf numFmtId="164" fontId="8" fillId="0" borderId="5" xfId="0" applyNumberFormat="1" applyFont="1" applyBorder="1" applyAlignment="1">
      <alignment wrapText="1"/>
    </xf>
    <xf numFmtId="14" fontId="8" fillId="0" borderId="1" xfId="0" applyNumberFormat="1" applyFont="1" applyBorder="1" applyAlignment="1">
      <alignment horizontal="center" wrapText="1"/>
    </xf>
    <xf numFmtId="14" fontId="8" fillId="0" borderId="5" xfId="0" applyNumberFormat="1" applyFont="1" applyBorder="1" applyAlignment="1">
      <alignment horizontal="center" wrapText="1"/>
    </xf>
    <xf numFmtId="164" fontId="8" fillId="0" borderId="1" xfId="0" applyNumberFormat="1" applyFont="1" applyBorder="1" applyAlignment="1">
      <alignment horizontal="right" wrapText="1"/>
    </xf>
    <xf numFmtId="164" fontId="8" fillId="0" borderId="5" xfId="0" applyNumberFormat="1" applyFont="1" applyBorder="1" applyAlignment="1">
      <alignment horizontal="right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right" wrapText="1"/>
    </xf>
    <xf numFmtId="41" fontId="2" fillId="0" borderId="5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</cellXfs>
  <cellStyles count="4">
    <cellStyle name="Comma 2" xfId="2" xr:uid="{00000000-0005-0000-0000-000000000000}"/>
    <cellStyle name="Hyperlink" xfId="3" builtinId="8"/>
    <cellStyle name="Normal" xfId="0" builtinId="0"/>
    <cellStyle name="Normal 2" xfId="1" xr:uid="{00000000-0005-0000-0000-000003000000}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V25" totalsRowShown="0" headerRowDxfId="39" dataDxfId="38">
  <autoFilter ref="A2:V25" xr:uid="{00000000-0009-0000-0100-000001000000}"/>
  <tableColumns count="22">
    <tableColumn id="1" xr3:uid="{00000000-0010-0000-0000-000001000000}" name="STT" dataDxfId="37"/>
    <tableColumn id="22" xr3:uid="{00000000-0010-0000-0000-000016000000}" name="Done hạch toán" dataDxfId="36"/>
    <tableColumn id="2" xr3:uid="{00000000-0010-0000-0000-000002000000}" name="Tên HKD" dataDxfId="35"/>
    <tableColumn id="3" xr3:uid="{00000000-0010-0000-0000-000003000000}" name="Trang hóa đơn đầu ra" dataDxfId="34" dataCellStyle="Hyperlink"/>
    <tableColumn id="4" xr3:uid="{00000000-0010-0000-0000-000004000000}" name="ID" dataDxfId="33"/>
    <tableColumn id="5" xr3:uid="{00000000-0010-0000-0000-000005000000}" name="Mật khẩu" dataDxfId="32"/>
    <tableColumn id="6" xr3:uid="{00000000-0010-0000-0000-000006000000}" name="Trang hóa đơn đầu vào" dataDxfId="31"/>
    <tableColumn id="7" xr3:uid="{00000000-0010-0000-0000-000007000000}" name="ID2" dataDxfId="30"/>
    <tableColumn id="8" xr3:uid="{00000000-0010-0000-0000-000008000000}" name="Mật khẩu3" dataDxfId="29"/>
    <tableColumn id="9" xr3:uid="{00000000-0010-0000-0000-000009000000}" name="Bảo hiểm" dataDxfId="28"/>
    <tableColumn id="10" xr3:uid="{00000000-0010-0000-0000-00000A000000}" name="ID4" dataDxfId="27"/>
    <tableColumn id="11" xr3:uid="{00000000-0010-0000-0000-00000B000000}" name="Mật khẩu5" dataDxfId="26"/>
    <tableColumn id="12" xr3:uid="{00000000-0010-0000-0000-00000C000000}" name="Số Chủ HKD đóng BHXH" dataDxfId="25"/>
    <tableColumn id="13" xr3:uid="{00000000-0010-0000-0000-00000D000000}" name="Mức đóng BHXH chủ hộ" dataDxfId="24"/>
    <tableColumn id="14" xr3:uid="{00000000-0010-0000-0000-00000E000000}" name="Thời gian đóng BHXH" dataDxfId="23"/>
    <tableColumn id="15" xr3:uid="{00000000-0010-0000-0000-00000F000000}" name="Số Nhân viên đóng BHXH" dataDxfId="22"/>
    <tableColumn id="16" xr3:uid="{00000000-0010-0000-0000-000010000000}" name="Thời gian đóng BHXH6" dataDxfId="21"/>
    <tableColumn id="17" xr3:uid="{00000000-0010-0000-0000-000011000000}" name="Mức lương (NET)" dataDxfId="20"/>
    <tableColumn id="18" xr3:uid="{00000000-0010-0000-0000-000012000000}" name="Bảo hiểm (NET)" dataDxfId="19"/>
    <tableColumn id="19" xr3:uid="{00000000-0010-0000-0000-000013000000}" name="Link sever" dataDxfId="18" dataCellStyle="Hyperlink"/>
    <tableColumn id="20" xr3:uid="{00000000-0010-0000-0000-000014000000}" name="Mật khẩu 3TSOFT" dataDxfId="17"/>
    <tableColumn id="21" xr3:uid="{00000000-0010-0000-0000-000015000000}" name="Sao kê ngân hàng" dataDxfId="1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3" Type="http://schemas.openxmlformats.org/officeDocument/2006/relationships/hyperlink" Target="https://8339629042-001.matbao.in/" TargetMode="External"/><Relationship Id="rId18" Type="http://schemas.openxmlformats.org/officeDocument/2006/relationships/hyperlink" Target="https://drive.google.com/drive/folders/1I13C-EhwboDA5JtQzqnjfWyy-mrUkFvj" TargetMode="External"/><Relationship Id="rId26" Type="http://schemas.openxmlformats.org/officeDocument/2006/relationships/hyperlink" Target="https://drive.google.com/drive/folders/1AeVV-dwrvG2KWBYSz-3ro660eOh5M8VL" TargetMode="External"/><Relationship Id="rId39" Type="http://schemas.openxmlformats.org/officeDocument/2006/relationships/hyperlink" Target="https://drive.google.com/drive/folders/1J33Lx8ezMkDnVxPYP34t7aorbu-dYePQ" TargetMode="External"/><Relationship Id="rId21" Type="http://schemas.openxmlformats.org/officeDocument/2006/relationships/hyperlink" Target="https://8456794480-001.matbao.in/" TargetMode="External"/><Relationship Id="rId34" Type="http://schemas.openxmlformats.org/officeDocument/2006/relationships/hyperlink" Target="https://drive.google.com/drive/folders/1fXzRRKAuXR4Cn_lnpzbMomSGkGs6lGfr" TargetMode="External"/><Relationship Id="rId42" Type="http://schemas.openxmlformats.org/officeDocument/2006/relationships/hyperlink" Target="https://079098009021.matbao.in/" TargetMode="External"/><Relationship Id="rId47" Type="http://schemas.openxmlformats.org/officeDocument/2006/relationships/hyperlink" Target="https://drive.google.com/drive/folders/1f6Pc1Gx4rTqC1KNvmCWZuFWXQ1ytEwa4" TargetMode="External"/><Relationship Id="rId7" Type="http://schemas.openxmlformats.org/officeDocument/2006/relationships/hyperlink" Target="https://8836978269-001.matbao.in/" TargetMode="External"/><Relationship Id="rId2" Type="http://schemas.openxmlformats.org/officeDocument/2006/relationships/hyperlink" Target="https://hoadondientu.gdt.gov.vn/" TargetMode="External"/><Relationship Id="rId16" Type="http://schemas.openxmlformats.org/officeDocument/2006/relationships/hyperlink" Target="https://drive.google.com/drive/folders/17p38StQpkmZ5yXGc61-WizGJo4bDJ4Xu" TargetMode="External"/><Relationship Id="rId29" Type="http://schemas.openxmlformats.org/officeDocument/2006/relationships/hyperlink" Target="https://8783523554-001.matbao.in/" TargetMode="External"/><Relationship Id="rId11" Type="http://schemas.openxmlformats.org/officeDocument/2006/relationships/hyperlink" Target="https://8417307084-001.matbao.in/" TargetMode="External"/><Relationship Id="rId24" Type="http://schemas.openxmlformats.org/officeDocument/2006/relationships/hyperlink" Target="https://drive.google.com/drive/folders/1AzSYLy8TAZxHTc7OTzvALwgvuxSFoIs8" TargetMode="External"/><Relationship Id="rId32" Type="http://schemas.openxmlformats.org/officeDocument/2006/relationships/hyperlink" Target="https://drive.google.com/drive/folders/1ImGai80G9Uf6MlzpMiq_-XlN4PioVYGc" TargetMode="External"/><Relationship Id="rId37" Type="http://schemas.openxmlformats.org/officeDocument/2006/relationships/hyperlink" Target="https://079200020738.matbao.in/" TargetMode="External"/><Relationship Id="rId40" Type="http://schemas.openxmlformats.org/officeDocument/2006/relationships/hyperlink" Target="https://079302004855.matbao.in/" TargetMode="External"/><Relationship Id="rId45" Type="http://schemas.openxmlformats.org/officeDocument/2006/relationships/hyperlink" Target="https://drive.google.com/drive/folders/1feeC1ekRMC4J0CCNJfqNqvNjwWN9ztHO" TargetMode="External"/><Relationship Id="rId5" Type="http://schemas.openxmlformats.org/officeDocument/2006/relationships/hyperlink" Target="https://8710040770-001.matbao.in/" TargetMode="External"/><Relationship Id="rId15" Type="http://schemas.openxmlformats.org/officeDocument/2006/relationships/hyperlink" Target="https://8077953218-001.matbao.in/" TargetMode="External"/><Relationship Id="rId23" Type="http://schemas.openxmlformats.org/officeDocument/2006/relationships/hyperlink" Target="https://8427727031-001.matbao.in/" TargetMode="External"/><Relationship Id="rId28" Type="http://schemas.openxmlformats.org/officeDocument/2006/relationships/hyperlink" Target="https://drive.google.com/drive/folders/1-PSj1cyjNYOQHNhPZHghbVLGGvmZCqYR" TargetMode="External"/><Relationship Id="rId36" Type="http://schemas.openxmlformats.org/officeDocument/2006/relationships/hyperlink" Target="https://drive.google.com/drive/folders/19_kkRHm5diIBTr6vrCUpGYXtbVo_nlEo" TargetMode="External"/><Relationship Id="rId49" Type="http://schemas.openxmlformats.org/officeDocument/2006/relationships/table" Target="../tables/table1.xml"/><Relationship Id="rId10" Type="http://schemas.openxmlformats.org/officeDocument/2006/relationships/hyperlink" Target="https://drive.google.com/drive/folders/1hevD7Sbgbo5Cjm70wkb5G4t1MZUkmEIo" TargetMode="External"/><Relationship Id="rId19" Type="http://schemas.openxmlformats.org/officeDocument/2006/relationships/hyperlink" Target="https://8568979698-001.matbao.in/" TargetMode="External"/><Relationship Id="rId31" Type="http://schemas.openxmlformats.org/officeDocument/2006/relationships/hyperlink" Target="https://8537932805-001.matbao.in/" TargetMode="External"/><Relationship Id="rId44" Type="http://schemas.openxmlformats.org/officeDocument/2006/relationships/hyperlink" Target="https://014198000033.matbao.in/" TargetMode="External"/><Relationship Id="rId4" Type="http://schemas.openxmlformats.org/officeDocument/2006/relationships/hyperlink" Target="https://drive.google.com/drive/folders/10B2LBaI-Ivc00wuEtr8SyrLPY4UoRHmc" TargetMode="External"/><Relationship Id="rId9" Type="http://schemas.openxmlformats.org/officeDocument/2006/relationships/hyperlink" Target="https://8785516231-001.matbao.in/" TargetMode="External"/><Relationship Id="rId14" Type="http://schemas.openxmlformats.org/officeDocument/2006/relationships/hyperlink" Target="https://drive.google.com/drive/folders/1YOs8AfovGBFxVy9JBLCbRSWaFrYU7hYd" TargetMode="External"/><Relationship Id="rId22" Type="http://schemas.openxmlformats.org/officeDocument/2006/relationships/hyperlink" Target="https://drive.google.com/drive/folders/1BdRSgvmKog7l1Rmgm10T5BM96IVsynD0" TargetMode="External"/><Relationship Id="rId27" Type="http://schemas.openxmlformats.org/officeDocument/2006/relationships/hyperlink" Target="https://8336384757-001.matbao.in/" TargetMode="External"/><Relationship Id="rId30" Type="http://schemas.openxmlformats.org/officeDocument/2006/relationships/hyperlink" Target="https://drive.google.com/drive/folders/1AyNcejKrV-AST3HY8fe_rDB2gxDlxeq4" TargetMode="External"/><Relationship Id="rId35" Type="http://schemas.openxmlformats.org/officeDocument/2006/relationships/hyperlink" Target="https://070095006110.matbao.in/" TargetMode="External"/><Relationship Id="rId43" Type="http://schemas.openxmlformats.org/officeDocument/2006/relationships/hyperlink" Target="https://drive.google.com/drive/folders/1PrNJ9oHajezeu0Dk3r0QnoPDTHhgeYMC" TargetMode="External"/><Relationship Id="rId48" Type="http://schemas.openxmlformats.org/officeDocument/2006/relationships/printerSettings" Target="../printerSettings/printerSettings18.bin"/><Relationship Id="rId8" Type="http://schemas.openxmlformats.org/officeDocument/2006/relationships/hyperlink" Target="https://drive.google.com/drive/folders/1zXZvu1qkE9DpVB41RUzb_tH_nfYrD8gt" TargetMode="External"/><Relationship Id="rId3" Type="http://schemas.openxmlformats.org/officeDocument/2006/relationships/hyperlink" Target="https://dichvucong.baohiemxahoi.gov.vn/" TargetMode="External"/><Relationship Id="rId12" Type="http://schemas.openxmlformats.org/officeDocument/2006/relationships/hyperlink" Target="https://drive.google.com/drive/folders/13N1eKOPJeSBluI9swmarwHQLpi9TbXB-" TargetMode="External"/><Relationship Id="rId17" Type="http://schemas.openxmlformats.org/officeDocument/2006/relationships/hyperlink" Target="https://8307704000-002.matbao.in/" TargetMode="External"/><Relationship Id="rId25" Type="http://schemas.openxmlformats.org/officeDocument/2006/relationships/hyperlink" Target="https://8423525669-001.matbao.in/" TargetMode="External"/><Relationship Id="rId33" Type="http://schemas.openxmlformats.org/officeDocument/2006/relationships/hyperlink" Target="https://8548655046-002.matbao.in/" TargetMode="External"/><Relationship Id="rId38" Type="http://schemas.openxmlformats.org/officeDocument/2006/relationships/hyperlink" Target="https://072098001948.matbao.in/" TargetMode="External"/><Relationship Id="rId46" Type="http://schemas.openxmlformats.org/officeDocument/2006/relationships/hyperlink" Target="https://052300008705.matbao.in/" TargetMode="External"/><Relationship Id="rId20" Type="http://schemas.openxmlformats.org/officeDocument/2006/relationships/hyperlink" Target="https://drive.google.com/drive/folders/1XvOfR3XrMWmjGh0wgG0DerBzR5THkwug" TargetMode="External"/><Relationship Id="rId41" Type="http://schemas.openxmlformats.org/officeDocument/2006/relationships/hyperlink" Target="https://drive.google.com/drive/folders/1-UNQ5ITavdiSdvii5zAqk7bvoDslZyLg" TargetMode="External"/><Relationship Id="rId1" Type="http://schemas.openxmlformats.org/officeDocument/2006/relationships/hyperlink" Target="https://8443847047-001.matbao.in/" TargetMode="External"/><Relationship Id="rId6" Type="http://schemas.openxmlformats.org/officeDocument/2006/relationships/hyperlink" Target="https://drive.google.com/drive/folders/1RcD2-m3cTlEMpQ-q_lN6XvbUKBFkrkzc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6"/>
  <sheetViews>
    <sheetView topLeftCell="A35" workbookViewId="0">
      <selection activeCell="H51" sqref="H51"/>
    </sheetView>
  </sheetViews>
  <sheetFormatPr defaultRowHeight="15" x14ac:dyDescent="0.25"/>
  <cols>
    <col min="1" max="1" width="14.7109375" style="2" bestFit="1" customWidth="1"/>
    <col min="2" max="2" width="13.5703125" style="2" bestFit="1" customWidth="1"/>
    <col min="3" max="3" width="14.5703125" style="2" bestFit="1" customWidth="1"/>
    <col min="4" max="4" width="9.42578125" style="2" bestFit="1" customWidth="1"/>
    <col min="5" max="5" width="11.28515625" style="2" bestFit="1" customWidth="1"/>
    <col min="6" max="6" width="27.5703125" style="2" bestFit="1" customWidth="1"/>
    <col min="7" max="7" width="15.42578125" style="18" bestFit="1" customWidth="1"/>
    <col min="8" max="8" width="37.28515625" style="2" bestFit="1" customWidth="1"/>
    <col min="9" max="10" width="8.7109375" style="2" customWidth="1"/>
    <col min="11" max="11" width="11.42578125" style="2" bestFit="1" customWidth="1"/>
    <col min="12" max="12" width="7.28515625" style="2" bestFit="1" customWidth="1"/>
    <col min="13" max="14" width="14.85546875" style="17" bestFit="1" customWidth="1"/>
    <col min="15" max="15" width="6.42578125" style="2" bestFit="1" customWidth="1"/>
    <col min="16" max="18" width="10.5703125" style="2" bestFit="1" customWidth="1"/>
    <col min="19" max="16384" width="9.140625" style="2"/>
  </cols>
  <sheetData>
    <row r="1" spans="1:16" ht="15.75" thickBot="1" x14ac:dyDescent="0.3">
      <c r="A1" s="125" t="s">
        <v>0</v>
      </c>
      <c r="B1" s="125" t="s">
        <v>1</v>
      </c>
      <c r="C1" s="125" t="s">
        <v>2</v>
      </c>
      <c r="D1" s="127" t="s">
        <v>3</v>
      </c>
      <c r="E1" s="127" t="s">
        <v>4</v>
      </c>
      <c r="F1" s="127" t="s">
        <v>5</v>
      </c>
      <c r="G1" s="119" t="s">
        <v>6</v>
      </c>
      <c r="H1" s="121" t="s">
        <v>7</v>
      </c>
      <c r="I1" s="123" t="s">
        <v>8</v>
      </c>
      <c r="J1" s="124"/>
      <c r="K1" s="125" t="s">
        <v>9</v>
      </c>
      <c r="L1" s="125" t="s">
        <v>10</v>
      </c>
      <c r="M1" s="117" t="s">
        <v>11</v>
      </c>
      <c r="N1" s="117" t="s">
        <v>12</v>
      </c>
      <c r="O1" s="1"/>
    </row>
    <row r="2" spans="1:16" ht="15.75" thickBot="1" x14ac:dyDescent="0.3">
      <c r="A2" s="126"/>
      <c r="B2" s="126"/>
      <c r="C2" s="126"/>
      <c r="D2" s="129"/>
      <c r="E2" s="129"/>
      <c r="F2" s="128"/>
      <c r="G2" s="120"/>
      <c r="H2" s="122"/>
      <c r="I2" s="3" t="s">
        <v>13</v>
      </c>
      <c r="J2" s="3" t="s">
        <v>14</v>
      </c>
      <c r="K2" s="126"/>
      <c r="L2" s="126"/>
      <c r="M2" s="118"/>
      <c r="N2" s="118"/>
      <c r="O2" s="4"/>
    </row>
    <row r="3" spans="1:16" x14ac:dyDescent="0.25">
      <c r="A3" s="5"/>
      <c r="B3" s="6"/>
      <c r="C3" s="5"/>
      <c r="D3" s="7"/>
      <c r="E3" s="7"/>
      <c r="F3" s="7"/>
      <c r="G3" s="5" t="s">
        <v>15</v>
      </c>
      <c r="H3" s="8"/>
      <c r="I3" s="9"/>
      <c r="J3" s="9"/>
      <c r="K3" s="10"/>
      <c r="L3" s="11"/>
      <c r="M3" s="12"/>
      <c r="N3" s="12"/>
      <c r="O3" s="13" t="s">
        <v>16</v>
      </c>
      <c r="P3" s="2" t="s">
        <v>17</v>
      </c>
    </row>
    <row r="4" spans="1:16" x14ac:dyDescent="0.25">
      <c r="A4" s="13" t="s">
        <v>18</v>
      </c>
      <c r="B4" s="14">
        <v>45839</v>
      </c>
      <c r="C4" s="13">
        <v>114</v>
      </c>
      <c r="D4" s="13"/>
      <c r="E4" s="15"/>
      <c r="F4" s="13"/>
      <c r="G4" s="15" t="s">
        <v>19</v>
      </c>
      <c r="H4" s="13" t="s">
        <v>20</v>
      </c>
      <c r="I4" s="13">
        <v>64277</v>
      </c>
      <c r="J4" s="13">
        <v>331</v>
      </c>
      <c r="K4" s="13" t="s">
        <v>21</v>
      </c>
      <c r="L4" s="13">
        <v>1</v>
      </c>
      <c r="M4" s="16">
        <v>22000</v>
      </c>
      <c r="N4" s="16">
        <f t="shared" ref="N4:N67" si="0">M4*L4</f>
        <v>22000</v>
      </c>
      <c r="O4" s="13" t="s">
        <v>22</v>
      </c>
      <c r="P4" s="2">
        <v>8</v>
      </c>
    </row>
    <row r="5" spans="1:16" x14ac:dyDescent="0.25">
      <c r="A5" s="13" t="s">
        <v>18</v>
      </c>
      <c r="B5" s="14">
        <v>45839</v>
      </c>
      <c r="C5" s="13">
        <f>C4+D5</f>
        <v>115</v>
      </c>
      <c r="D5" s="13">
        <v>1</v>
      </c>
      <c r="E5" s="15"/>
      <c r="F5" s="13"/>
      <c r="G5" s="15" t="s">
        <v>23</v>
      </c>
      <c r="H5" s="13" t="s">
        <v>24</v>
      </c>
      <c r="I5" s="13">
        <v>64277</v>
      </c>
      <c r="J5" s="13">
        <v>331</v>
      </c>
      <c r="K5" s="13" t="s">
        <v>21</v>
      </c>
      <c r="L5" s="13">
        <v>1</v>
      </c>
      <c r="M5" s="16">
        <v>878040</v>
      </c>
      <c r="N5" s="16">
        <f t="shared" si="0"/>
        <v>878040</v>
      </c>
      <c r="O5" s="13" t="s">
        <v>22</v>
      </c>
      <c r="P5" s="2">
        <v>9</v>
      </c>
    </row>
    <row r="6" spans="1:16" x14ac:dyDescent="0.25">
      <c r="A6" s="13" t="s">
        <v>18</v>
      </c>
      <c r="B6" s="14">
        <v>45839</v>
      </c>
      <c r="C6" s="13">
        <f t="shared" ref="C6:C69" si="1">C5+D6</f>
        <v>116</v>
      </c>
      <c r="D6" s="13">
        <v>1</v>
      </c>
      <c r="E6" s="15"/>
      <c r="F6" s="13"/>
      <c r="G6" s="15" t="s">
        <v>25</v>
      </c>
      <c r="H6" s="13" t="s">
        <v>26</v>
      </c>
      <c r="I6" s="13">
        <v>64277</v>
      </c>
      <c r="J6" s="13">
        <v>331</v>
      </c>
      <c r="K6" s="13" t="s">
        <v>21</v>
      </c>
      <c r="L6" s="13">
        <v>1</v>
      </c>
      <c r="M6" s="16">
        <v>149000</v>
      </c>
      <c r="N6" s="16">
        <f t="shared" si="0"/>
        <v>149000</v>
      </c>
      <c r="O6" s="13" t="s">
        <v>22</v>
      </c>
      <c r="P6" s="2">
        <v>10</v>
      </c>
    </row>
    <row r="7" spans="1:16" x14ac:dyDescent="0.25">
      <c r="A7" s="13" t="s">
        <v>18</v>
      </c>
      <c r="B7" s="14">
        <v>45840</v>
      </c>
      <c r="C7" s="13">
        <f t="shared" si="1"/>
        <v>117</v>
      </c>
      <c r="D7" s="13">
        <v>1</v>
      </c>
      <c r="E7" s="15"/>
      <c r="F7" s="13"/>
      <c r="G7" s="15" t="s">
        <v>19</v>
      </c>
      <c r="H7" s="13" t="s">
        <v>27</v>
      </c>
      <c r="I7" s="13">
        <v>64277</v>
      </c>
      <c r="J7" s="13">
        <v>331</v>
      </c>
      <c r="K7" s="13" t="s">
        <v>21</v>
      </c>
      <c r="L7" s="13">
        <v>1</v>
      </c>
      <c r="M7" s="16">
        <v>17000</v>
      </c>
      <c r="N7" s="16">
        <f t="shared" si="0"/>
        <v>17000</v>
      </c>
      <c r="O7" s="13" t="s">
        <v>22</v>
      </c>
      <c r="P7" s="2">
        <v>11</v>
      </c>
    </row>
    <row r="8" spans="1:16" x14ac:dyDescent="0.25">
      <c r="A8" s="13" t="s">
        <v>18</v>
      </c>
      <c r="B8" s="14">
        <v>45840</v>
      </c>
      <c r="C8" s="13">
        <f t="shared" si="1"/>
        <v>118</v>
      </c>
      <c r="D8" s="13">
        <v>1</v>
      </c>
      <c r="E8" s="15"/>
      <c r="F8" s="13"/>
      <c r="G8" s="15" t="s">
        <v>25</v>
      </c>
      <c r="H8" s="13" t="s">
        <v>28</v>
      </c>
      <c r="I8" s="13">
        <v>64277</v>
      </c>
      <c r="J8" s="13">
        <v>331</v>
      </c>
      <c r="K8" s="13" t="s">
        <v>21</v>
      </c>
      <c r="L8" s="13">
        <v>1</v>
      </c>
      <c r="M8" s="16">
        <v>159000</v>
      </c>
      <c r="N8" s="16">
        <f t="shared" si="0"/>
        <v>159000</v>
      </c>
      <c r="O8" s="13" t="s">
        <v>22</v>
      </c>
      <c r="P8" s="2">
        <v>12</v>
      </c>
    </row>
    <row r="9" spans="1:16" x14ac:dyDescent="0.25">
      <c r="A9" s="13" t="s">
        <v>18</v>
      </c>
      <c r="B9" s="14">
        <v>45840</v>
      </c>
      <c r="C9" s="13">
        <f t="shared" si="1"/>
        <v>119</v>
      </c>
      <c r="D9" s="13">
        <v>1</v>
      </c>
      <c r="E9" s="15"/>
      <c r="F9" s="13"/>
      <c r="G9" s="15" t="s">
        <v>29</v>
      </c>
      <c r="H9" s="13" t="s">
        <v>30</v>
      </c>
      <c r="I9" s="13">
        <v>6425</v>
      </c>
      <c r="J9" s="13">
        <v>333822</v>
      </c>
      <c r="K9" s="13" t="s">
        <v>21</v>
      </c>
      <c r="L9" s="13">
        <v>1</v>
      </c>
      <c r="M9" s="16">
        <v>2150677</v>
      </c>
      <c r="N9" s="16">
        <f t="shared" si="0"/>
        <v>2150677</v>
      </c>
      <c r="O9" s="13" t="s">
        <v>22</v>
      </c>
      <c r="P9" s="2">
        <v>230</v>
      </c>
    </row>
    <row r="10" spans="1:16" x14ac:dyDescent="0.25">
      <c r="A10" s="13" t="s">
        <v>18</v>
      </c>
      <c r="B10" s="14">
        <v>45840</v>
      </c>
      <c r="C10" s="13">
        <f t="shared" si="1"/>
        <v>120</v>
      </c>
      <c r="D10" s="13">
        <v>1</v>
      </c>
      <c r="E10" s="15"/>
      <c r="F10" s="13"/>
      <c r="G10" s="15" t="s">
        <v>31</v>
      </c>
      <c r="H10" s="13" t="s">
        <v>32</v>
      </c>
      <c r="I10" s="13">
        <v>131</v>
      </c>
      <c r="J10" s="13">
        <v>5118</v>
      </c>
      <c r="K10" s="13" t="s">
        <v>21</v>
      </c>
      <c r="L10" s="13">
        <v>1</v>
      </c>
      <c r="M10" s="16">
        <v>30382454</v>
      </c>
      <c r="N10" s="16">
        <f t="shared" si="0"/>
        <v>30382454</v>
      </c>
      <c r="O10" s="13" t="s">
        <v>22</v>
      </c>
      <c r="P10" s="2">
        <v>233</v>
      </c>
    </row>
    <row r="11" spans="1:16" x14ac:dyDescent="0.25">
      <c r="A11" s="13" t="s">
        <v>33</v>
      </c>
      <c r="B11" s="14">
        <v>45840</v>
      </c>
      <c r="C11" s="13">
        <f t="shared" si="1"/>
        <v>121</v>
      </c>
      <c r="D11" s="13">
        <v>1</v>
      </c>
      <c r="E11" s="15"/>
      <c r="F11" s="13"/>
      <c r="G11" s="15" t="s">
        <v>31</v>
      </c>
      <c r="H11" s="13" t="s">
        <v>34</v>
      </c>
      <c r="I11" s="13">
        <v>112111</v>
      </c>
      <c r="J11" s="13">
        <v>131</v>
      </c>
      <c r="K11" s="13" t="s">
        <v>21</v>
      </c>
      <c r="L11" s="13">
        <v>1</v>
      </c>
      <c r="M11" s="16">
        <v>30382454</v>
      </c>
      <c r="N11" s="16">
        <f t="shared" si="0"/>
        <v>30382454</v>
      </c>
      <c r="O11" s="13" t="s">
        <v>22</v>
      </c>
      <c r="P11" s="2">
        <v>268</v>
      </c>
    </row>
    <row r="12" spans="1:16" x14ac:dyDescent="0.25">
      <c r="A12" s="13" t="s">
        <v>18</v>
      </c>
      <c r="B12" s="14">
        <v>45841</v>
      </c>
      <c r="C12" s="13">
        <f t="shared" si="1"/>
        <v>122</v>
      </c>
      <c r="D12" s="13">
        <v>1</v>
      </c>
      <c r="E12" s="15"/>
      <c r="F12" s="13"/>
      <c r="G12" s="15" t="s">
        <v>35</v>
      </c>
      <c r="H12" s="13" t="s">
        <v>36</v>
      </c>
      <c r="I12" s="13">
        <v>64277</v>
      </c>
      <c r="J12" s="13">
        <v>331</v>
      </c>
      <c r="K12" s="13" t="s">
        <v>21</v>
      </c>
      <c r="L12" s="13">
        <v>1</v>
      </c>
      <c r="M12" s="16">
        <v>165000</v>
      </c>
      <c r="N12" s="16">
        <f t="shared" si="0"/>
        <v>165000</v>
      </c>
      <c r="O12" s="13" t="s">
        <v>22</v>
      </c>
      <c r="P12" s="2">
        <v>13</v>
      </c>
    </row>
    <row r="13" spans="1:16" x14ac:dyDescent="0.25">
      <c r="A13" s="13" t="s">
        <v>18</v>
      </c>
      <c r="B13" s="14">
        <v>45841</v>
      </c>
      <c r="C13" s="13">
        <f t="shared" si="1"/>
        <v>123</v>
      </c>
      <c r="D13" s="13">
        <v>1</v>
      </c>
      <c r="E13" s="15"/>
      <c r="F13" s="13"/>
      <c r="G13" s="15" t="s">
        <v>19</v>
      </c>
      <c r="H13" s="13" t="s">
        <v>37</v>
      </c>
      <c r="I13" s="13">
        <v>64277</v>
      </c>
      <c r="J13" s="13">
        <v>331</v>
      </c>
      <c r="K13" s="13" t="s">
        <v>21</v>
      </c>
      <c r="L13" s="13">
        <v>1</v>
      </c>
      <c r="M13" s="16">
        <v>168000</v>
      </c>
      <c r="N13" s="16">
        <f t="shared" si="0"/>
        <v>168000</v>
      </c>
      <c r="O13" s="13" t="s">
        <v>22</v>
      </c>
      <c r="P13" s="2">
        <v>14</v>
      </c>
    </row>
    <row r="14" spans="1:16" x14ac:dyDescent="0.25">
      <c r="A14" s="13" t="s">
        <v>18</v>
      </c>
      <c r="B14" s="14">
        <v>45841</v>
      </c>
      <c r="C14" s="13">
        <f t="shared" si="1"/>
        <v>124</v>
      </c>
      <c r="D14" s="13">
        <v>1</v>
      </c>
      <c r="E14" s="15"/>
      <c r="F14" s="13"/>
      <c r="G14" s="15" t="s">
        <v>19</v>
      </c>
      <c r="H14" s="13" t="s">
        <v>38</v>
      </c>
      <c r="I14" s="13">
        <v>64277</v>
      </c>
      <c r="J14" s="13">
        <v>331</v>
      </c>
      <c r="K14" s="13" t="s">
        <v>21</v>
      </c>
      <c r="L14" s="13">
        <v>1</v>
      </c>
      <c r="M14" s="16">
        <v>30000</v>
      </c>
      <c r="N14" s="16">
        <f t="shared" si="0"/>
        <v>30000</v>
      </c>
      <c r="O14" s="13" t="s">
        <v>22</v>
      </c>
      <c r="P14" s="2">
        <v>15</v>
      </c>
    </row>
    <row r="15" spans="1:16" x14ac:dyDescent="0.25">
      <c r="A15" s="13" t="s">
        <v>18</v>
      </c>
      <c r="B15" s="14">
        <v>45842</v>
      </c>
      <c r="C15" s="13">
        <f t="shared" si="1"/>
        <v>125</v>
      </c>
      <c r="D15" s="13">
        <v>1</v>
      </c>
      <c r="E15" s="15"/>
      <c r="F15" s="13"/>
      <c r="G15" s="15" t="s">
        <v>19</v>
      </c>
      <c r="H15" s="13" t="s">
        <v>39</v>
      </c>
      <c r="I15" s="13">
        <v>64277</v>
      </c>
      <c r="J15" s="13">
        <v>331</v>
      </c>
      <c r="K15" s="13" t="s">
        <v>21</v>
      </c>
      <c r="L15" s="13">
        <v>1</v>
      </c>
      <c r="M15" s="16">
        <v>42000</v>
      </c>
      <c r="N15" s="16">
        <f t="shared" si="0"/>
        <v>42000</v>
      </c>
      <c r="O15" s="13" t="s">
        <v>22</v>
      </c>
      <c r="P15" s="2">
        <v>16</v>
      </c>
    </row>
    <row r="16" spans="1:16" x14ac:dyDescent="0.25">
      <c r="A16" s="13" t="s">
        <v>18</v>
      </c>
      <c r="B16" s="14">
        <v>45842</v>
      </c>
      <c r="C16" s="13">
        <f t="shared" si="1"/>
        <v>126</v>
      </c>
      <c r="D16" s="13">
        <v>1</v>
      </c>
      <c r="E16" s="15"/>
      <c r="F16" s="13"/>
      <c r="G16" s="15" t="s">
        <v>25</v>
      </c>
      <c r="H16" s="13" t="s">
        <v>40</v>
      </c>
      <c r="I16" s="13">
        <v>64277</v>
      </c>
      <c r="J16" s="13">
        <v>331</v>
      </c>
      <c r="K16" s="13" t="s">
        <v>21</v>
      </c>
      <c r="L16" s="13">
        <v>1</v>
      </c>
      <c r="M16" s="16">
        <v>219000</v>
      </c>
      <c r="N16" s="16">
        <f t="shared" si="0"/>
        <v>219000</v>
      </c>
      <c r="O16" s="13" t="s">
        <v>22</v>
      </c>
      <c r="P16" s="2">
        <v>17</v>
      </c>
    </row>
    <row r="17" spans="1:16" x14ac:dyDescent="0.25">
      <c r="A17" s="13" t="s">
        <v>18</v>
      </c>
      <c r="B17" s="14">
        <v>45844</v>
      </c>
      <c r="C17" s="13">
        <f t="shared" si="1"/>
        <v>127</v>
      </c>
      <c r="D17" s="13">
        <v>1</v>
      </c>
      <c r="E17" s="15"/>
      <c r="F17" s="13"/>
      <c r="G17" s="15" t="s">
        <v>35</v>
      </c>
      <c r="H17" s="13" t="s">
        <v>41</v>
      </c>
      <c r="I17" s="13">
        <v>64277</v>
      </c>
      <c r="J17" s="13">
        <v>331</v>
      </c>
      <c r="K17" s="13" t="s">
        <v>21</v>
      </c>
      <c r="L17" s="13">
        <v>1</v>
      </c>
      <c r="M17" s="16">
        <v>106000</v>
      </c>
      <c r="N17" s="16">
        <f t="shared" si="0"/>
        <v>106000</v>
      </c>
      <c r="O17" s="13" t="s">
        <v>22</v>
      </c>
      <c r="P17" s="2">
        <v>18</v>
      </c>
    </row>
    <row r="18" spans="1:16" x14ac:dyDescent="0.25">
      <c r="A18" s="13" t="s">
        <v>18</v>
      </c>
      <c r="B18" s="14">
        <v>45844</v>
      </c>
      <c r="C18" s="13">
        <f t="shared" si="1"/>
        <v>128</v>
      </c>
      <c r="D18" s="13">
        <v>1</v>
      </c>
      <c r="E18" s="15"/>
      <c r="F18" s="13"/>
      <c r="G18" s="15" t="s">
        <v>19</v>
      </c>
      <c r="H18" s="13" t="s">
        <v>42</v>
      </c>
      <c r="I18" s="13">
        <v>64277</v>
      </c>
      <c r="J18" s="13">
        <v>331</v>
      </c>
      <c r="K18" s="13" t="s">
        <v>21</v>
      </c>
      <c r="L18" s="13">
        <v>1</v>
      </c>
      <c r="M18" s="16">
        <v>41000</v>
      </c>
      <c r="N18" s="16">
        <f t="shared" si="0"/>
        <v>41000</v>
      </c>
      <c r="O18" s="13" t="s">
        <v>22</v>
      </c>
      <c r="P18" s="2">
        <v>19</v>
      </c>
    </row>
    <row r="19" spans="1:16" x14ac:dyDescent="0.25">
      <c r="A19" s="13" t="s">
        <v>18</v>
      </c>
      <c r="B19" s="14">
        <v>45844</v>
      </c>
      <c r="C19" s="13">
        <f t="shared" si="1"/>
        <v>129</v>
      </c>
      <c r="D19" s="13">
        <v>1</v>
      </c>
      <c r="E19" s="15"/>
      <c r="F19" s="13"/>
      <c r="G19" s="15" t="s">
        <v>19</v>
      </c>
      <c r="H19" s="13" t="s">
        <v>43</v>
      </c>
      <c r="I19" s="13">
        <v>64277</v>
      </c>
      <c r="J19" s="13">
        <v>331</v>
      </c>
      <c r="K19" s="13" t="s">
        <v>21</v>
      </c>
      <c r="L19" s="13">
        <v>1</v>
      </c>
      <c r="M19" s="16">
        <v>95000</v>
      </c>
      <c r="N19" s="16">
        <f t="shared" si="0"/>
        <v>95000</v>
      </c>
      <c r="O19" s="13" t="s">
        <v>22</v>
      </c>
      <c r="P19" s="2">
        <v>20</v>
      </c>
    </row>
    <row r="20" spans="1:16" x14ac:dyDescent="0.25">
      <c r="A20" s="13" t="s">
        <v>18</v>
      </c>
      <c r="B20" s="14">
        <v>45844</v>
      </c>
      <c r="C20" s="13">
        <f t="shared" si="1"/>
        <v>130</v>
      </c>
      <c r="D20" s="13">
        <v>1</v>
      </c>
      <c r="E20" s="15"/>
      <c r="F20" s="13"/>
      <c r="G20" s="15" t="s">
        <v>19</v>
      </c>
      <c r="H20" s="13" t="s">
        <v>44</v>
      </c>
      <c r="I20" s="13">
        <v>64277</v>
      </c>
      <c r="J20" s="13">
        <v>331</v>
      </c>
      <c r="K20" s="13" t="s">
        <v>21</v>
      </c>
      <c r="L20" s="13">
        <v>1</v>
      </c>
      <c r="M20" s="16">
        <v>181000</v>
      </c>
      <c r="N20" s="16">
        <f t="shared" si="0"/>
        <v>181000</v>
      </c>
      <c r="O20" s="13" t="s">
        <v>22</v>
      </c>
      <c r="P20" s="2">
        <v>21</v>
      </c>
    </row>
    <row r="21" spans="1:16" x14ac:dyDescent="0.25">
      <c r="A21" s="13" t="s">
        <v>18</v>
      </c>
      <c r="B21" s="14">
        <v>45844</v>
      </c>
      <c r="C21" s="13">
        <f t="shared" si="1"/>
        <v>131</v>
      </c>
      <c r="D21" s="13">
        <v>1</v>
      </c>
      <c r="E21" s="15"/>
      <c r="F21" s="13"/>
      <c r="G21" s="15" t="s">
        <v>25</v>
      </c>
      <c r="H21" s="13" t="s">
        <v>45</v>
      </c>
      <c r="I21" s="13">
        <v>64277</v>
      </c>
      <c r="J21" s="13">
        <v>331</v>
      </c>
      <c r="K21" s="13" t="s">
        <v>21</v>
      </c>
      <c r="L21" s="13">
        <v>1</v>
      </c>
      <c r="M21" s="16">
        <v>15000</v>
      </c>
      <c r="N21" s="16">
        <f t="shared" si="0"/>
        <v>15000</v>
      </c>
      <c r="O21" s="13" t="s">
        <v>22</v>
      </c>
      <c r="P21" s="2">
        <v>22</v>
      </c>
    </row>
    <row r="22" spans="1:16" x14ac:dyDescent="0.25">
      <c r="A22" s="13" t="s">
        <v>18</v>
      </c>
      <c r="B22" s="14">
        <v>45844</v>
      </c>
      <c r="C22" s="13">
        <f t="shared" si="1"/>
        <v>132</v>
      </c>
      <c r="D22" s="13">
        <v>1</v>
      </c>
      <c r="E22" s="15"/>
      <c r="F22" s="13"/>
      <c r="G22" s="15" t="s">
        <v>46</v>
      </c>
      <c r="H22" s="13" t="s">
        <v>47</v>
      </c>
      <c r="I22" s="13">
        <v>64277</v>
      </c>
      <c r="J22" s="13">
        <v>331</v>
      </c>
      <c r="K22" s="13" t="s">
        <v>21</v>
      </c>
      <c r="L22" s="13">
        <v>1</v>
      </c>
      <c r="M22" s="16">
        <v>1306800</v>
      </c>
      <c r="N22" s="16">
        <f t="shared" si="0"/>
        <v>1306800</v>
      </c>
      <c r="O22" s="13" t="s">
        <v>22</v>
      </c>
      <c r="P22" s="2">
        <v>23</v>
      </c>
    </row>
    <row r="23" spans="1:16" x14ac:dyDescent="0.25">
      <c r="A23" s="13" t="s">
        <v>18</v>
      </c>
      <c r="B23" s="14">
        <v>45845</v>
      </c>
      <c r="C23" s="13">
        <f t="shared" si="1"/>
        <v>133</v>
      </c>
      <c r="D23" s="13">
        <v>1</v>
      </c>
      <c r="E23" s="15"/>
      <c r="F23" s="13"/>
      <c r="G23" s="15" t="s">
        <v>19</v>
      </c>
      <c r="H23" s="13" t="s">
        <v>48</v>
      </c>
      <c r="I23" s="13">
        <v>64277</v>
      </c>
      <c r="J23" s="13">
        <v>331</v>
      </c>
      <c r="K23" s="13" t="s">
        <v>21</v>
      </c>
      <c r="L23" s="13">
        <v>1</v>
      </c>
      <c r="M23" s="16">
        <v>20000</v>
      </c>
      <c r="N23" s="16">
        <f t="shared" si="0"/>
        <v>20000</v>
      </c>
      <c r="O23" s="13" t="s">
        <v>22</v>
      </c>
      <c r="P23" s="2">
        <v>24</v>
      </c>
    </row>
    <row r="24" spans="1:16" x14ac:dyDescent="0.25">
      <c r="A24" s="13" t="s">
        <v>18</v>
      </c>
      <c r="B24" s="14">
        <v>45845</v>
      </c>
      <c r="C24" s="13">
        <f t="shared" si="1"/>
        <v>134</v>
      </c>
      <c r="D24" s="13">
        <v>1</v>
      </c>
      <c r="E24" s="15"/>
      <c r="F24" s="13"/>
      <c r="G24" s="15" t="s">
        <v>19</v>
      </c>
      <c r="H24" s="13" t="s">
        <v>49</v>
      </c>
      <c r="I24" s="13">
        <v>64277</v>
      </c>
      <c r="J24" s="13">
        <v>331</v>
      </c>
      <c r="K24" s="13" t="s">
        <v>21</v>
      </c>
      <c r="L24" s="13">
        <v>1</v>
      </c>
      <c r="M24" s="16">
        <v>29000</v>
      </c>
      <c r="N24" s="16">
        <f t="shared" si="0"/>
        <v>29000</v>
      </c>
      <c r="O24" s="13" t="s">
        <v>22</v>
      </c>
      <c r="P24" s="2">
        <v>25</v>
      </c>
    </row>
    <row r="25" spans="1:16" x14ac:dyDescent="0.25">
      <c r="A25" s="13" t="s">
        <v>18</v>
      </c>
      <c r="B25" s="14">
        <v>45845</v>
      </c>
      <c r="C25" s="13">
        <f t="shared" si="1"/>
        <v>135</v>
      </c>
      <c r="D25" s="13">
        <v>1</v>
      </c>
      <c r="E25" s="15"/>
      <c r="F25" s="13"/>
      <c r="G25" s="15" t="s">
        <v>19</v>
      </c>
      <c r="H25" s="13" t="s">
        <v>50</v>
      </c>
      <c r="I25" s="13">
        <v>64277</v>
      </c>
      <c r="J25" s="13">
        <v>331</v>
      </c>
      <c r="K25" s="13" t="s">
        <v>21</v>
      </c>
      <c r="L25" s="13">
        <v>1</v>
      </c>
      <c r="M25" s="16">
        <v>29000</v>
      </c>
      <c r="N25" s="16">
        <f t="shared" si="0"/>
        <v>29000</v>
      </c>
      <c r="O25" s="13" t="s">
        <v>22</v>
      </c>
      <c r="P25" s="2">
        <v>26</v>
      </c>
    </row>
    <row r="26" spans="1:16" x14ac:dyDescent="0.25">
      <c r="A26" s="13" t="s">
        <v>18</v>
      </c>
      <c r="B26" s="14">
        <v>45845</v>
      </c>
      <c r="C26" s="13">
        <f t="shared" si="1"/>
        <v>136</v>
      </c>
      <c r="D26" s="13">
        <v>1</v>
      </c>
      <c r="E26" s="15"/>
      <c r="F26" s="13"/>
      <c r="G26" s="15" t="s">
        <v>25</v>
      </c>
      <c r="H26" s="13" t="s">
        <v>51</v>
      </c>
      <c r="I26" s="13">
        <v>64277</v>
      </c>
      <c r="J26" s="13">
        <v>331</v>
      </c>
      <c r="K26" s="13" t="s">
        <v>21</v>
      </c>
      <c r="L26" s="13">
        <v>1</v>
      </c>
      <c r="M26" s="16">
        <v>134000</v>
      </c>
      <c r="N26" s="16">
        <f t="shared" si="0"/>
        <v>134000</v>
      </c>
      <c r="O26" s="13" t="s">
        <v>22</v>
      </c>
      <c r="P26" s="2">
        <v>27</v>
      </c>
    </row>
    <row r="27" spans="1:16" x14ac:dyDescent="0.25">
      <c r="A27" s="13" t="s">
        <v>18</v>
      </c>
      <c r="B27" s="14">
        <v>45845</v>
      </c>
      <c r="C27" s="13">
        <f t="shared" si="1"/>
        <v>137</v>
      </c>
      <c r="D27" s="13">
        <v>1</v>
      </c>
      <c r="E27" s="15"/>
      <c r="F27" s="13"/>
      <c r="G27" s="15" t="s">
        <v>52</v>
      </c>
      <c r="H27" s="13" t="s">
        <v>53</v>
      </c>
      <c r="I27" s="13">
        <v>64277</v>
      </c>
      <c r="J27" s="13">
        <v>331</v>
      </c>
      <c r="K27" s="13" t="s">
        <v>21</v>
      </c>
      <c r="L27" s="13">
        <v>1</v>
      </c>
      <c r="M27" s="16">
        <v>1248955</v>
      </c>
      <c r="N27" s="16">
        <f t="shared" si="0"/>
        <v>1248955</v>
      </c>
      <c r="O27" s="13" t="s">
        <v>22</v>
      </c>
      <c r="P27" s="2">
        <v>28</v>
      </c>
    </row>
    <row r="28" spans="1:16" x14ac:dyDescent="0.25">
      <c r="A28" s="13" t="s">
        <v>18</v>
      </c>
      <c r="B28" s="14">
        <v>45846</v>
      </c>
      <c r="C28" s="13">
        <f t="shared" si="1"/>
        <v>138</v>
      </c>
      <c r="D28" s="13">
        <v>1</v>
      </c>
      <c r="E28" s="15"/>
      <c r="F28" s="13"/>
      <c r="G28" s="15" t="s">
        <v>25</v>
      </c>
      <c r="H28" s="13" t="s">
        <v>54</v>
      </c>
      <c r="I28" s="13">
        <v>64277</v>
      </c>
      <c r="J28" s="13">
        <v>331</v>
      </c>
      <c r="K28" s="13" t="s">
        <v>21</v>
      </c>
      <c r="L28" s="13">
        <v>1</v>
      </c>
      <c r="M28" s="16">
        <v>149000</v>
      </c>
      <c r="N28" s="16">
        <f t="shared" si="0"/>
        <v>149000</v>
      </c>
      <c r="O28" s="13" t="s">
        <v>22</v>
      </c>
      <c r="P28" s="2">
        <v>29</v>
      </c>
    </row>
    <row r="29" spans="1:16" x14ac:dyDescent="0.25">
      <c r="A29" s="13" t="s">
        <v>33</v>
      </c>
      <c r="B29" s="14">
        <v>45846</v>
      </c>
      <c r="C29" s="13">
        <f t="shared" si="1"/>
        <v>139</v>
      </c>
      <c r="D29" s="13">
        <v>1</v>
      </c>
      <c r="E29" s="15"/>
      <c r="F29" s="13"/>
      <c r="G29" s="15" t="s">
        <v>55</v>
      </c>
      <c r="H29" s="13" t="s">
        <v>56</v>
      </c>
      <c r="I29" s="13">
        <v>112111</v>
      </c>
      <c r="J29" s="13">
        <v>131</v>
      </c>
      <c r="K29" s="13" t="s">
        <v>21</v>
      </c>
      <c r="L29" s="13">
        <v>1</v>
      </c>
      <c r="M29" s="16">
        <v>18817204</v>
      </c>
      <c r="N29" s="16">
        <f t="shared" si="0"/>
        <v>18817204</v>
      </c>
      <c r="O29" s="13" t="s">
        <v>22</v>
      </c>
      <c r="P29" s="2">
        <v>269</v>
      </c>
    </row>
    <row r="30" spans="1:16" x14ac:dyDescent="0.25">
      <c r="A30" s="13" t="s">
        <v>18</v>
      </c>
      <c r="B30" s="14">
        <v>45847</v>
      </c>
      <c r="C30" s="13">
        <f t="shared" si="1"/>
        <v>140</v>
      </c>
      <c r="D30" s="13">
        <v>1</v>
      </c>
      <c r="E30" s="15"/>
      <c r="F30" s="13"/>
      <c r="G30" s="15" t="s">
        <v>19</v>
      </c>
      <c r="H30" s="13" t="s">
        <v>57</v>
      </c>
      <c r="I30" s="13">
        <v>64277</v>
      </c>
      <c r="J30" s="13">
        <v>331</v>
      </c>
      <c r="K30" s="13" t="s">
        <v>21</v>
      </c>
      <c r="L30" s="13">
        <v>1</v>
      </c>
      <c r="M30" s="16">
        <v>109000</v>
      </c>
      <c r="N30" s="16">
        <f t="shared" si="0"/>
        <v>109000</v>
      </c>
      <c r="O30" s="13" t="s">
        <v>22</v>
      </c>
      <c r="P30" s="2">
        <v>31</v>
      </c>
    </row>
    <row r="31" spans="1:16" x14ac:dyDescent="0.25">
      <c r="A31" s="13" t="s">
        <v>18</v>
      </c>
      <c r="B31" s="14">
        <v>45847</v>
      </c>
      <c r="C31" s="13">
        <f t="shared" si="1"/>
        <v>141</v>
      </c>
      <c r="D31" s="13">
        <v>1</v>
      </c>
      <c r="E31" s="15"/>
      <c r="F31" s="13"/>
      <c r="G31" s="15" t="s">
        <v>19</v>
      </c>
      <c r="H31" s="13" t="s">
        <v>58</v>
      </c>
      <c r="I31" s="13">
        <v>64277</v>
      </c>
      <c r="J31" s="13">
        <v>331</v>
      </c>
      <c r="K31" s="13" t="s">
        <v>21</v>
      </c>
      <c r="L31" s="13">
        <v>1</v>
      </c>
      <c r="M31" s="16">
        <v>35000</v>
      </c>
      <c r="N31" s="16">
        <f t="shared" si="0"/>
        <v>35000</v>
      </c>
      <c r="O31" s="13" t="s">
        <v>22</v>
      </c>
      <c r="P31" s="2">
        <v>32</v>
      </c>
    </row>
    <row r="32" spans="1:16" x14ac:dyDescent="0.25">
      <c r="A32" s="13" t="s">
        <v>18</v>
      </c>
      <c r="B32" s="14">
        <v>45847</v>
      </c>
      <c r="C32" s="13">
        <f t="shared" si="1"/>
        <v>142</v>
      </c>
      <c r="D32" s="13">
        <v>1</v>
      </c>
      <c r="E32" s="15"/>
      <c r="F32" s="13"/>
      <c r="G32" s="15" t="s">
        <v>19</v>
      </c>
      <c r="H32" s="13" t="s">
        <v>59</v>
      </c>
      <c r="I32" s="13">
        <v>64277</v>
      </c>
      <c r="J32" s="13">
        <v>331</v>
      </c>
      <c r="K32" s="13" t="s">
        <v>21</v>
      </c>
      <c r="L32" s="13">
        <v>1</v>
      </c>
      <c r="M32" s="16">
        <v>108000</v>
      </c>
      <c r="N32" s="16">
        <f t="shared" si="0"/>
        <v>108000</v>
      </c>
      <c r="O32" s="13" t="s">
        <v>22</v>
      </c>
      <c r="P32" s="2">
        <v>33</v>
      </c>
    </row>
    <row r="33" spans="1:16" x14ac:dyDescent="0.25">
      <c r="A33" s="13" t="s">
        <v>18</v>
      </c>
      <c r="B33" s="14">
        <v>45847</v>
      </c>
      <c r="C33" s="13">
        <f t="shared" si="1"/>
        <v>143</v>
      </c>
      <c r="D33" s="13">
        <v>1</v>
      </c>
      <c r="E33" s="15"/>
      <c r="F33" s="13"/>
      <c r="G33" s="15" t="s">
        <v>19</v>
      </c>
      <c r="H33" s="13" t="s">
        <v>60</v>
      </c>
      <c r="I33" s="13">
        <v>64277</v>
      </c>
      <c r="J33" s="13">
        <v>331</v>
      </c>
      <c r="K33" s="13" t="s">
        <v>21</v>
      </c>
      <c r="L33" s="13">
        <v>1</v>
      </c>
      <c r="M33" s="16">
        <v>128000</v>
      </c>
      <c r="N33" s="16">
        <f t="shared" si="0"/>
        <v>128000</v>
      </c>
      <c r="O33" s="13" t="s">
        <v>22</v>
      </c>
      <c r="P33" s="2">
        <v>34</v>
      </c>
    </row>
    <row r="34" spans="1:16" x14ac:dyDescent="0.25">
      <c r="A34" s="13" t="s">
        <v>18</v>
      </c>
      <c r="B34" s="14">
        <v>45847</v>
      </c>
      <c r="C34" s="13">
        <f t="shared" si="1"/>
        <v>144</v>
      </c>
      <c r="D34" s="13">
        <v>1</v>
      </c>
      <c r="E34" s="15"/>
      <c r="F34" s="13"/>
      <c r="G34" s="15" t="s">
        <v>19</v>
      </c>
      <c r="H34" s="13" t="s">
        <v>61</v>
      </c>
      <c r="I34" s="13">
        <v>64277</v>
      </c>
      <c r="J34" s="13">
        <v>331</v>
      </c>
      <c r="K34" s="13" t="s">
        <v>21</v>
      </c>
      <c r="L34" s="13">
        <v>1</v>
      </c>
      <c r="M34" s="16">
        <v>114000</v>
      </c>
      <c r="N34" s="16">
        <f t="shared" si="0"/>
        <v>114000</v>
      </c>
      <c r="O34" s="13" t="s">
        <v>22</v>
      </c>
      <c r="P34" s="2">
        <v>35</v>
      </c>
    </row>
    <row r="35" spans="1:16" x14ac:dyDescent="0.25">
      <c r="A35" s="13" t="s">
        <v>18</v>
      </c>
      <c r="B35" s="14">
        <v>45847</v>
      </c>
      <c r="C35" s="13">
        <f t="shared" si="1"/>
        <v>145</v>
      </c>
      <c r="D35" s="13">
        <v>1</v>
      </c>
      <c r="E35" s="15"/>
      <c r="F35" s="13"/>
      <c r="G35" s="15" t="s">
        <v>25</v>
      </c>
      <c r="H35" s="13" t="s">
        <v>62</v>
      </c>
      <c r="I35" s="13">
        <v>64277</v>
      </c>
      <c r="J35" s="13">
        <v>331</v>
      </c>
      <c r="K35" s="13" t="s">
        <v>21</v>
      </c>
      <c r="L35" s="13">
        <v>1</v>
      </c>
      <c r="M35" s="16">
        <v>194000</v>
      </c>
      <c r="N35" s="16">
        <f t="shared" si="0"/>
        <v>194000</v>
      </c>
      <c r="O35" s="13" t="s">
        <v>22</v>
      </c>
      <c r="P35" s="2">
        <v>36</v>
      </c>
    </row>
    <row r="36" spans="1:16" x14ac:dyDescent="0.25">
      <c r="A36" s="13" t="s">
        <v>18</v>
      </c>
      <c r="B36" s="14">
        <v>45848</v>
      </c>
      <c r="C36" s="13">
        <f t="shared" si="1"/>
        <v>146</v>
      </c>
      <c r="D36" s="13">
        <v>1</v>
      </c>
      <c r="E36" s="15"/>
      <c r="F36" s="13"/>
      <c r="G36" s="15" t="s">
        <v>25</v>
      </c>
      <c r="H36" s="13" t="s">
        <v>63</v>
      </c>
      <c r="I36" s="13">
        <v>64277</v>
      </c>
      <c r="J36" s="13">
        <v>331</v>
      </c>
      <c r="K36" s="13" t="s">
        <v>21</v>
      </c>
      <c r="L36" s="13">
        <v>1</v>
      </c>
      <c r="M36" s="16">
        <v>154000</v>
      </c>
      <c r="N36" s="16">
        <f t="shared" si="0"/>
        <v>154000</v>
      </c>
      <c r="O36" s="13" t="s">
        <v>22</v>
      </c>
      <c r="P36" s="2">
        <v>37</v>
      </c>
    </row>
    <row r="37" spans="1:16" x14ac:dyDescent="0.25">
      <c r="A37" s="13" t="s">
        <v>18</v>
      </c>
      <c r="B37" s="14">
        <v>45849</v>
      </c>
      <c r="C37" s="13">
        <f t="shared" si="1"/>
        <v>147</v>
      </c>
      <c r="D37" s="13">
        <v>1</v>
      </c>
      <c r="E37" s="15"/>
      <c r="F37" s="13"/>
      <c r="G37" s="15" t="s">
        <v>25</v>
      </c>
      <c r="H37" s="13" t="s">
        <v>64</v>
      </c>
      <c r="I37" s="13">
        <v>64277</v>
      </c>
      <c r="J37" s="13">
        <v>331</v>
      </c>
      <c r="K37" s="13" t="s">
        <v>21</v>
      </c>
      <c r="L37" s="13">
        <v>1</v>
      </c>
      <c r="M37" s="16">
        <v>149000</v>
      </c>
      <c r="N37" s="16">
        <f t="shared" si="0"/>
        <v>149000</v>
      </c>
      <c r="O37" s="13" t="s">
        <v>22</v>
      </c>
      <c r="P37" s="2">
        <v>38</v>
      </c>
    </row>
    <row r="38" spans="1:16" x14ac:dyDescent="0.25">
      <c r="A38" s="13" t="s">
        <v>18</v>
      </c>
      <c r="B38" s="14">
        <v>45850</v>
      </c>
      <c r="C38" s="13">
        <f t="shared" si="1"/>
        <v>148</v>
      </c>
      <c r="D38" s="13">
        <v>1</v>
      </c>
      <c r="E38" s="15"/>
      <c r="F38" s="13"/>
      <c r="G38" s="15" t="s">
        <v>19</v>
      </c>
      <c r="H38" s="13" t="s">
        <v>65</v>
      </c>
      <c r="I38" s="13">
        <v>64277</v>
      </c>
      <c r="J38" s="13">
        <v>331</v>
      </c>
      <c r="K38" s="13" t="s">
        <v>21</v>
      </c>
      <c r="L38" s="13">
        <v>1</v>
      </c>
      <c r="M38" s="16">
        <v>166000</v>
      </c>
      <c r="N38" s="16">
        <f t="shared" si="0"/>
        <v>166000</v>
      </c>
      <c r="O38" s="13" t="s">
        <v>22</v>
      </c>
      <c r="P38" s="2">
        <v>39</v>
      </c>
    </row>
    <row r="39" spans="1:16" x14ac:dyDescent="0.25">
      <c r="A39" s="13" t="s">
        <v>18</v>
      </c>
      <c r="B39" s="14">
        <v>45850</v>
      </c>
      <c r="C39" s="13">
        <f t="shared" si="1"/>
        <v>149</v>
      </c>
      <c r="D39" s="13">
        <v>1</v>
      </c>
      <c r="E39" s="15"/>
      <c r="F39" s="13"/>
      <c r="G39" s="15" t="s">
        <v>19</v>
      </c>
      <c r="H39" s="13" t="s">
        <v>66</v>
      </c>
      <c r="I39" s="13">
        <v>64277</v>
      </c>
      <c r="J39" s="13">
        <v>331</v>
      </c>
      <c r="K39" s="13" t="s">
        <v>21</v>
      </c>
      <c r="L39" s="13">
        <v>1</v>
      </c>
      <c r="M39" s="16">
        <v>26000</v>
      </c>
      <c r="N39" s="16">
        <f t="shared" si="0"/>
        <v>26000</v>
      </c>
      <c r="O39" s="13" t="s">
        <v>22</v>
      </c>
      <c r="P39" s="2">
        <v>40</v>
      </c>
    </row>
    <row r="40" spans="1:16" x14ac:dyDescent="0.25">
      <c r="A40" s="13" t="s">
        <v>18</v>
      </c>
      <c r="B40" s="14">
        <v>45850</v>
      </c>
      <c r="C40" s="13">
        <f t="shared" si="1"/>
        <v>150</v>
      </c>
      <c r="D40" s="13">
        <v>1</v>
      </c>
      <c r="E40" s="15"/>
      <c r="F40" s="13"/>
      <c r="G40" s="15" t="s">
        <v>19</v>
      </c>
      <c r="H40" s="13" t="s">
        <v>67</v>
      </c>
      <c r="I40" s="13">
        <v>64277</v>
      </c>
      <c r="J40" s="13">
        <v>331</v>
      </c>
      <c r="K40" s="13" t="s">
        <v>21</v>
      </c>
      <c r="L40" s="13">
        <v>1</v>
      </c>
      <c r="M40" s="16">
        <v>171000</v>
      </c>
      <c r="N40" s="16">
        <f t="shared" si="0"/>
        <v>171000</v>
      </c>
      <c r="O40" s="13" t="s">
        <v>22</v>
      </c>
      <c r="P40" s="2">
        <v>41</v>
      </c>
    </row>
    <row r="41" spans="1:16" x14ac:dyDescent="0.25">
      <c r="A41" s="13" t="s">
        <v>18</v>
      </c>
      <c r="B41" s="14">
        <v>45851</v>
      </c>
      <c r="C41" s="13">
        <f t="shared" si="1"/>
        <v>151</v>
      </c>
      <c r="D41" s="13">
        <v>1</v>
      </c>
      <c r="E41" s="15"/>
      <c r="F41" s="13"/>
      <c r="G41" s="15" t="s">
        <v>19</v>
      </c>
      <c r="H41" s="13" t="s">
        <v>68</v>
      </c>
      <c r="I41" s="13">
        <v>64277</v>
      </c>
      <c r="J41" s="13">
        <v>331</v>
      </c>
      <c r="K41" s="13" t="s">
        <v>21</v>
      </c>
      <c r="L41" s="13">
        <v>1</v>
      </c>
      <c r="M41" s="16">
        <v>75000</v>
      </c>
      <c r="N41" s="16">
        <f t="shared" si="0"/>
        <v>75000</v>
      </c>
      <c r="O41" s="13" t="s">
        <v>22</v>
      </c>
      <c r="P41" s="2">
        <v>42</v>
      </c>
    </row>
    <row r="42" spans="1:16" x14ac:dyDescent="0.25">
      <c r="A42" s="13" t="s">
        <v>18</v>
      </c>
      <c r="B42" s="14">
        <v>45851</v>
      </c>
      <c r="C42" s="13">
        <f t="shared" si="1"/>
        <v>152</v>
      </c>
      <c r="D42" s="13">
        <v>1</v>
      </c>
      <c r="E42" s="15"/>
      <c r="F42" s="13"/>
      <c r="G42" s="15" t="s">
        <v>19</v>
      </c>
      <c r="H42" s="13" t="s">
        <v>69</v>
      </c>
      <c r="I42" s="13">
        <v>64277</v>
      </c>
      <c r="J42" s="13">
        <v>331</v>
      </c>
      <c r="K42" s="13" t="s">
        <v>21</v>
      </c>
      <c r="L42" s="13">
        <v>1</v>
      </c>
      <c r="M42" s="16">
        <v>40000</v>
      </c>
      <c r="N42" s="16">
        <f t="shared" si="0"/>
        <v>40000</v>
      </c>
      <c r="O42" s="13" t="s">
        <v>22</v>
      </c>
      <c r="P42" s="2">
        <v>43</v>
      </c>
    </row>
    <row r="43" spans="1:16" x14ac:dyDescent="0.25">
      <c r="A43" s="13" t="s">
        <v>18</v>
      </c>
      <c r="B43" s="14">
        <v>45851</v>
      </c>
      <c r="C43" s="13">
        <f t="shared" si="1"/>
        <v>153</v>
      </c>
      <c r="D43" s="13">
        <v>1</v>
      </c>
      <c r="E43" s="15"/>
      <c r="F43" s="13"/>
      <c r="G43" s="15" t="s">
        <v>19</v>
      </c>
      <c r="H43" s="13" t="s">
        <v>70</v>
      </c>
      <c r="I43" s="13">
        <v>64277</v>
      </c>
      <c r="J43" s="13">
        <v>331</v>
      </c>
      <c r="K43" s="13" t="s">
        <v>21</v>
      </c>
      <c r="L43" s="13">
        <v>1</v>
      </c>
      <c r="M43" s="16">
        <v>45000</v>
      </c>
      <c r="N43" s="16">
        <f t="shared" si="0"/>
        <v>45000</v>
      </c>
      <c r="O43" s="13" t="s">
        <v>22</v>
      </c>
      <c r="P43" s="2">
        <v>44</v>
      </c>
    </row>
    <row r="44" spans="1:16" x14ac:dyDescent="0.25">
      <c r="A44" s="13" t="s">
        <v>18</v>
      </c>
      <c r="B44" s="14">
        <v>45851</v>
      </c>
      <c r="C44" s="13">
        <f t="shared" si="1"/>
        <v>154</v>
      </c>
      <c r="D44" s="13">
        <v>1</v>
      </c>
      <c r="E44" s="15"/>
      <c r="F44" s="13"/>
      <c r="G44" s="15" t="s">
        <v>19</v>
      </c>
      <c r="H44" s="13" t="s">
        <v>71</v>
      </c>
      <c r="I44" s="13">
        <v>64277</v>
      </c>
      <c r="J44" s="13">
        <v>331</v>
      </c>
      <c r="K44" s="13" t="s">
        <v>21</v>
      </c>
      <c r="L44" s="13">
        <v>1</v>
      </c>
      <c r="M44" s="16">
        <v>243000</v>
      </c>
      <c r="N44" s="16">
        <f t="shared" si="0"/>
        <v>243000</v>
      </c>
      <c r="O44" s="13" t="s">
        <v>22</v>
      </c>
      <c r="P44" s="2">
        <v>45</v>
      </c>
    </row>
    <row r="45" spans="1:16" x14ac:dyDescent="0.25">
      <c r="A45" s="13" t="s">
        <v>18</v>
      </c>
      <c r="B45" s="14">
        <v>45851</v>
      </c>
      <c r="C45" s="13">
        <f t="shared" si="1"/>
        <v>155</v>
      </c>
      <c r="D45" s="13">
        <v>1</v>
      </c>
      <c r="E45" s="15"/>
      <c r="F45" s="13"/>
      <c r="G45" s="15" t="s">
        <v>72</v>
      </c>
      <c r="H45" s="13" t="s">
        <v>73</v>
      </c>
      <c r="I45" s="13">
        <v>64277</v>
      </c>
      <c r="J45" s="13">
        <v>331</v>
      </c>
      <c r="K45" s="13" t="s">
        <v>21</v>
      </c>
      <c r="L45" s="13">
        <v>1</v>
      </c>
      <c r="M45" s="16">
        <v>758000</v>
      </c>
      <c r="N45" s="16">
        <f t="shared" si="0"/>
        <v>758000</v>
      </c>
      <c r="O45" s="13" t="s">
        <v>22</v>
      </c>
      <c r="P45" s="2">
        <v>46</v>
      </c>
    </row>
    <row r="46" spans="1:16" x14ac:dyDescent="0.25">
      <c r="A46" s="13" t="s">
        <v>18</v>
      </c>
      <c r="B46" s="14">
        <v>45851</v>
      </c>
      <c r="C46" s="13">
        <f t="shared" si="1"/>
        <v>156</v>
      </c>
      <c r="D46" s="13">
        <v>1</v>
      </c>
      <c r="E46" s="15"/>
      <c r="F46" s="13"/>
      <c r="G46" s="15" t="s">
        <v>25</v>
      </c>
      <c r="H46" s="13" t="s">
        <v>74</v>
      </c>
      <c r="I46" s="13">
        <v>64277</v>
      </c>
      <c r="J46" s="13">
        <v>331</v>
      </c>
      <c r="K46" s="13" t="s">
        <v>21</v>
      </c>
      <c r="L46" s="13">
        <v>1</v>
      </c>
      <c r="M46" s="16">
        <v>149000</v>
      </c>
      <c r="N46" s="16">
        <f t="shared" si="0"/>
        <v>149000</v>
      </c>
      <c r="O46" s="13" t="s">
        <v>22</v>
      </c>
      <c r="P46" s="2">
        <v>47</v>
      </c>
    </row>
    <row r="47" spans="1:16" x14ac:dyDescent="0.25">
      <c r="A47" s="13" t="s">
        <v>18</v>
      </c>
      <c r="B47" s="14">
        <v>45852</v>
      </c>
      <c r="C47" s="13">
        <f t="shared" si="1"/>
        <v>157</v>
      </c>
      <c r="D47" s="13">
        <v>1</v>
      </c>
      <c r="E47" s="15"/>
      <c r="F47" s="13"/>
      <c r="G47" s="15" t="s">
        <v>25</v>
      </c>
      <c r="H47" s="13" t="s">
        <v>75</v>
      </c>
      <c r="I47" s="13">
        <v>64277</v>
      </c>
      <c r="J47" s="13">
        <v>331</v>
      </c>
      <c r="K47" s="13" t="s">
        <v>21</v>
      </c>
      <c r="L47" s="13">
        <v>1</v>
      </c>
      <c r="M47" s="16">
        <v>82000</v>
      </c>
      <c r="N47" s="16">
        <f t="shared" si="0"/>
        <v>82000</v>
      </c>
      <c r="O47" s="13" t="s">
        <v>22</v>
      </c>
      <c r="P47" s="2">
        <v>48</v>
      </c>
    </row>
    <row r="48" spans="1:16" x14ac:dyDescent="0.25">
      <c r="A48" s="13" t="s">
        <v>18</v>
      </c>
      <c r="B48" s="14">
        <v>45853</v>
      </c>
      <c r="C48" s="13">
        <f t="shared" si="1"/>
        <v>158</v>
      </c>
      <c r="D48" s="13">
        <v>1</v>
      </c>
      <c r="E48" s="15"/>
      <c r="F48" s="13"/>
      <c r="G48" s="15" t="s">
        <v>76</v>
      </c>
      <c r="H48" s="13" t="s">
        <v>77</v>
      </c>
      <c r="I48" s="13">
        <v>64277</v>
      </c>
      <c r="J48" s="13">
        <v>331</v>
      </c>
      <c r="K48" s="13" t="s">
        <v>21</v>
      </c>
      <c r="L48" s="13">
        <v>1</v>
      </c>
      <c r="M48" s="16">
        <v>190000</v>
      </c>
      <c r="N48" s="16">
        <f t="shared" si="0"/>
        <v>190000</v>
      </c>
      <c r="O48" s="13" t="s">
        <v>22</v>
      </c>
      <c r="P48" s="2">
        <v>49</v>
      </c>
    </row>
    <row r="49" spans="1:16" x14ac:dyDescent="0.25">
      <c r="A49" s="13" t="s">
        <v>18</v>
      </c>
      <c r="B49" s="14">
        <v>45853</v>
      </c>
      <c r="C49" s="13">
        <f t="shared" si="1"/>
        <v>159</v>
      </c>
      <c r="D49" s="13">
        <v>1</v>
      </c>
      <c r="E49" s="15"/>
      <c r="F49" s="13"/>
      <c r="G49" s="15" t="s">
        <v>78</v>
      </c>
      <c r="H49" s="13" t="s">
        <v>79</v>
      </c>
      <c r="I49" s="13">
        <v>64277</v>
      </c>
      <c r="J49" s="13">
        <v>331</v>
      </c>
      <c r="K49" s="13" t="s">
        <v>21</v>
      </c>
      <c r="L49" s="13">
        <v>1</v>
      </c>
      <c r="M49" s="16">
        <v>162000</v>
      </c>
      <c r="N49" s="16">
        <f t="shared" si="0"/>
        <v>162000</v>
      </c>
      <c r="O49" s="13" t="s">
        <v>22</v>
      </c>
      <c r="P49" s="2">
        <v>50</v>
      </c>
    </row>
    <row r="50" spans="1:16" x14ac:dyDescent="0.25">
      <c r="A50" s="13" t="s">
        <v>18</v>
      </c>
      <c r="B50" s="14">
        <v>45854</v>
      </c>
      <c r="C50" s="13">
        <f t="shared" si="1"/>
        <v>160</v>
      </c>
      <c r="D50" s="13">
        <v>1</v>
      </c>
      <c r="E50" s="15"/>
      <c r="F50" s="13"/>
      <c r="G50" s="15" t="s">
        <v>80</v>
      </c>
      <c r="H50" s="13" t="s">
        <v>81</v>
      </c>
      <c r="I50" s="13">
        <v>64277</v>
      </c>
      <c r="J50" s="13">
        <v>331</v>
      </c>
      <c r="K50" s="13" t="s">
        <v>21</v>
      </c>
      <c r="L50" s="13">
        <v>1</v>
      </c>
      <c r="M50" s="16">
        <v>440000</v>
      </c>
      <c r="N50" s="16">
        <f t="shared" si="0"/>
        <v>440000</v>
      </c>
      <c r="O50" s="13" t="s">
        <v>22</v>
      </c>
      <c r="P50" s="2">
        <v>51</v>
      </c>
    </row>
    <row r="51" spans="1:16" x14ac:dyDescent="0.25">
      <c r="A51" s="13" t="s">
        <v>18</v>
      </c>
      <c r="B51" s="14">
        <v>45855</v>
      </c>
      <c r="C51" s="13">
        <f t="shared" si="1"/>
        <v>161</v>
      </c>
      <c r="D51" s="13">
        <v>1</v>
      </c>
      <c r="E51" s="15"/>
      <c r="F51" s="13"/>
      <c r="G51" s="15" t="s">
        <v>19</v>
      </c>
      <c r="H51" s="13" t="s">
        <v>82</v>
      </c>
      <c r="I51" s="13">
        <v>64277</v>
      </c>
      <c r="J51" s="13">
        <v>331</v>
      </c>
      <c r="K51" s="13" t="s">
        <v>21</v>
      </c>
      <c r="L51" s="13">
        <v>1</v>
      </c>
      <c r="M51" s="16">
        <v>113000</v>
      </c>
      <c r="N51" s="16">
        <f t="shared" si="0"/>
        <v>113000</v>
      </c>
      <c r="O51" s="13" t="s">
        <v>22</v>
      </c>
      <c r="P51" s="2">
        <v>52</v>
      </c>
    </row>
    <row r="52" spans="1:16" x14ac:dyDescent="0.25">
      <c r="A52" s="13" t="s">
        <v>18</v>
      </c>
      <c r="B52" s="14">
        <v>45855</v>
      </c>
      <c r="C52" s="13">
        <f t="shared" si="1"/>
        <v>162</v>
      </c>
      <c r="D52" s="13">
        <v>1</v>
      </c>
      <c r="E52" s="15"/>
      <c r="F52" s="13"/>
      <c r="G52" s="15" t="s">
        <v>19</v>
      </c>
      <c r="H52" s="13" t="s">
        <v>83</v>
      </c>
      <c r="I52" s="13">
        <v>64277</v>
      </c>
      <c r="J52" s="13">
        <v>331</v>
      </c>
      <c r="K52" s="13" t="s">
        <v>21</v>
      </c>
      <c r="L52" s="13">
        <v>1</v>
      </c>
      <c r="M52" s="16">
        <v>69000</v>
      </c>
      <c r="N52" s="16">
        <f t="shared" si="0"/>
        <v>69000</v>
      </c>
      <c r="O52" s="13" t="s">
        <v>22</v>
      </c>
      <c r="P52" s="2">
        <v>53</v>
      </c>
    </row>
    <row r="53" spans="1:16" x14ac:dyDescent="0.25">
      <c r="A53" s="13" t="s">
        <v>18</v>
      </c>
      <c r="B53" s="14">
        <v>45855</v>
      </c>
      <c r="C53" s="13">
        <f t="shared" si="1"/>
        <v>163</v>
      </c>
      <c r="D53" s="13">
        <v>1</v>
      </c>
      <c r="E53" s="15"/>
      <c r="F53" s="13"/>
      <c r="G53" s="15" t="s">
        <v>19</v>
      </c>
      <c r="H53" s="13" t="s">
        <v>84</v>
      </c>
      <c r="I53" s="13">
        <v>64277</v>
      </c>
      <c r="J53" s="13">
        <v>331</v>
      </c>
      <c r="K53" s="13" t="s">
        <v>21</v>
      </c>
      <c r="L53" s="13">
        <v>1</v>
      </c>
      <c r="M53" s="16">
        <v>103000</v>
      </c>
      <c r="N53" s="16">
        <f t="shared" si="0"/>
        <v>103000</v>
      </c>
      <c r="O53" s="13" t="s">
        <v>22</v>
      </c>
      <c r="P53" s="2">
        <v>54</v>
      </c>
    </row>
    <row r="54" spans="1:16" x14ac:dyDescent="0.25">
      <c r="A54" s="13" t="s">
        <v>18</v>
      </c>
      <c r="B54" s="14">
        <v>45855</v>
      </c>
      <c r="C54" s="13">
        <f t="shared" si="1"/>
        <v>164</v>
      </c>
      <c r="D54" s="13">
        <v>1</v>
      </c>
      <c r="E54" s="15"/>
      <c r="F54" s="13"/>
      <c r="G54" s="15" t="s">
        <v>85</v>
      </c>
      <c r="H54" s="13" t="s">
        <v>86</v>
      </c>
      <c r="I54" s="13">
        <v>64277</v>
      </c>
      <c r="J54" s="13">
        <v>331</v>
      </c>
      <c r="K54" s="13" t="s">
        <v>21</v>
      </c>
      <c r="L54" s="13">
        <v>1</v>
      </c>
      <c r="M54" s="16">
        <v>776628</v>
      </c>
      <c r="N54" s="16">
        <f t="shared" si="0"/>
        <v>776628</v>
      </c>
      <c r="O54" s="13" t="s">
        <v>22</v>
      </c>
      <c r="P54" s="2">
        <v>55</v>
      </c>
    </row>
    <row r="55" spans="1:16" x14ac:dyDescent="0.25">
      <c r="A55" s="13" t="s">
        <v>18</v>
      </c>
      <c r="B55" s="14">
        <v>45855</v>
      </c>
      <c r="C55" s="13">
        <f t="shared" si="1"/>
        <v>165</v>
      </c>
      <c r="D55" s="13">
        <v>1</v>
      </c>
      <c r="E55" s="15"/>
      <c r="F55" s="13"/>
      <c r="G55" s="15" t="s">
        <v>87</v>
      </c>
      <c r="H55" s="13" t="s">
        <v>88</v>
      </c>
      <c r="I55" s="13">
        <v>131</v>
      </c>
      <c r="J55" s="13">
        <v>5113</v>
      </c>
      <c r="K55" s="13" t="s">
        <v>21</v>
      </c>
      <c r="L55" s="13">
        <v>1</v>
      </c>
      <c r="M55" s="16">
        <v>31182796</v>
      </c>
      <c r="N55" s="16">
        <f t="shared" si="0"/>
        <v>31182796</v>
      </c>
      <c r="O55" s="13" t="s">
        <v>22</v>
      </c>
      <c r="P55" s="2">
        <v>234</v>
      </c>
    </row>
    <row r="56" spans="1:16" x14ac:dyDescent="0.25">
      <c r="A56" s="13" t="s">
        <v>89</v>
      </c>
      <c r="B56" s="14">
        <v>45855</v>
      </c>
      <c r="C56" s="13">
        <f t="shared" si="1"/>
        <v>166</v>
      </c>
      <c r="D56" s="13">
        <v>1</v>
      </c>
      <c r="E56" s="15"/>
      <c r="F56" s="13"/>
      <c r="G56" s="15" t="s">
        <v>29</v>
      </c>
      <c r="H56" s="13" t="s">
        <v>90</v>
      </c>
      <c r="I56" s="13">
        <v>333822</v>
      </c>
      <c r="J56" s="13">
        <v>112111</v>
      </c>
      <c r="K56" s="13" t="s">
        <v>21</v>
      </c>
      <c r="L56" s="13">
        <v>1</v>
      </c>
      <c r="M56" s="16">
        <v>2150677</v>
      </c>
      <c r="N56" s="16">
        <f t="shared" si="0"/>
        <v>2150677</v>
      </c>
      <c r="O56" s="13" t="s">
        <v>22</v>
      </c>
      <c r="P56" s="2">
        <v>270</v>
      </c>
    </row>
    <row r="57" spans="1:16" x14ac:dyDescent="0.25">
      <c r="A57" s="13" t="s">
        <v>33</v>
      </c>
      <c r="B57" s="14">
        <v>45855</v>
      </c>
      <c r="C57" s="13">
        <f t="shared" si="1"/>
        <v>167</v>
      </c>
      <c r="D57" s="13">
        <v>1</v>
      </c>
      <c r="E57" s="15"/>
      <c r="F57" s="13"/>
      <c r="G57" s="15" t="s">
        <v>87</v>
      </c>
      <c r="H57" s="13" t="s">
        <v>91</v>
      </c>
      <c r="I57" s="13">
        <v>112111</v>
      </c>
      <c r="J57" s="13">
        <v>131</v>
      </c>
      <c r="K57" s="13" t="s">
        <v>21</v>
      </c>
      <c r="L57" s="13">
        <v>1</v>
      </c>
      <c r="M57" s="16">
        <v>31182796</v>
      </c>
      <c r="N57" s="16">
        <f t="shared" si="0"/>
        <v>31182796</v>
      </c>
      <c r="O57" s="13" t="s">
        <v>22</v>
      </c>
      <c r="P57" s="2">
        <v>271</v>
      </c>
    </row>
    <row r="58" spans="1:16" x14ac:dyDescent="0.25">
      <c r="A58" s="13" t="s">
        <v>18</v>
      </c>
      <c r="B58" s="14">
        <v>45856</v>
      </c>
      <c r="C58" s="13">
        <f t="shared" si="1"/>
        <v>168</v>
      </c>
      <c r="D58" s="13">
        <v>1</v>
      </c>
      <c r="E58" s="15"/>
      <c r="F58" s="13"/>
      <c r="G58" s="15" t="s">
        <v>92</v>
      </c>
      <c r="H58" s="13" t="s">
        <v>93</v>
      </c>
      <c r="I58" s="13">
        <v>64277</v>
      </c>
      <c r="J58" s="13">
        <v>331</v>
      </c>
      <c r="K58" s="13" t="s">
        <v>21</v>
      </c>
      <c r="L58" s="13">
        <v>1</v>
      </c>
      <c r="M58" s="16">
        <v>1120000</v>
      </c>
      <c r="N58" s="16">
        <f t="shared" si="0"/>
        <v>1120000</v>
      </c>
      <c r="O58" s="13" t="s">
        <v>22</v>
      </c>
      <c r="P58" s="2">
        <v>56</v>
      </c>
    </row>
    <row r="59" spans="1:16" x14ac:dyDescent="0.25">
      <c r="A59" s="13" t="s">
        <v>18</v>
      </c>
      <c r="B59" s="14">
        <v>45856</v>
      </c>
      <c r="C59" s="13">
        <f t="shared" si="1"/>
        <v>169</v>
      </c>
      <c r="D59" s="13">
        <v>1</v>
      </c>
      <c r="E59" s="15"/>
      <c r="F59" s="13"/>
      <c r="G59" s="15" t="s">
        <v>25</v>
      </c>
      <c r="H59" s="13" t="s">
        <v>94</v>
      </c>
      <c r="I59" s="13">
        <v>64277</v>
      </c>
      <c r="J59" s="13">
        <v>331</v>
      </c>
      <c r="K59" s="13" t="s">
        <v>21</v>
      </c>
      <c r="L59" s="13">
        <v>1</v>
      </c>
      <c r="M59" s="16">
        <v>149000</v>
      </c>
      <c r="N59" s="16">
        <f t="shared" si="0"/>
        <v>149000</v>
      </c>
      <c r="O59" s="13" t="s">
        <v>22</v>
      </c>
      <c r="P59" s="2">
        <v>57</v>
      </c>
    </row>
    <row r="60" spans="1:16" x14ac:dyDescent="0.25">
      <c r="A60" s="13" t="s">
        <v>18</v>
      </c>
      <c r="B60" s="14">
        <v>45856</v>
      </c>
      <c r="C60" s="13">
        <f t="shared" si="1"/>
        <v>170</v>
      </c>
      <c r="D60" s="13">
        <v>1</v>
      </c>
      <c r="E60" s="15"/>
      <c r="F60" s="13"/>
      <c r="G60" s="15" t="s">
        <v>25</v>
      </c>
      <c r="H60" s="13" t="s">
        <v>95</v>
      </c>
      <c r="I60" s="13">
        <v>64277</v>
      </c>
      <c r="J60" s="13">
        <v>331</v>
      </c>
      <c r="K60" s="13" t="s">
        <v>21</v>
      </c>
      <c r="L60" s="13">
        <v>1</v>
      </c>
      <c r="M60" s="16">
        <v>129000</v>
      </c>
      <c r="N60" s="16">
        <f t="shared" si="0"/>
        <v>129000</v>
      </c>
      <c r="O60" s="13" t="s">
        <v>22</v>
      </c>
      <c r="P60" s="2">
        <v>58</v>
      </c>
    </row>
    <row r="61" spans="1:16" x14ac:dyDescent="0.25">
      <c r="A61" s="13" t="s">
        <v>18</v>
      </c>
      <c r="B61" s="14">
        <v>45856</v>
      </c>
      <c r="C61" s="13">
        <f t="shared" si="1"/>
        <v>171</v>
      </c>
      <c r="D61" s="13">
        <v>1</v>
      </c>
      <c r="E61" s="15"/>
      <c r="F61" s="13"/>
      <c r="G61" s="15" t="s">
        <v>96</v>
      </c>
      <c r="H61" s="13" t="s">
        <v>97</v>
      </c>
      <c r="I61" s="13">
        <v>131</v>
      </c>
      <c r="J61" s="13">
        <v>5113</v>
      </c>
      <c r="K61" s="13" t="s">
        <v>21</v>
      </c>
      <c r="L61" s="13">
        <v>1</v>
      </c>
      <c r="M61" s="16">
        <v>21600000</v>
      </c>
      <c r="N61" s="16">
        <f t="shared" si="0"/>
        <v>21600000</v>
      </c>
      <c r="O61" s="13" t="s">
        <v>22</v>
      </c>
      <c r="P61" s="2">
        <v>235</v>
      </c>
    </row>
    <row r="62" spans="1:16" x14ac:dyDescent="0.25">
      <c r="A62" s="13" t="s">
        <v>18</v>
      </c>
      <c r="B62" s="14">
        <v>45858</v>
      </c>
      <c r="C62" s="13">
        <f t="shared" si="1"/>
        <v>172</v>
      </c>
      <c r="D62" s="13">
        <v>1</v>
      </c>
      <c r="E62" s="15"/>
      <c r="F62" s="13"/>
      <c r="G62" s="15" t="s">
        <v>85</v>
      </c>
      <c r="H62" s="13" t="s">
        <v>98</v>
      </c>
      <c r="I62" s="13">
        <v>64277</v>
      </c>
      <c r="J62" s="13">
        <v>331</v>
      </c>
      <c r="K62" s="13" t="s">
        <v>21</v>
      </c>
      <c r="L62" s="13">
        <v>1</v>
      </c>
      <c r="M62" s="16">
        <v>760320</v>
      </c>
      <c r="N62" s="16">
        <f t="shared" si="0"/>
        <v>760320</v>
      </c>
      <c r="O62" s="13" t="s">
        <v>22</v>
      </c>
      <c r="P62" s="2">
        <v>59</v>
      </c>
    </row>
    <row r="63" spans="1:16" x14ac:dyDescent="0.25">
      <c r="A63" s="13" t="s">
        <v>18</v>
      </c>
      <c r="B63" s="14">
        <v>45858</v>
      </c>
      <c r="C63" s="13">
        <f t="shared" si="1"/>
        <v>173</v>
      </c>
      <c r="D63" s="13">
        <v>1</v>
      </c>
      <c r="E63" s="15"/>
      <c r="F63" s="13"/>
      <c r="G63" s="15" t="s">
        <v>25</v>
      </c>
      <c r="H63" s="13" t="s">
        <v>99</v>
      </c>
      <c r="I63" s="13">
        <v>64277</v>
      </c>
      <c r="J63" s="13">
        <v>331</v>
      </c>
      <c r="K63" s="13" t="s">
        <v>21</v>
      </c>
      <c r="L63" s="13">
        <v>1</v>
      </c>
      <c r="M63" s="16">
        <v>162000</v>
      </c>
      <c r="N63" s="16">
        <f t="shared" si="0"/>
        <v>162000</v>
      </c>
      <c r="O63" s="13" t="s">
        <v>22</v>
      </c>
      <c r="P63" s="2">
        <v>60</v>
      </c>
    </row>
    <row r="64" spans="1:16" x14ac:dyDescent="0.25">
      <c r="A64" s="13" t="s">
        <v>18</v>
      </c>
      <c r="B64" s="14">
        <v>45859</v>
      </c>
      <c r="C64" s="13">
        <f t="shared" si="1"/>
        <v>174</v>
      </c>
      <c r="D64" s="13">
        <v>1</v>
      </c>
      <c r="E64" s="15"/>
      <c r="F64" s="13"/>
      <c r="G64" s="15" t="s">
        <v>25</v>
      </c>
      <c r="H64" s="13" t="s">
        <v>100</v>
      </c>
      <c r="I64" s="13">
        <v>64277</v>
      </c>
      <c r="J64" s="13">
        <v>331</v>
      </c>
      <c r="K64" s="13" t="s">
        <v>21</v>
      </c>
      <c r="L64" s="13">
        <v>1</v>
      </c>
      <c r="M64" s="16">
        <v>130000</v>
      </c>
      <c r="N64" s="16">
        <f t="shared" si="0"/>
        <v>130000</v>
      </c>
      <c r="O64" s="13" t="s">
        <v>22</v>
      </c>
      <c r="P64" s="2">
        <v>61</v>
      </c>
    </row>
    <row r="65" spans="1:16" x14ac:dyDescent="0.25">
      <c r="A65" s="13" t="s">
        <v>18</v>
      </c>
      <c r="B65" s="14">
        <v>45859</v>
      </c>
      <c r="C65" s="13">
        <f t="shared" si="1"/>
        <v>175</v>
      </c>
      <c r="D65" s="13">
        <v>1</v>
      </c>
      <c r="E65" s="15"/>
      <c r="F65" s="13"/>
      <c r="G65" s="15" t="s">
        <v>101</v>
      </c>
      <c r="H65" s="13" t="s">
        <v>102</v>
      </c>
      <c r="I65" s="13">
        <v>64276</v>
      </c>
      <c r="J65" s="13">
        <v>331</v>
      </c>
      <c r="K65" s="13" t="s">
        <v>21</v>
      </c>
      <c r="L65" s="13">
        <v>1</v>
      </c>
      <c r="M65" s="16">
        <v>699000</v>
      </c>
      <c r="N65" s="16">
        <f t="shared" si="0"/>
        <v>699000</v>
      </c>
      <c r="O65" s="13" t="s">
        <v>22</v>
      </c>
      <c r="P65" s="2">
        <v>62</v>
      </c>
    </row>
    <row r="66" spans="1:16" x14ac:dyDescent="0.25">
      <c r="A66" s="13" t="s">
        <v>18</v>
      </c>
      <c r="B66" s="14">
        <v>45859</v>
      </c>
      <c r="C66" s="13">
        <f t="shared" si="1"/>
        <v>176</v>
      </c>
      <c r="D66" s="13">
        <v>1</v>
      </c>
      <c r="E66" s="15"/>
      <c r="F66" s="13"/>
      <c r="G66" s="15" t="s">
        <v>103</v>
      </c>
      <c r="H66" s="13" t="s">
        <v>104</v>
      </c>
      <c r="I66" s="13">
        <v>131</v>
      </c>
      <c r="J66" s="13">
        <v>5113</v>
      </c>
      <c r="K66" s="13" t="s">
        <v>21</v>
      </c>
      <c r="L66" s="13">
        <v>1</v>
      </c>
      <c r="M66" s="16">
        <v>32258064</v>
      </c>
      <c r="N66" s="16">
        <f t="shared" si="0"/>
        <v>32258064</v>
      </c>
      <c r="O66" s="13" t="s">
        <v>22</v>
      </c>
      <c r="P66" s="2">
        <v>236</v>
      </c>
    </row>
    <row r="67" spans="1:16" x14ac:dyDescent="0.25">
      <c r="A67" s="13" t="s">
        <v>33</v>
      </c>
      <c r="B67" s="14">
        <v>45859</v>
      </c>
      <c r="C67" s="13">
        <f t="shared" si="1"/>
        <v>177</v>
      </c>
      <c r="D67" s="13">
        <v>1</v>
      </c>
      <c r="E67" s="15"/>
      <c r="F67" s="13"/>
      <c r="G67" s="15" t="s">
        <v>103</v>
      </c>
      <c r="H67" s="13" t="s">
        <v>105</v>
      </c>
      <c r="I67" s="13">
        <v>112111</v>
      </c>
      <c r="J67" s="13">
        <v>131</v>
      </c>
      <c r="K67" s="13" t="s">
        <v>21</v>
      </c>
      <c r="L67" s="13">
        <v>1</v>
      </c>
      <c r="M67" s="16">
        <v>32258064</v>
      </c>
      <c r="N67" s="16">
        <f t="shared" si="0"/>
        <v>32258064</v>
      </c>
      <c r="O67" s="13" t="s">
        <v>22</v>
      </c>
      <c r="P67" s="2">
        <v>272</v>
      </c>
    </row>
    <row r="68" spans="1:16" x14ac:dyDescent="0.25">
      <c r="A68" s="13" t="s">
        <v>18</v>
      </c>
      <c r="B68" s="14">
        <v>45860</v>
      </c>
      <c r="C68" s="13">
        <f t="shared" si="1"/>
        <v>178</v>
      </c>
      <c r="D68" s="13">
        <v>1</v>
      </c>
      <c r="E68" s="15"/>
      <c r="F68" s="13"/>
      <c r="G68" s="15" t="s">
        <v>25</v>
      </c>
      <c r="H68" s="13" t="s">
        <v>106</v>
      </c>
      <c r="I68" s="13">
        <v>64277</v>
      </c>
      <c r="J68" s="13">
        <v>331</v>
      </c>
      <c r="K68" s="13" t="s">
        <v>21</v>
      </c>
      <c r="L68" s="13">
        <v>1</v>
      </c>
      <c r="M68" s="16">
        <v>154000</v>
      </c>
      <c r="N68" s="16">
        <f t="shared" ref="N68:N131" si="2">M68*L68</f>
        <v>154000</v>
      </c>
      <c r="O68" s="13" t="s">
        <v>22</v>
      </c>
      <c r="P68" s="2">
        <v>63</v>
      </c>
    </row>
    <row r="69" spans="1:16" x14ac:dyDescent="0.25">
      <c r="A69" s="13" t="s">
        <v>18</v>
      </c>
      <c r="B69" s="14">
        <v>45860</v>
      </c>
      <c r="C69" s="13">
        <f t="shared" si="1"/>
        <v>179</v>
      </c>
      <c r="D69" s="13">
        <v>1</v>
      </c>
      <c r="E69" s="15"/>
      <c r="F69" s="13"/>
      <c r="G69" s="15" t="s">
        <v>25</v>
      </c>
      <c r="H69" s="13" t="s">
        <v>107</v>
      </c>
      <c r="I69" s="13">
        <v>64277</v>
      </c>
      <c r="J69" s="13">
        <v>331</v>
      </c>
      <c r="K69" s="13" t="s">
        <v>21</v>
      </c>
      <c r="L69" s="13">
        <v>1</v>
      </c>
      <c r="M69" s="16">
        <v>114000</v>
      </c>
      <c r="N69" s="16">
        <f t="shared" si="2"/>
        <v>114000</v>
      </c>
      <c r="O69" s="13" t="s">
        <v>22</v>
      </c>
      <c r="P69" s="2">
        <v>64</v>
      </c>
    </row>
    <row r="70" spans="1:16" x14ac:dyDescent="0.25">
      <c r="A70" s="13" t="s">
        <v>18</v>
      </c>
      <c r="B70" s="14">
        <v>45860</v>
      </c>
      <c r="C70" s="13">
        <f t="shared" ref="C70:C133" si="3">C69+D70</f>
        <v>180</v>
      </c>
      <c r="D70" s="13">
        <v>1</v>
      </c>
      <c r="E70" s="15"/>
      <c r="F70" s="13"/>
      <c r="G70" s="15" t="s">
        <v>101</v>
      </c>
      <c r="H70" s="13" t="s">
        <v>108</v>
      </c>
      <c r="I70" s="13">
        <v>64276</v>
      </c>
      <c r="J70" s="13">
        <v>331</v>
      </c>
      <c r="K70" s="13" t="s">
        <v>21</v>
      </c>
      <c r="L70" s="13">
        <v>1</v>
      </c>
      <c r="M70" s="16">
        <v>699000</v>
      </c>
      <c r="N70" s="16">
        <f t="shared" si="2"/>
        <v>699000</v>
      </c>
      <c r="O70" s="13" t="s">
        <v>22</v>
      </c>
      <c r="P70" s="2">
        <v>65</v>
      </c>
    </row>
    <row r="71" spans="1:16" x14ac:dyDescent="0.25">
      <c r="A71" s="13" t="s">
        <v>18</v>
      </c>
      <c r="B71" s="14">
        <v>45860</v>
      </c>
      <c r="C71" s="13">
        <f t="shared" si="3"/>
        <v>181</v>
      </c>
      <c r="D71" s="13">
        <v>1</v>
      </c>
      <c r="E71" s="15"/>
      <c r="F71" s="13"/>
      <c r="G71" s="15" t="s">
        <v>101</v>
      </c>
      <c r="H71" s="13" t="s">
        <v>109</v>
      </c>
      <c r="I71" s="13">
        <v>64276</v>
      </c>
      <c r="J71" s="13">
        <v>331</v>
      </c>
      <c r="K71" s="13" t="s">
        <v>21</v>
      </c>
      <c r="L71" s="13">
        <v>1</v>
      </c>
      <c r="M71" s="16">
        <v>-699000</v>
      </c>
      <c r="N71" s="16">
        <f t="shared" si="2"/>
        <v>-699000</v>
      </c>
      <c r="O71" s="13" t="s">
        <v>22</v>
      </c>
      <c r="P71" s="2">
        <v>66</v>
      </c>
    </row>
    <row r="72" spans="1:16" x14ac:dyDescent="0.25">
      <c r="A72" s="13" t="s">
        <v>18</v>
      </c>
      <c r="B72" s="14">
        <v>45860</v>
      </c>
      <c r="C72" s="13">
        <f t="shared" si="3"/>
        <v>182</v>
      </c>
      <c r="D72" s="13">
        <v>1</v>
      </c>
      <c r="E72" s="15"/>
      <c r="F72" s="13"/>
      <c r="G72" s="15" t="s">
        <v>55</v>
      </c>
      <c r="H72" s="13" t="s">
        <v>110</v>
      </c>
      <c r="I72" s="13">
        <v>131</v>
      </c>
      <c r="J72" s="13">
        <v>5113</v>
      </c>
      <c r="K72" s="13" t="s">
        <v>21</v>
      </c>
      <c r="L72" s="13">
        <v>1</v>
      </c>
      <c r="M72" s="16">
        <v>18817204</v>
      </c>
      <c r="N72" s="16">
        <f t="shared" si="2"/>
        <v>18817204</v>
      </c>
      <c r="O72" s="13" t="s">
        <v>22</v>
      </c>
      <c r="P72" s="2">
        <v>237</v>
      </c>
    </row>
    <row r="73" spans="1:16" x14ac:dyDescent="0.25">
      <c r="A73" s="13" t="s">
        <v>18</v>
      </c>
      <c r="B73" s="14">
        <v>45861</v>
      </c>
      <c r="C73" s="13">
        <f t="shared" si="3"/>
        <v>183</v>
      </c>
      <c r="D73" s="13">
        <v>1</v>
      </c>
      <c r="E73" s="15"/>
      <c r="F73" s="13"/>
      <c r="G73" s="15" t="s">
        <v>25</v>
      </c>
      <c r="H73" s="13" t="s">
        <v>111</v>
      </c>
      <c r="I73" s="13">
        <v>64277</v>
      </c>
      <c r="J73" s="13">
        <v>331</v>
      </c>
      <c r="K73" s="13" t="s">
        <v>21</v>
      </c>
      <c r="L73" s="13">
        <v>1</v>
      </c>
      <c r="M73" s="16">
        <v>130000</v>
      </c>
      <c r="N73" s="16">
        <f t="shared" si="2"/>
        <v>130000</v>
      </c>
      <c r="O73" s="13" t="s">
        <v>22</v>
      </c>
      <c r="P73" s="2">
        <v>67</v>
      </c>
    </row>
    <row r="74" spans="1:16" x14ac:dyDescent="0.25">
      <c r="A74" s="13" t="s">
        <v>18</v>
      </c>
      <c r="B74" s="14">
        <v>45861</v>
      </c>
      <c r="C74" s="13">
        <f t="shared" si="3"/>
        <v>184</v>
      </c>
      <c r="D74" s="13">
        <v>1</v>
      </c>
      <c r="E74" s="15"/>
      <c r="F74" s="13"/>
      <c r="G74" s="15" t="s">
        <v>87</v>
      </c>
      <c r="H74" s="13" t="s">
        <v>112</v>
      </c>
      <c r="I74" s="13">
        <v>131</v>
      </c>
      <c r="J74" s="13">
        <v>5113</v>
      </c>
      <c r="K74" s="13" t="s">
        <v>21</v>
      </c>
      <c r="L74" s="13">
        <v>1</v>
      </c>
      <c r="M74" s="16">
        <v>31182796</v>
      </c>
      <c r="N74" s="16">
        <f t="shared" si="2"/>
        <v>31182796</v>
      </c>
      <c r="O74" s="13" t="s">
        <v>22</v>
      </c>
      <c r="P74" s="2">
        <v>238</v>
      </c>
    </row>
    <row r="75" spans="1:16" x14ac:dyDescent="0.25">
      <c r="A75" s="13" t="s">
        <v>18</v>
      </c>
      <c r="B75" s="14">
        <v>45862</v>
      </c>
      <c r="C75" s="13">
        <f t="shared" si="3"/>
        <v>185</v>
      </c>
      <c r="D75" s="13">
        <v>1</v>
      </c>
      <c r="E75" s="15"/>
      <c r="F75" s="13"/>
      <c r="G75" s="15" t="s">
        <v>113</v>
      </c>
      <c r="H75" s="13" t="s">
        <v>114</v>
      </c>
      <c r="I75" s="13">
        <v>64277</v>
      </c>
      <c r="J75" s="13">
        <v>331</v>
      </c>
      <c r="K75" s="13" t="s">
        <v>21</v>
      </c>
      <c r="L75" s="13">
        <v>1</v>
      </c>
      <c r="M75" s="16">
        <v>277000</v>
      </c>
      <c r="N75" s="16">
        <f t="shared" si="2"/>
        <v>277000</v>
      </c>
      <c r="O75" s="13" t="s">
        <v>22</v>
      </c>
      <c r="P75" s="2">
        <v>68</v>
      </c>
    </row>
    <row r="76" spans="1:16" x14ac:dyDescent="0.25">
      <c r="A76" s="13" t="s">
        <v>18</v>
      </c>
      <c r="B76" s="14">
        <v>45862</v>
      </c>
      <c r="C76" s="13">
        <f t="shared" si="3"/>
        <v>186</v>
      </c>
      <c r="D76" s="13">
        <v>1</v>
      </c>
      <c r="E76" s="15"/>
      <c r="F76" s="13"/>
      <c r="G76" s="15" t="s">
        <v>25</v>
      </c>
      <c r="H76" s="13" t="s">
        <v>115</v>
      </c>
      <c r="I76" s="13">
        <v>64277</v>
      </c>
      <c r="J76" s="13">
        <v>331</v>
      </c>
      <c r="K76" s="13" t="s">
        <v>21</v>
      </c>
      <c r="L76" s="13">
        <v>1</v>
      </c>
      <c r="M76" s="16">
        <v>130000</v>
      </c>
      <c r="N76" s="16">
        <f t="shared" si="2"/>
        <v>130000</v>
      </c>
      <c r="O76" s="13" t="s">
        <v>22</v>
      </c>
      <c r="P76" s="2">
        <v>69</v>
      </c>
    </row>
    <row r="77" spans="1:16" x14ac:dyDescent="0.25">
      <c r="A77" s="13" t="s">
        <v>18</v>
      </c>
      <c r="B77" s="14">
        <v>45862</v>
      </c>
      <c r="C77" s="13">
        <f t="shared" si="3"/>
        <v>187</v>
      </c>
      <c r="D77" s="13">
        <v>1</v>
      </c>
      <c r="E77" s="15"/>
      <c r="F77" s="13"/>
      <c r="G77" s="15" t="s">
        <v>25</v>
      </c>
      <c r="H77" s="13" t="s">
        <v>116</v>
      </c>
      <c r="I77" s="13">
        <v>64277</v>
      </c>
      <c r="J77" s="13">
        <v>331</v>
      </c>
      <c r="K77" s="13" t="s">
        <v>21</v>
      </c>
      <c r="L77" s="13">
        <v>1</v>
      </c>
      <c r="M77" s="16">
        <v>149000</v>
      </c>
      <c r="N77" s="16">
        <f t="shared" si="2"/>
        <v>149000</v>
      </c>
      <c r="O77" s="13" t="s">
        <v>22</v>
      </c>
      <c r="P77" s="2">
        <v>70</v>
      </c>
    </row>
    <row r="78" spans="1:16" x14ac:dyDescent="0.25">
      <c r="A78" s="13" t="s">
        <v>18</v>
      </c>
      <c r="B78" s="14">
        <v>45862</v>
      </c>
      <c r="C78" s="13">
        <f t="shared" si="3"/>
        <v>188</v>
      </c>
      <c r="D78" s="13">
        <v>1</v>
      </c>
      <c r="E78" s="15"/>
      <c r="F78" s="13"/>
      <c r="G78" s="15" t="s">
        <v>117</v>
      </c>
      <c r="H78" s="13" t="s">
        <v>118</v>
      </c>
      <c r="I78" s="13">
        <v>64277</v>
      </c>
      <c r="J78" s="13">
        <v>331</v>
      </c>
      <c r="K78" s="13" t="s">
        <v>21</v>
      </c>
      <c r="L78" s="13">
        <v>1</v>
      </c>
      <c r="M78" s="16">
        <v>1549000</v>
      </c>
      <c r="N78" s="16">
        <f t="shared" si="2"/>
        <v>1549000</v>
      </c>
      <c r="O78" s="13" t="s">
        <v>22</v>
      </c>
      <c r="P78" s="2">
        <v>71</v>
      </c>
    </row>
    <row r="79" spans="1:16" x14ac:dyDescent="0.25">
      <c r="A79" s="13" t="s">
        <v>18</v>
      </c>
      <c r="B79" s="14">
        <v>45862</v>
      </c>
      <c r="C79" s="13">
        <f t="shared" si="3"/>
        <v>189</v>
      </c>
      <c r="D79" s="13">
        <v>1</v>
      </c>
      <c r="E79" s="15"/>
      <c r="F79" s="13"/>
      <c r="G79" s="15" t="s">
        <v>46</v>
      </c>
      <c r="H79" s="13" t="s">
        <v>119</v>
      </c>
      <c r="I79" s="13">
        <v>64277</v>
      </c>
      <c r="J79" s="13">
        <v>331</v>
      </c>
      <c r="K79" s="13" t="s">
        <v>21</v>
      </c>
      <c r="L79" s="13">
        <v>1</v>
      </c>
      <c r="M79" s="16">
        <v>1102680</v>
      </c>
      <c r="N79" s="16">
        <f t="shared" si="2"/>
        <v>1102680</v>
      </c>
      <c r="O79" s="13" t="s">
        <v>22</v>
      </c>
      <c r="P79" s="2">
        <v>72</v>
      </c>
    </row>
    <row r="80" spans="1:16" x14ac:dyDescent="0.25">
      <c r="A80" s="13" t="s">
        <v>18</v>
      </c>
      <c r="B80" s="14">
        <v>45862</v>
      </c>
      <c r="C80" s="13">
        <f t="shared" si="3"/>
        <v>190</v>
      </c>
      <c r="D80" s="13">
        <v>1</v>
      </c>
      <c r="E80" s="15"/>
      <c r="F80" s="13"/>
      <c r="G80" s="15" t="s">
        <v>120</v>
      </c>
      <c r="H80" s="13" t="s">
        <v>121</v>
      </c>
      <c r="I80" s="13">
        <v>131</v>
      </c>
      <c r="J80" s="13">
        <v>5113</v>
      </c>
      <c r="K80" s="13" t="s">
        <v>21</v>
      </c>
      <c r="L80" s="13">
        <v>1</v>
      </c>
      <c r="M80" s="16">
        <v>43010753</v>
      </c>
      <c r="N80" s="16">
        <f t="shared" si="2"/>
        <v>43010753</v>
      </c>
      <c r="O80" s="13" t="s">
        <v>22</v>
      </c>
      <c r="P80" s="2">
        <v>239</v>
      </c>
    </row>
    <row r="81" spans="1:16" x14ac:dyDescent="0.25">
      <c r="A81" s="13" t="s">
        <v>89</v>
      </c>
      <c r="B81" s="14">
        <v>45862</v>
      </c>
      <c r="C81" s="13">
        <f t="shared" si="3"/>
        <v>191</v>
      </c>
      <c r="D81" s="13">
        <v>1</v>
      </c>
      <c r="E81" s="15"/>
      <c r="F81" s="13"/>
      <c r="G81" s="15" t="s">
        <v>29</v>
      </c>
      <c r="H81" s="13" t="s">
        <v>122</v>
      </c>
      <c r="I81" s="13">
        <v>333822</v>
      </c>
      <c r="J81" s="13">
        <v>112111</v>
      </c>
      <c r="K81" s="13" t="s">
        <v>21</v>
      </c>
      <c r="L81" s="13">
        <v>1</v>
      </c>
      <c r="M81" s="16">
        <v>10161291</v>
      </c>
      <c r="N81" s="16">
        <f t="shared" si="2"/>
        <v>10161291</v>
      </c>
      <c r="O81" s="13" t="s">
        <v>22</v>
      </c>
      <c r="P81" s="2">
        <v>273</v>
      </c>
    </row>
    <row r="82" spans="1:16" x14ac:dyDescent="0.25">
      <c r="A82" s="13" t="s">
        <v>18</v>
      </c>
      <c r="B82" s="14">
        <v>45863</v>
      </c>
      <c r="C82" s="13">
        <f t="shared" si="3"/>
        <v>192</v>
      </c>
      <c r="D82" s="13">
        <v>1</v>
      </c>
      <c r="E82" s="15"/>
      <c r="F82" s="13"/>
      <c r="G82" s="15" t="s">
        <v>19</v>
      </c>
      <c r="H82" s="13" t="s">
        <v>123</v>
      </c>
      <c r="I82" s="13">
        <v>64277</v>
      </c>
      <c r="J82" s="13">
        <v>331</v>
      </c>
      <c r="K82" s="13" t="s">
        <v>21</v>
      </c>
      <c r="L82" s="13">
        <v>1</v>
      </c>
      <c r="M82" s="16">
        <v>171000</v>
      </c>
      <c r="N82" s="16">
        <f t="shared" si="2"/>
        <v>171000</v>
      </c>
      <c r="O82" s="13" t="s">
        <v>22</v>
      </c>
      <c r="P82" s="2">
        <v>73</v>
      </c>
    </row>
    <row r="83" spans="1:16" x14ac:dyDescent="0.25">
      <c r="A83" s="13" t="s">
        <v>18</v>
      </c>
      <c r="B83" s="14">
        <v>45864</v>
      </c>
      <c r="C83" s="13">
        <f t="shared" si="3"/>
        <v>193</v>
      </c>
      <c r="D83" s="13">
        <v>1</v>
      </c>
      <c r="E83" s="15"/>
      <c r="F83" s="13"/>
      <c r="G83" s="15" t="s">
        <v>35</v>
      </c>
      <c r="H83" s="13" t="s">
        <v>124</v>
      </c>
      <c r="I83" s="13">
        <v>64277</v>
      </c>
      <c r="J83" s="13">
        <v>331</v>
      </c>
      <c r="K83" s="13" t="s">
        <v>21</v>
      </c>
      <c r="L83" s="13">
        <v>1</v>
      </c>
      <c r="M83" s="16">
        <v>29000</v>
      </c>
      <c r="N83" s="16">
        <f t="shared" si="2"/>
        <v>29000</v>
      </c>
      <c r="O83" s="13" t="s">
        <v>22</v>
      </c>
      <c r="P83" s="2">
        <v>74</v>
      </c>
    </row>
    <row r="84" spans="1:16" x14ac:dyDescent="0.25">
      <c r="A84" s="13" t="s">
        <v>18</v>
      </c>
      <c r="B84" s="14">
        <v>45864</v>
      </c>
      <c r="C84" s="13">
        <f t="shared" si="3"/>
        <v>194</v>
      </c>
      <c r="D84" s="13">
        <v>1</v>
      </c>
      <c r="E84" s="15"/>
      <c r="F84" s="13"/>
      <c r="G84" s="15" t="s">
        <v>35</v>
      </c>
      <c r="H84" s="13" t="s">
        <v>125</v>
      </c>
      <c r="I84" s="13">
        <v>64277</v>
      </c>
      <c r="J84" s="13">
        <v>331</v>
      </c>
      <c r="K84" s="13" t="s">
        <v>21</v>
      </c>
      <c r="L84" s="13">
        <v>1</v>
      </c>
      <c r="M84" s="16">
        <v>126000</v>
      </c>
      <c r="N84" s="16">
        <f t="shared" si="2"/>
        <v>126000</v>
      </c>
      <c r="O84" s="13" t="s">
        <v>22</v>
      </c>
      <c r="P84" s="2">
        <v>75</v>
      </c>
    </row>
    <row r="85" spans="1:16" x14ac:dyDescent="0.25">
      <c r="A85" s="13" t="s">
        <v>18</v>
      </c>
      <c r="B85" s="14">
        <v>45864</v>
      </c>
      <c r="C85" s="13">
        <f t="shared" si="3"/>
        <v>195</v>
      </c>
      <c r="D85" s="13">
        <v>1</v>
      </c>
      <c r="E85" s="15"/>
      <c r="F85" s="13"/>
      <c r="G85" s="15" t="s">
        <v>19</v>
      </c>
      <c r="H85" s="13" t="s">
        <v>126</v>
      </c>
      <c r="I85" s="13">
        <v>64277</v>
      </c>
      <c r="J85" s="13">
        <v>331</v>
      </c>
      <c r="K85" s="13" t="s">
        <v>21</v>
      </c>
      <c r="L85" s="13">
        <v>1</v>
      </c>
      <c r="M85" s="16">
        <v>83000</v>
      </c>
      <c r="N85" s="16">
        <f t="shared" si="2"/>
        <v>83000</v>
      </c>
      <c r="O85" s="13" t="s">
        <v>22</v>
      </c>
      <c r="P85" s="2">
        <v>76</v>
      </c>
    </row>
    <row r="86" spans="1:16" x14ac:dyDescent="0.25">
      <c r="A86" s="13" t="s">
        <v>18</v>
      </c>
      <c r="B86" s="14">
        <v>45864</v>
      </c>
      <c r="C86" s="13">
        <f t="shared" si="3"/>
        <v>196</v>
      </c>
      <c r="D86" s="13">
        <v>1</v>
      </c>
      <c r="E86" s="15"/>
      <c r="F86" s="13"/>
      <c r="G86" s="15" t="s">
        <v>25</v>
      </c>
      <c r="H86" s="13" t="s">
        <v>127</v>
      </c>
      <c r="I86" s="13">
        <v>64277</v>
      </c>
      <c r="J86" s="13">
        <v>331</v>
      </c>
      <c r="K86" s="13" t="s">
        <v>21</v>
      </c>
      <c r="L86" s="13">
        <v>1</v>
      </c>
      <c r="M86" s="16">
        <v>124000</v>
      </c>
      <c r="N86" s="16">
        <f t="shared" si="2"/>
        <v>124000</v>
      </c>
      <c r="O86" s="13" t="s">
        <v>22</v>
      </c>
      <c r="P86" s="2">
        <v>77</v>
      </c>
    </row>
    <row r="87" spans="1:16" x14ac:dyDescent="0.25">
      <c r="A87" s="13" t="s">
        <v>33</v>
      </c>
      <c r="B87" s="14">
        <v>45864</v>
      </c>
      <c r="C87" s="13">
        <f t="shared" si="3"/>
        <v>197</v>
      </c>
      <c r="D87" s="13">
        <v>1</v>
      </c>
      <c r="E87" s="15"/>
      <c r="F87" s="13"/>
      <c r="G87" s="15" t="s">
        <v>128</v>
      </c>
      <c r="H87" s="13" t="s">
        <v>129</v>
      </c>
      <c r="I87" s="13">
        <v>112111</v>
      </c>
      <c r="J87" s="13">
        <v>5154</v>
      </c>
      <c r="K87" s="13" t="s">
        <v>21</v>
      </c>
      <c r="L87" s="13">
        <v>1</v>
      </c>
      <c r="M87" s="16">
        <v>9340</v>
      </c>
      <c r="N87" s="16">
        <f t="shared" si="2"/>
        <v>9340</v>
      </c>
      <c r="O87" s="13" t="s">
        <v>22</v>
      </c>
      <c r="P87" s="2">
        <v>274</v>
      </c>
    </row>
    <row r="88" spans="1:16" x14ac:dyDescent="0.25">
      <c r="A88" s="13" t="s">
        <v>18</v>
      </c>
      <c r="B88" s="14">
        <v>45865</v>
      </c>
      <c r="C88" s="13">
        <f t="shared" si="3"/>
        <v>198</v>
      </c>
      <c r="D88" s="13">
        <v>1</v>
      </c>
      <c r="E88" s="15"/>
      <c r="F88" s="13"/>
      <c r="G88" s="15" t="s">
        <v>23</v>
      </c>
      <c r="H88" s="13" t="s">
        <v>130</v>
      </c>
      <c r="I88" s="13">
        <v>64277</v>
      </c>
      <c r="J88" s="13">
        <v>331</v>
      </c>
      <c r="K88" s="13" t="s">
        <v>21</v>
      </c>
      <c r="L88" s="13">
        <v>1</v>
      </c>
      <c r="M88" s="16">
        <v>772200</v>
      </c>
      <c r="N88" s="16">
        <f t="shared" si="2"/>
        <v>772200</v>
      </c>
      <c r="O88" s="13" t="s">
        <v>22</v>
      </c>
      <c r="P88" s="2">
        <v>78</v>
      </c>
    </row>
    <row r="89" spans="1:16" x14ac:dyDescent="0.25">
      <c r="A89" s="13" t="s">
        <v>18</v>
      </c>
      <c r="B89" s="14">
        <v>45865</v>
      </c>
      <c r="C89" s="13">
        <f t="shared" si="3"/>
        <v>199</v>
      </c>
      <c r="D89" s="13">
        <v>1</v>
      </c>
      <c r="E89" s="15"/>
      <c r="F89" s="13"/>
      <c r="G89" s="15" t="s">
        <v>25</v>
      </c>
      <c r="H89" s="13" t="s">
        <v>131</v>
      </c>
      <c r="I89" s="13">
        <v>64277</v>
      </c>
      <c r="J89" s="13">
        <v>331</v>
      </c>
      <c r="K89" s="13" t="s">
        <v>21</v>
      </c>
      <c r="L89" s="13">
        <v>1</v>
      </c>
      <c r="M89" s="16">
        <v>82000</v>
      </c>
      <c r="N89" s="16">
        <f t="shared" si="2"/>
        <v>82000</v>
      </c>
      <c r="O89" s="13" t="s">
        <v>22</v>
      </c>
      <c r="P89" s="2">
        <v>79</v>
      </c>
    </row>
    <row r="90" spans="1:16" x14ac:dyDescent="0.25">
      <c r="A90" s="13" t="s">
        <v>18</v>
      </c>
      <c r="B90" s="14">
        <v>45866</v>
      </c>
      <c r="C90" s="13">
        <f t="shared" si="3"/>
        <v>200</v>
      </c>
      <c r="D90" s="13">
        <v>1</v>
      </c>
      <c r="E90" s="15"/>
      <c r="F90" s="13"/>
      <c r="G90" s="15" t="s">
        <v>25</v>
      </c>
      <c r="H90" s="13" t="s">
        <v>132</v>
      </c>
      <c r="I90" s="13">
        <v>64277</v>
      </c>
      <c r="J90" s="13">
        <v>331</v>
      </c>
      <c r="K90" s="13" t="s">
        <v>21</v>
      </c>
      <c r="L90" s="13">
        <v>1</v>
      </c>
      <c r="M90" s="16">
        <v>159000</v>
      </c>
      <c r="N90" s="16">
        <f t="shared" si="2"/>
        <v>159000</v>
      </c>
      <c r="O90" s="13" t="s">
        <v>22</v>
      </c>
      <c r="P90" s="2">
        <v>80</v>
      </c>
    </row>
    <row r="91" spans="1:16" x14ac:dyDescent="0.25">
      <c r="A91" s="13" t="s">
        <v>18</v>
      </c>
      <c r="B91" s="14">
        <v>45866</v>
      </c>
      <c r="C91" s="13">
        <f t="shared" si="3"/>
        <v>201</v>
      </c>
      <c r="D91" s="13">
        <v>1</v>
      </c>
      <c r="E91" s="15"/>
      <c r="F91" s="13"/>
      <c r="G91" s="15" t="s">
        <v>25</v>
      </c>
      <c r="H91" s="13" t="s">
        <v>133</v>
      </c>
      <c r="I91" s="13">
        <v>64277</v>
      </c>
      <c r="J91" s="13">
        <v>331</v>
      </c>
      <c r="K91" s="13" t="s">
        <v>21</v>
      </c>
      <c r="L91" s="13">
        <v>1</v>
      </c>
      <c r="M91" s="16">
        <v>139000</v>
      </c>
      <c r="N91" s="16">
        <f t="shared" si="2"/>
        <v>139000</v>
      </c>
      <c r="O91" s="13" t="s">
        <v>22</v>
      </c>
      <c r="P91" s="2">
        <v>81</v>
      </c>
    </row>
    <row r="92" spans="1:16" x14ac:dyDescent="0.25">
      <c r="A92" s="13" t="s">
        <v>18</v>
      </c>
      <c r="B92" s="14">
        <v>45867</v>
      </c>
      <c r="C92" s="13">
        <f t="shared" si="3"/>
        <v>202</v>
      </c>
      <c r="D92" s="13">
        <v>1</v>
      </c>
      <c r="E92" s="15"/>
      <c r="F92" s="13"/>
      <c r="G92" s="15" t="s">
        <v>25</v>
      </c>
      <c r="H92" s="13" t="s">
        <v>134</v>
      </c>
      <c r="I92" s="13">
        <v>64277</v>
      </c>
      <c r="J92" s="13">
        <v>331</v>
      </c>
      <c r="K92" s="13" t="s">
        <v>21</v>
      </c>
      <c r="L92" s="13">
        <v>1</v>
      </c>
      <c r="M92" s="16">
        <v>110000</v>
      </c>
      <c r="N92" s="16">
        <f t="shared" si="2"/>
        <v>110000</v>
      </c>
      <c r="O92" s="13" t="s">
        <v>22</v>
      </c>
      <c r="P92" s="2">
        <v>82</v>
      </c>
    </row>
    <row r="93" spans="1:16" x14ac:dyDescent="0.25">
      <c r="A93" s="13" t="s">
        <v>18</v>
      </c>
      <c r="B93" s="14">
        <v>45867</v>
      </c>
      <c r="C93" s="13">
        <f t="shared" si="3"/>
        <v>203</v>
      </c>
      <c r="D93" s="13">
        <v>1</v>
      </c>
      <c r="E93" s="15"/>
      <c r="F93" s="13"/>
      <c r="G93" s="15" t="s">
        <v>25</v>
      </c>
      <c r="H93" s="13" t="s">
        <v>135</v>
      </c>
      <c r="I93" s="13">
        <v>64277</v>
      </c>
      <c r="J93" s="13">
        <v>331</v>
      </c>
      <c r="K93" s="13" t="s">
        <v>21</v>
      </c>
      <c r="L93" s="13">
        <v>1</v>
      </c>
      <c r="M93" s="16">
        <v>149000</v>
      </c>
      <c r="N93" s="16">
        <f t="shared" si="2"/>
        <v>149000</v>
      </c>
      <c r="O93" s="13" t="s">
        <v>22</v>
      </c>
      <c r="P93" s="2">
        <v>83</v>
      </c>
    </row>
    <row r="94" spans="1:16" x14ac:dyDescent="0.25">
      <c r="A94" s="13" t="s">
        <v>18</v>
      </c>
      <c r="B94" s="14">
        <v>45867</v>
      </c>
      <c r="C94" s="13">
        <f t="shared" si="3"/>
        <v>204</v>
      </c>
      <c r="D94" s="13">
        <v>1</v>
      </c>
      <c r="E94" s="15"/>
      <c r="F94" s="13"/>
      <c r="G94" s="15" t="s">
        <v>136</v>
      </c>
      <c r="H94" s="13" t="s">
        <v>137</v>
      </c>
      <c r="I94" s="13">
        <v>64277</v>
      </c>
      <c r="J94" s="13">
        <v>331</v>
      </c>
      <c r="K94" s="13" t="s">
        <v>21</v>
      </c>
      <c r="L94" s="13">
        <v>1</v>
      </c>
      <c r="M94" s="16">
        <v>1695266</v>
      </c>
      <c r="N94" s="16">
        <f t="shared" si="2"/>
        <v>1695266</v>
      </c>
      <c r="O94" s="13" t="s">
        <v>22</v>
      </c>
      <c r="P94" s="2">
        <v>84</v>
      </c>
    </row>
    <row r="95" spans="1:16" x14ac:dyDescent="0.25">
      <c r="A95" s="13" t="s">
        <v>18</v>
      </c>
      <c r="B95" s="14">
        <v>45868</v>
      </c>
      <c r="C95" s="13">
        <f t="shared" si="3"/>
        <v>205</v>
      </c>
      <c r="D95" s="13">
        <v>1</v>
      </c>
      <c r="E95" s="15"/>
      <c r="F95" s="13"/>
      <c r="G95" s="15" t="s">
        <v>35</v>
      </c>
      <c r="H95" s="13" t="s">
        <v>138</v>
      </c>
      <c r="I95" s="13">
        <v>64277</v>
      </c>
      <c r="J95" s="13">
        <v>331</v>
      </c>
      <c r="K95" s="13" t="s">
        <v>21</v>
      </c>
      <c r="L95" s="13">
        <v>1</v>
      </c>
      <c r="M95" s="16">
        <v>48000</v>
      </c>
      <c r="N95" s="16">
        <f t="shared" si="2"/>
        <v>48000</v>
      </c>
      <c r="O95" s="13" t="s">
        <v>22</v>
      </c>
      <c r="P95" s="2">
        <v>85</v>
      </c>
    </row>
    <row r="96" spans="1:16" x14ac:dyDescent="0.25">
      <c r="A96" s="13" t="s">
        <v>18</v>
      </c>
      <c r="B96" s="14">
        <v>45868</v>
      </c>
      <c r="C96" s="13">
        <f t="shared" si="3"/>
        <v>206</v>
      </c>
      <c r="D96" s="13">
        <v>1</v>
      </c>
      <c r="E96" s="15"/>
      <c r="F96" s="13"/>
      <c r="G96" s="15" t="s">
        <v>19</v>
      </c>
      <c r="H96" s="13" t="s">
        <v>139</v>
      </c>
      <c r="I96" s="13">
        <v>64277</v>
      </c>
      <c r="J96" s="13">
        <v>331</v>
      </c>
      <c r="K96" s="13" t="s">
        <v>21</v>
      </c>
      <c r="L96" s="13">
        <v>1</v>
      </c>
      <c r="M96" s="16">
        <v>43000</v>
      </c>
      <c r="N96" s="16">
        <f t="shared" si="2"/>
        <v>43000</v>
      </c>
      <c r="O96" s="13" t="s">
        <v>22</v>
      </c>
      <c r="P96" s="2">
        <v>86</v>
      </c>
    </row>
    <row r="97" spans="1:16" x14ac:dyDescent="0.25">
      <c r="A97" s="13" t="s">
        <v>18</v>
      </c>
      <c r="B97" s="14">
        <v>45868</v>
      </c>
      <c r="C97" s="13">
        <f t="shared" si="3"/>
        <v>207</v>
      </c>
      <c r="D97" s="13">
        <v>1</v>
      </c>
      <c r="E97" s="15"/>
      <c r="F97" s="13"/>
      <c r="G97" s="15" t="s">
        <v>25</v>
      </c>
      <c r="H97" s="13" t="s">
        <v>140</v>
      </c>
      <c r="I97" s="13">
        <v>64277</v>
      </c>
      <c r="J97" s="13">
        <v>331</v>
      </c>
      <c r="K97" s="13" t="s">
        <v>21</v>
      </c>
      <c r="L97" s="13">
        <v>1</v>
      </c>
      <c r="M97" s="16">
        <v>139000</v>
      </c>
      <c r="N97" s="16">
        <f t="shared" si="2"/>
        <v>139000</v>
      </c>
      <c r="O97" s="13" t="s">
        <v>22</v>
      </c>
      <c r="P97" s="2">
        <v>87</v>
      </c>
    </row>
    <row r="98" spans="1:16" x14ac:dyDescent="0.25">
      <c r="A98" s="13" t="s">
        <v>18</v>
      </c>
      <c r="B98" s="14">
        <v>45868</v>
      </c>
      <c r="C98" s="13">
        <f t="shared" si="3"/>
        <v>208</v>
      </c>
      <c r="D98" s="13">
        <v>1</v>
      </c>
      <c r="E98" s="15"/>
      <c r="F98" s="13"/>
      <c r="G98" s="15" t="s">
        <v>141</v>
      </c>
      <c r="H98" s="13" t="s">
        <v>142</v>
      </c>
      <c r="I98" s="13">
        <v>64277</v>
      </c>
      <c r="J98" s="13">
        <v>331</v>
      </c>
      <c r="K98" s="13" t="s">
        <v>21</v>
      </c>
      <c r="L98" s="13">
        <v>1</v>
      </c>
      <c r="M98" s="16">
        <v>1220000</v>
      </c>
      <c r="N98" s="16">
        <f t="shared" si="2"/>
        <v>1220000</v>
      </c>
      <c r="O98" s="13" t="s">
        <v>22</v>
      </c>
      <c r="P98" s="2">
        <v>88</v>
      </c>
    </row>
    <row r="99" spans="1:16" x14ac:dyDescent="0.25">
      <c r="A99" s="13" t="s">
        <v>18</v>
      </c>
      <c r="B99" s="14">
        <v>45869</v>
      </c>
      <c r="C99" s="13">
        <f t="shared" si="3"/>
        <v>209</v>
      </c>
      <c r="D99" s="13">
        <v>1</v>
      </c>
      <c r="E99" s="15"/>
      <c r="F99" s="13"/>
      <c r="G99" s="15" t="s">
        <v>143</v>
      </c>
      <c r="H99" s="13" t="s">
        <v>144</v>
      </c>
      <c r="I99" s="13">
        <v>64277</v>
      </c>
      <c r="J99" s="13">
        <v>331</v>
      </c>
      <c r="K99" s="13" t="s">
        <v>21</v>
      </c>
      <c r="L99" s="13">
        <v>1</v>
      </c>
      <c r="M99" s="16">
        <v>2030994</v>
      </c>
      <c r="N99" s="16">
        <f t="shared" si="2"/>
        <v>2030994</v>
      </c>
      <c r="O99" s="13" t="s">
        <v>22</v>
      </c>
      <c r="P99" s="2">
        <v>89</v>
      </c>
    </row>
    <row r="100" spans="1:16" x14ac:dyDescent="0.25">
      <c r="A100" s="13" t="s">
        <v>18</v>
      </c>
      <c r="B100" s="14">
        <v>45869</v>
      </c>
      <c r="C100" s="13">
        <f t="shared" si="3"/>
        <v>210</v>
      </c>
      <c r="D100" s="13">
        <v>1</v>
      </c>
      <c r="E100" s="15"/>
      <c r="F100" s="13"/>
      <c r="G100" s="15" t="s">
        <v>25</v>
      </c>
      <c r="H100" s="13" t="s">
        <v>145</v>
      </c>
      <c r="I100" s="13">
        <v>64277</v>
      </c>
      <c r="J100" s="13">
        <v>331</v>
      </c>
      <c r="K100" s="13" t="s">
        <v>21</v>
      </c>
      <c r="L100" s="13">
        <v>1</v>
      </c>
      <c r="M100" s="16">
        <v>110000</v>
      </c>
      <c r="N100" s="16">
        <f t="shared" si="2"/>
        <v>110000</v>
      </c>
      <c r="O100" s="13" t="s">
        <v>22</v>
      </c>
      <c r="P100" s="2">
        <v>90</v>
      </c>
    </row>
    <row r="101" spans="1:16" x14ac:dyDescent="0.25">
      <c r="A101" s="13" t="s">
        <v>18</v>
      </c>
      <c r="B101" s="14">
        <v>45869</v>
      </c>
      <c r="C101" s="13">
        <f t="shared" si="3"/>
        <v>211</v>
      </c>
      <c r="D101" s="13">
        <v>1</v>
      </c>
      <c r="E101" s="15"/>
      <c r="F101" s="13"/>
      <c r="G101" s="15" t="s">
        <v>146</v>
      </c>
      <c r="H101" s="13" t="s">
        <v>147</v>
      </c>
      <c r="I101" s="13">
        <v>64271</v>
      </c>
      <c r="J101" s="13">
        <v>3383</v>
      </c>
      <c r="K101" s="13" t="s">
        <v>21</v>
      </c>
      <c r="L101" s="13">
        <v>1</v>
      </c>
      <c r="M101" s="16">
        <v>585000</v>
      </c>
      <c r="N101" s="16">
        <f t="shared" si="2"/>
        <v>585000</v>
      </c>
      <c r="O101" s="13" t="s">
        <v>22</v>
      </c>
      <c r="P101" s="2">
        <v>226</v>
      </c>
    </row>
    <row r="102" spans="1:16" x14ac:dyDescent="0.25">
      <c r="A102" s="13" t="s">
        <v>18</v>
      </c>
      <c r="B102" s="14">
        <v>45869</v>
      </c>
      <c r="C102" s="13">
        <f t="shared" si="3"/>
        <v>211</v>
      </c>
      <c r="D102" s="13">
        <v>0</v>
      </c>
      <c r="E102" s="15"/>
      <c r="F102" s="13"/>
      <c r="G102" s="15" t="s">
        <v>146</v>
      </c>
      <c r="H102" s="13" t="s">
        <v>147</v>
      </c>
      <c r="I102" s="13">
        <v>64271</v>
      </c>
      <c r="J102" s="13">
        <v>3384</v>
      </c>
      <c r="K102" s="13" t="s">
        <v>21</v>
      </c>
      <c r="L102" s="13">
        <v>1</v>
      </c>
      <c r="M102" s="16">
        <v>105300</v>
      </c>
      <c r="N102" s="16">
        <f t="shared" si="2"/>
        <v>105300</v>
      </c>
      <c r="O102" s="13" t="s">
        <v>22</v>
      </c>
      <c r="P102" s="2">
        <v>227</v>
      </c>
    </row>
    <row r="103" spans="1:16" x14ac:dyDescent="0.25">
      <c r="A103" s="13" t="s">
        <v>33</v>
      </c>
      <c r="B103" s="14">
        <v>45869</v>
      </c>
      <c r="C103" s="13">
        <f t="shared" si="3"/>
        <v>212</v>
      </c>
      <c r="D103" s="13">
        <v>1</v>
      </c>
      <c r="E103" s="15"/>
      <c r="F103" s="13"/>
      <c r="G103" s="15" t="s">
        <v>96</v>
      </c>
      <c r="H103" s="13" t="s">
        <v>148</v>
      </c>
      <c r="I103" s="13">
        <v>112111</v>
      </c>
      <c r="J103" s="13">
        <v>131</v>
      </c>
      <c r="K103" s="13" t="s">
        <v>21</v>
      </c>
      <c r="L103" s="13">
        <v>1</v>
      </c>
      <c r="M103" s="16">
        <v>21600000</v>
      </c>
      <c r="N103" s="16">
        <f t="shared" si="2"/>
        <v>21600000</v>
      </c>
      <c r="O103" s="13" t="s">
        <v>22</v>
      </c>
      <c r="P103" s="2">
        <v>275</v>
      </c>
    </row>
    <row r="104" spans="1:16" x14ac:dyDescent="0.25">
      <c r="A104" s="13" t="s">
        <v>18</v>
      </c>
      <c r="B104" s="14">
        <v>45870</v>
      </c>
      <c r="C104" s="13">
        <f t="shared" si="3"/>
        <v>213</v>
      </c>
      <c r="D104" s="13">
        <v>1</v>
      </c>
      <c r="E104" s="15"/>
      <c r="F104" s="13"/>
      <c r="G104" s="15" t="s">
        <v>25</v>
      </c>
      <c r="H104" s="13" t="s">
        <v>149</v>
      </c>
      <c r="I104" s="13">
        <v>64277</v>
      </c>
      <c r="J104" s="13">
        <v>331</v>
      </c>
      <c r="K104" s="13" t="s">
        <v>21</v>
      </c>
      <c r="L104" s="13">
        <v>1</v>
      </c>
      <c r="M104" s="16">
        <v>110000</v>
      </c>
      <c r="N104" s="16">
        <f t="shared" si="2"/>
        <v>110000</v>
      </c>
      <c r="O104" s="13" t="s">
        <v>22</v>
      </c>
      <c r="P104" s="2">
        <v>91</v>
      </c>
    </row>
    <row r="105" spans="1:16" x14ac:dyDescent="0.25">
      <c r="A105" s="13" t="s">
        <v>18</v>
      </c>
      <c r="B105" s="14">
        <v>45871</v>
      </c>
      <c r="C105" s="13">
        <f t="shared" si="3"/>
        <v>214</v>
      </c>
      <c r="D105" s="13">
        <v>1</v>
      </c>
      <c r="E105" s="15"/>
      <c r="F105" s="13"/>
      <c r="G105" s="15" t="s">
        <v>19</v>
      </c>
      <c r="H105" s="13" t="s">
        <v>150</v>
      </c>
      <c r="I105" s="13">
        <v>64277</v>
      </c>
      <c r="J105" s="13">
        <v>331</v>
      </c>
      <c r="K105" s="13" t="s">
        <v>21</v>
      </c>
      <c r="L105" s="13">
        <v>1</v>
      </c>
      <c r="M105" s="16">
        <v>80000</v>
      </c>
      <c r="N105" s="16">
        <f t="shared" si="2"/>
        <v>80000</v>
      </c>
      <c r="O105" s="13" t="s">
        <v>22</v>
      </c>
      <c r="P105" s="2">
        <v>92</v>
      </c>
    </row>
    <row r="106" spans="1:16" x14ac:dyDescent="0.25">
      <c r="A106" s="13" t="s">
        <v>18</v>
      </c>
      <c r="B106" s="14">
        <v>45871</v>
      </c>
      <c r="C106" s="13">
        <f t="shared" si="3"/>
        <v>215</v>
      </c>
      <c r="D106" s="13">
        <v>1</v>
      </c>
      <c r="E106" s="15"/>
      <c r="F106" s="13"/>
      <c r="G106" s="15" t="s">
        <v>19</v>
      </c>
      <c r="H106" s="13" t="s">
        <v>151</v>
      </c>
      <c r="I106" s="13">
        <v>64277</v>
      </c>
      <c r="J106" s="13">
        <v>331</v>
      </c>
      <c r="K106" s="13" t="s">
        <v>21</v>
      </c>
      <c r="L106" s="13">
        <v>1</v>
      </c>
      <c r="M106" s="16">
        <v>95000</v>
      </c>
      <c r="N106" s="16">
        <f t="shared" si="2"/>
        <v>95000</v>
      </c>
      <c r="O106" s="13" t="s">
        <v>22</v>
      </c>
      <c r="P106" s="2">
        <v>93</v>
      </c>
    </row>
    <row r="107" spans="1:16" x14ac:dyDescent="0.25">
      <c r="A107" s="13" t="s">
        <v>18</v>
      </c>
      <c r="B107" s="14">
        <v>45871</v>
      </c>
      <c r="C107" s="13">
        <f t="shared" si="3"/>
        <v>216</v>
      </c>
      <c r="D107" s="13">
        <v>1</v>
      </c>
      <c r="E107" s="15"/>
      <c r="F107" s="13"/>
      <c r="G107" s="15" t="s">
        <v>152</v>
      </c>
      <c r="H107" s="13" t="s">
        <v>153</v>
      </c>
      <c r="I107" s="13">
        <v>64277</v>
      </c>
      <c r="J107" s="13">
        <v>331</v>
      </c>
      <c r="K107" s="13" t="s">
        <v>21</v>
      </c>
      <c r="L107" s="13">
        <v>1</v>
      </c>
      <c r="M107" s="16">
        <v>495201</v>
      </c>
      <c r="N107" s="16">
        <f t="shared" si="2"/>
        <v>495201</v>
      </c>
      <c r="O107" s="13" t="s">
        <v>22</v>
      </c>
      <c r="P107" s="2">
        <v>94</v>
      </c>
    </row>
    <row r="108" spans="1:16" x14ac:dyDescent="0.25">
      <c r="A108" s="13" t="s">
        <v>18</v>
      </c>
      <c r="B108" s="14">
        <v>45871</v>
      </c>
      <c r="C108" s="13">
        <f t="shared" si="3"/>
        <v>217</v>
      </c>
      <c r="D108" s="13">
        <v>1</v>
      </c>
      <c r="E108" s="15"/>
      <c r="F108" s="13"/>
      <c r="G108" s="15" t="s">
        <v>154</v>
      </c>
      <c r="H108" s="13" t="s">
        <v>155</v>
      </c>
      <c r="I108" s="13">
        <v>64277</v>
      </c>
      <c r="J108" s="13">
        <v>331</v>
      </c>
      <c r="K108" s="13" t="s">
        <v>21</v>
      </c>
      <c r="L108" s="13">
        <v>1</v>
      </c>
      <c r="M108" s="16">
        <v>275000</v>
      </c>
      <c r="N108" s="16">
        <f t="shared" si="2"/>
        <v>275000</v>
      </c>
      <c r="O108" s="13" t="s">
        <v>22</v>
      </c>
      <c r="P108" s="2">
        <v>95</v>
      </c>
    </row>
    <row r="109" spans="1:16" x14ac:dyDescent="0.25">
      <c r="A109" s="13" t="s">
        <v>18</v>
      </c>
      <c r="B109" s="14">
        <v>45872</v>
      </c>
      <c r="C109" s="13">
        <f t="shared" si="3"/>
        <v>218</v>
      </c>
      <c r="D109" s="13">
        <v>1</v>
      </c>
      <c r="E109" s="15"/>
      <c r="F109" s="13"/>
      <c r="G109" s="15" t="s">
        <v>25</v>
      </c>
      <c r="H109" s="13" t="s">
        <v>156</v>
      </c>
      <c r="I109" s="13">
        <v>64277</v>
      </c>
      <c r="J109" s="13">
        <v>331</v>
      </c>
      <c r="K109" s="13" t="s">
        <v>21</v>
      </c>
      <c r="L109" s="13">
        <v>1</v>
      </c>
      <c r="M109" s="16">
        <v>154000</v>
      </c>
      <c r="N109" s="16">
        <f t="shared" si="2"/>
        <v>154000</v>
      </c>
      <c r="O109" s="13" t="s">
        <v>22</v>
      </c>
      <c r="P109" s="2">
        <v>96</v>
      </c>
    </row>
    <row r="110" spans="1:16" x14ac:dyDescent="0.25">
      <c r="A110" s="13" t="s">
        <v>18</v>
      </c>
      <c r="B110" s="14">
        <v>45872</v>
      </c>
      <c r="C110" s="13">
        <f t="shared" si="3"/>
        <v>219</v>
      </c>
      <c r="D110" s="13">
        <v>1</v>
      </c>
      <c r="E110" s="15"/>
      <c r="F110" s="13"/>
      <c r="G110" s="15" t="s">
        <v>25</v>
      </c>
      <c r="H110" s="13" t="s">
        <v>157</v>
      </c>
      <c r="I110" s="13">
        <v>64277</v>
      </c>
      <c r="J110" s="13">
        <v>331</v>
      </c>
      <c r="K110" s="13" t="s">
        <v>21</v>
      </c>
      <c r="L110" s="13">
        <v>1</v>
      </c>
      <c r="M110" s="16">
        <v>82000</v>
      </c>
      <c r="N110" s="16">
        <f t="shared" si="2"/>
        <v>82000</v>
      </c>
      <c r="O110" s="13" t="s">
        <v>22</v>
      </c>
      <c r="P110" s="2">
        <v>97</v>
      </c>
    </row>
    <row r="111" spans="1:16" x14ac:dyDescent="0.25">
      <c r="A111" s="13" t="s">
        <v>18</v>
      </c>
      <c r="B111" s="14">
        <v>45873</v>
      </c>
      <c r="C111" s="13">
        <f t="shared" si="3"/>
        <v>220</v>
      </c>
      <c r="D111" s="13">
        <v>1</v>
      </c>
      <c r="E111" s="15"/>
      <c r="F111" s="13"/>
      <c r="G111" s="15" t="s">
        <v>158</v>
      </c>
      <c r="H111" s="13" t="s">
        <v>159</v>
      </c>
      <c r="I111" s="13">
        <v>64277</v>
      </c>
      <c r="J111" s="13">
        <v>331</v>
      </c>
      <c r="K111" s="13" t="s">
        <v>21</v>
      </c>
      <c r="L111" s="13">
        <v>1</v>
      </c>
      <c r="M111" s="16">
        <v>3240000</v>
      </c>
      <c r="N111" s="16">
        <f t="shared" si="2"/>
        <v>3240000</v>
      </c>
      <c r="O111" s="13" t="s">
        <v>22</v>
      </c>
      <c r="P111" s="2">
        <v>30</v>
      </c>
    </row>
    <row r="112" spans="1:16" x14ac:dyDescent="0.25">
      <c r="A112" s="13" t="s">
        <v>18</v>
      </c>
      <c r="B112" s="14">
        <v>45873</v>
      </c>
      <c r="C112" s="13">
        <f t="shared" si="3"/>
        <v>221</v>
      </c>
      <c r="D112" s="13">
        <v>1</v>
      </c>
      <c r="E112" s="15"/>
      <c r="F112" s="13"/>
      <c r="G112" s="15" t="s">
        <v>25</v>
      </c>
      <c r="H112" s="13" t="s">
        <v>160</v>
      </c>
      <c r="I112" s="13">
        <v>64277</v>
      </c>
      <c r="J112" s="13">
        <v>331</v>
      </c>
      <c r="K112" s="13" t="s">
        <v>21</v>
      </c>
      <c r="L112" s="13">
        <v>1</v>
      </c>
      <c r="M112" s="16">
        <v>149000</v>
      </c>
      <c r="N112" s="16">
        <f t="shared" si="2"/>
        <v>149000</v>
      </c>
      <c r="O112" s="13" t="s">
        <v>22</v>
      </c>
      <c r="P112" s="2">
        <v>98</v>
      </c>
    </row>
    <row r="113" spans="1:16" x14ac:dyDescent="0.25">
      <c r="A113" s="13" t="s">
        <v>18</v>
      </c>
      <c r="B113" s="14">
        <v>45873</v>
      </c>
      <c r="C113" s="13">
        <f t="shared" si="3"/>
        <v>222</v>
      </c>
      <c r="D113" s="13">
        <v>1</v>
      </c>
      <c r="E113" s="15"/>
      <c r="F113" s="13"/>
      <c r="G113" s="15" t="s">
        <v>25</v>
      </c>
      <c r="H113" s="13" t="s">
        <v>161</v>
      </c>
      <c r="I113" s="13">
        <v>64277</v>
      </c>
      <c r="J113" s="13">
        <v>331</v>
      </c>
      <c r="K113" s="13" t="s">
        <v>21</v>
      </c>
      <c r="L113" s="13">
        <v>1</v>
      </c>
      <c r="M113" s="16">
        <v>110000</v>
      </c>
      <c r="N113" s="16">
        <f t="shared" si="2"/>
        <v>110000</v>
      </c>
      <c r="O113" s="13" t="s">
        <v>22</v>
      </c>
      <c r="P113" s="2">
        <v>99</v>
      </c>
    </row>
    <row r="114" spans="1:16" x14ac:dyDescent="0.25">
      <c r="A114" s="13" t="s">
        <v>18</v>
      </c>
      <c r="B114" s="14">
        <v>45873</v>
      </c>
      <c r="C114" s="13">
        <f t="shared" si="3"/>
        <v>223</v>
      </c>
      <c r="D114" s="13">
        <v>1</v>
      </c>
      <c r="E114" s="15"/>
      <c r="F114" s="13"/>
      <c r="G114" s="15" t="s">
        <v>29</v>
      </c>
      <c r="H114" s="13" t="s">
        <v>162</v>
      </c>
      <c r="I114" s="13">
        <v>6425</v>
      </c>
      <c r="J114" s="13">
        <v>333822</v>
      </c>
      <c r="K114" s="13" t="s">
        <v>21</v>
      </c>
      <c r="L114" s="13">
        <v>1</v>
      </c>
      <c r="M114" s="16">
        <v>3226</v>
      </c>
      <c r="N114" s="16">
        <f t="shared" si="2"/>
        <v>3226</v>
      </c>
      <c r="O114" s="13" t="s">
        <v>22</v>
      </c>
      <c r="P114" s="2">
        <v>231</v>
      </c>
    </row>
    <row r="115" spans="1:16" x14ac:dyDescent="0.25">
      <c r="A115" s="13" t="s">
        <v>18</v>
      </c>
      <c r="B115" s="14">
        <v>45873</v>
      </c>
      <c r="C115" s="13">
        <f t="shared" si="3"/>
        <v>224</v>
      </c>
      <c r="D115" s="13">
        <v>1</v>
      </c>
      <c r="E115" s="15"/>
      <c r="F115" s="13"/>
      <c r="G115" s="15" t="s">
        <v>29</v>
      </c>
      <c r="H115" s="13" t="s">
        <v>162</v>
      </c>
      <c r="I115" s="13">
        <v>6425</v>
      </c>
      <c r="J115" s="13">
        <v>333822</v>
      </c>
      <c r="K115" s="13" t="s">
        <v>21</v>
      </c>
      <c r="L115" s="13">
        <v>1</v>
      </c>
      <c r="M115" s="16">
        <v>1872114</v>
      </c>
      <c r="N115" s="16">
        <f t="shared" si="2"/>
        <v>1872114</v>
      </c>
      <c r="O115" s="13" t="s">
        <v>22</v>
      </c>
      <c r="P115" s="2">
        <v>232</v>
      </c>
    </row>
    <row r="116" spans="1:16" x14ac:dyDescent="0.25">
      <c r="A116" s="13" t="s">
        <v>18</v>
      </c>
      <c r="B116" s="14">
        <v>45873</v>
      </c>
      <c r="C116" s="13">
        <f t="shared" si="3"/>
        <v>225</v>
      </c>
      <c r="D116" s="13">
        <v>1</v>
      </c>
      <c r="E116" s="15"/>
      <c r="F116" s="13"/>
      <c r="G116" s="15" t="s">
        <v>31</v>
      </c>
      <c r="H116" s="13" t="s">
        <v>32</v>
      </c>
      <c r="I116" s="13">
        <v>131</v>
      </c>
      <c r="J116" s="13">
        <v>5118</v>
      </c>
      <c r="K116" s="13" t="s">
        <v>21</v>
      </c>
      <c r="L116" s="13">
        <v>1</v>
      </c>
      <c r="M116" s="16">
        <v>30855093</v>
      </c>
      <c r="N116" s="16">
        <f t="shared" si="2"/>
        <v>30855093</v>
      </c>
      <c r="O116" s="13" t="s">
        <v>22</v>
      </c>
      <c r="P116" s="2">
        <v>267</v>
      </c>
    </row>
    <row r="117" spans="1:16" x14ac:dyDescent="0.25">
      <c r="A117" s="13" t="s">
        <v>33</v>
      </c>
      <c r="B117" s="14">
        <v>45873</v>
      </c>
      <c r="C117" s="13">
        <f t="shared" si="3"/>
        <v>226</v>
      </c>
      <c r="D117" s="13">
        <v>1</v>
      </c>
      <c r="E117" s="15"/>
      <c r="F117" s="13"/>
      <c r="G117" s="15" t="s">
        <v>31</v>
      </c>
      <c r="H117" s="13" t="s">
        <v>34</v>
      </c>
      <c r="I117" s="13">
        <v>112111</v>
      </c>
      <c r="J117" s="13">
        <v>131</v>
      </c>
      <c r="K117" s="13" t="s">
        <v>21</v>
      </c>
      <c r="L117" s="13">
        <v>1</v>
      </c>
      <c r="M117" s="16">
        <v>30855093</v>
      </c>
      <c r="N117" s="16">
        <f t="shared" si="2"/>
        <v>30855093</v>
      </c>
      <c r="O117" s="13" t="s">
        <v>22</v>
      </c>
      <c r="P117" s="2">
        <v>276</v>
      </c>
    </row>
    <row r="118" spans="1:16" x14ac:dyDescent="0.25">
      <c r="A118" s="13" t="s">
        <v>18</v>
      </c>
      <c r="B118" s="14">
        <v>45874</v>
      </c>
      <c r="C118" s="13">
        <f t="shared" si="3"/>
        <v>227</v>
      </c>
      <c r="D118" s="13">
        <v>1</v>
      </c>
      <c r="E118" s="15"/>
      <c r="F118" s="13"/>
      <c r="G118" s="15" t="s">
        <v>163</v>
      </c>
      <c r="H118" s="13" t="s">
        <v>164</v>
      </c>
      <c r="I118" s="13">
        <v>64277</v>
      </c>
      <c r="J118" s="13">
        <v>331</v>
      </c>
      <c r="K118" s="13" t="s">
        <v>21</v>
      </c>
      <c r="L118" s="13">
        <v>1</v>
      </c>
      <c r="M118" s="16">
        <v>1098360</v>
      </c>
      <c r="N118" s="16">
        <f t="shared" si="2"/>
        <v>1098360</v>
      </c>
      <c r="O118" s="13" t="s">
        <v>22</v>
      </c>
      <c r="P118" s="2">
        <v>101</v>
      </c>
    </row>
    <row r="119" spans="1:16" x14ac:dyDescent="0.25">
      <c r="A119" s="13" t="s">
        <v>18</v>
      </c>
      <c r="B119" s="14">
        <v>45874</v>
      </c>
      <c r="C119" s="13">
        <f t="shared" si="3"/>
        <v>228</v>
      </c>
      <c r="D119" s="13">
        <v>1</v>
      </c>
      <c r="E119" s="15"/>
      <c r="F119" s="13"/>
      <c r="G119" s="15" t="s">
        <v>25</v>
      </c>
      <c r="H119" s="13" t="s">
        <v>165</v>
      </c>
      <c r="I119" s="13">
        <v>64277</v>
      </c>
      <c r="J119" s="13">
        <v>331</v>
      </c>
      <c r="K119" s="13" t="s">
        <v>21</v>
      </c>
      <c r="L119" s="13">
        <v>1</v>
      </c>
      <c r="M119" s="16">
        <v>110000</v>
      </c>
      <c r="N119" s="16">
        <f t="shared" si="2"/>
        <v>110000</v>
      </c>
      <c r="O119" s="13" t="s">
        <v>22</v>
      </c>
      <c r="P119" s="2">
        <v>102</v>
      </c>
    </row>
    <row r="120" spans="1:16" x14ac:dyDescent="0.25">
      <c r="A120" s="13" t="s">
        <v>18</v>
      </c>
      <c r="B120" s="14">
        <v>45874</v>
      </c>
      <c r="C120" s="13">
        <f t="shared" si="3"/>
        <v>229</v>
      </c>
      <c r="D120" s="13">
        <v>1</v>
      </c>
      <c r="E120" s="15"/>
      <c r="F120" s="13"/>
      <c r="G120" s="15" t="s">
        <v>96</v>
      </c>
      <c r="H120" s="13" t="s">
        <v>166</v>
      </c>
      <c r="I120" s="13">
        <v>131</v>
      </c>
      <c r="J120" s="13">
        <v>5113</v>
      </c>
      <c r="K120" s="13" t="s">
        <v>21</v>
      </c>
      <c r="L120" s="13">
        <v>1</v>
      </c>
      <c r="M120" s="16">
        <v>16129032</v>
      </c>
      <c r="N120" s="16">
        <f t="shared" si="2"/>
        <v>16129032</v>
      </c>
      <c r="O120" s="13" t="s">
        <v>22</v>
      </c>
      <c r="P120" s="2">
        <v>240</v>
      </c>
    </row>
    <row r="121" spans="1:16" x14ac:dyDescent="0.25">
      <c r="A121" s="13" t="s">
        <v>18</v>
      </c>
      <c r="B121" s="14">
        <v>45874</v>
      </c>
      <c r="C121" s="13">
        <f t="shared" si="3"/>
        <v>229</v>
      </c>
      <c r="D121" s="13">
        <v>0</v>
      </c>
      <c r="E121" s="15"/>
      <c r="F121" s="13"/>
      <c r="G121" s="15" t="s">
        <v>96</v>
      </c>
      <c r="H121" s="13" t="s">
        <v>167</v>
      </c>
      <c r="I121" s="13">
        <v>5113</v>
      </c>
      <c r="J121" s="13">
        <v>131</v>
      </c>
      <c r="K121" s="13" t="s">
        <v>21</v>
      </c>
      <c r="L121" s="13">
        <v>1</v>
      </c>
      <c r="M121" s="16">
        <v>161290</v>
      </c>
      <c r="N121" s="16">
        <f t="shared" si="2"/>
        <v>161290</v>
      </c>
      <c r="O121" s="13" t="s">
        <v>22</v>
      </c>
      <c r="P121" s="2">
        <v>241</v>
      </c>
    </row>
    <row r="122" spans="1:16" x14ac:dyDescent="0.25">
      <c r="A122" s="13" t="s">
        <v>18</v>
      </c>
      <c r="B122" s="14">
        <v>45875</v>
      </c>
      <c r="C122" s="13">
        <f t="shared" si="3"/>
        <v>230</v>
      </c>
      <c r="D122" s="13">
        <v>1</v>
      </c>
      <c r="E122" s="15"/>
      <c r="F122" s="13"/>
      <c r="G122" s="15" t="s">
        <v>25</v>
      </c>
      <c r="H122" s="13" t="s">
        <v>168</v>
      </c>
      <c r="I122" s="13">
        <v>64277</v>
      </c>
      <c r="J122" s="13">
        <v>331</v>
      </c>
      <c r="K122" s="13" t="s">
        <v>21</v>
      </c>
      <c r="L122" s="13">
        <v>1</v>
      </c>
      <c r="M122" s="16">
        <v>110000</v>
      </c>
      <c r="N122" s="16">
        <f t="shared" si="2"/>
        <v>110000</v>
      </c>
      <c r="O122" s="13" t="s">
        <v>22</v>
      </c>
      <c r="P122" s="2">
        <v>103</v>
      </c>
    </row>
    <row r="123" spans="1:16" x14ac:dyDescent="0.25">
      <c r="A123" s="13" t="s">
        <v>18</v>
      </c>
      <c r="B123" s="14">
        <v>45875</v>
      </c>
      <c r="C123" s="13">
        <f t="shared" si="3"/>
        <v>231</v>
      </c>
      <c r="D123" s="13">
        <v>1</v>
      </c>
      <c r="E123" s="15"/>
      <c r="F123" s="13"/>
      <c r="G123" s="15" t="s">
        <v>169</v>
      </c>
      <c r="H123" s="13" t="s">
        <v>170</v>
      </c>
      <c r="I123" s="13">
        <v>131</v>
      </c>
      <c r="J123" s="13">
        <v>5113</v>
      </c>
      <c r="K123" s="13" t="s">
        <v>21</v>
      </c>
      <c r="L123" s="13">
        <v>1</v>
      </c>
      <c r="M123" s="16">
        <v>37634408</v>
      </c>
      <c r="N123" s="16">
        <f t="shared" si="2"/>
        <v>37634408</v>
      </c>
      <c r="O123" s="13" t="s">
        <v>22</v>
      </c>
      <c r="P123" s="2">
        <v>242</v>
      </c>
    </row>
    <row r="124" spans="1:16" x14ac:dyDescent="0.25">
      <c r="A124" s="13" t="s">
        <v>18</v>
      </c>
      <c r="B124" s="14">
        <v>45875</v>
      </c>
      <c r="C124" s="13">
        <f t="shared" si="3"/>
        <v>232</v>
      </c>
      <c r="D124" s="13">
        <v>1</v>
      </c>
      <c r="E124" s="15"/>
      <c r="F124" s="13"/>
      <c r="G124" s="15" t="s">
        <v>171</v>
      </c>
      <c r="H124" s="13" t="s">
        <v>172</v>
      </c>
      <c r="I124" s="13">
        <v>131</v>
      </c>
      <c r="J124" s="13">
        <v>5113</v>
      </c>
      <c r="K124" s="13" t="s">
        <v>21</v>
      </c>
      <c r="L124" s="13">
        <v>1</v>
      </c>
      <c r="M124" s="16">
        <v>13978500</v>
      </c>
      <c r="N124" s="16">
        <f t="shared" si="2"/>
        <v>13978500</v>
      </c>
      <c r="O124" s="13" t="s">
        <v>22</v>
      </c>
      <c r="P124" s="2">
        <v>243</v>
      </c>
    </row>
    <row r="125" spans="1:16" x14ac:dyDescent="0.25">
      <c r="A125" s="13" t="s">
        <v>18</v>
      </c>
      <c r="B125" s="14">
        <v>45875</v>
      </c>
      <c r="C125" s="13">
        <f t="shared" si="3"/>
        <v>232</v>
      </c>
      <c r="D125" s="13">
        <v>0</v>
      </c>
      <c r="E125" s="15"/>
      <c r="F125" s="13"/>
      <c r="G125" s="15" t="s">
        <v>171</v>
      </c>
      <c r="H125" s="13" t="s">
        <v>173</v>
      </c>
      <c r="I125" s="13">
        <v>5113</v>
      </c>
      <c r="J125" s="13">
        <v>131</v>
      </c>
      <c r="K125" s="13" t="s">
        <v>21</v>
      </c>
      <c r="L125" s="13">
        <v>1</v>
      </c>
      <c r="M125" s="16">
        <v>139785</v>
      </c>
      <c r="N125" s="16">
        <f t="shared" si="2"/>
        <v>139785</v>
      </c>
      <c r="O125" s="13" t="s">
        <v>22</v>
      </c>
      <c r="P125" s="2">
        <v>244</v>
      </c>
    </row>
    <row r="126" spans="1:16" x14ac:dyDescent="0.25">
      <c r="A126" s="13" t="s">
        <v>18</v>
      </c>
      <c r="B126" s="14">
        <v>45876</v>
      </c>
      <c r="C126" s="13">
        <f t="shared" si="3"/>
        <v>233</v>
      </c>
      <c r="D126" s="13">
        <v>1</v>
      </c>
      <c r="E126" s="15"/>
      <c r="F126" s="13"/>
      <c r="G126" s="15" t="s">
        <v>174</v>
      </c>
      <c r="H126" s="13" t="s">
        <v>175</v>
      </c>
      <c r="I126" s="13">
        <v>64277</v>
      </c>
      <c r="J126" s="13">
        <v>331</v>
      </c>
      <c r="K126" s="13" t="s">
        <v>21</v>
      </c>
      <c r="L126" s="13">
        <v>1</v>
      </c>
      <c r="M126" s="16">
        <v>637200</v>
      </c>
      <c r="N126" s="16">
        <f t="shared" si="2"/>
        <v>637200</v>
      </c>
      <c r="O126" s="13" t="s">
        <v>22</v>
      </c>
      <c r="P126" s="2">
        <v>104</v>
      </c>
    </row>
    <row r="127" spans="1:16" x14ac:dyDescent="0.25">
      <c r="A127" s="13" t="s">
        <v>18</v>
      </c>
      <c r="B127" s="14">
        <v>45876</v>
      </c>
      <c r="C127" s="13">
        <f t="shared" si="3"/>
        <v>234</v>
      </c>
      <c r="D127" s="13">
        <v>1</v>
      </c>
      <c r="E127" s="15"/>
      <c r="F127" s="13"/>
      <c r="G127" s="15" t="s">
        <v>25</v>
      </c>
      <c r="H127" s="13" t="s">
        <v>176</v>
      </c>
      <c r="I127" s="13">
        <v>64277</v>
      </c>
      <c r="J127" s="13">
        <v>331</v>
      </c>
      <c r="K127" s="13" t="s">
        <v>21</v>
      </c>
      <c r="L127" s="13">
        <v>1</v>
      </c>
      <c r="M127" s="16">
        <v>110000</v>
      </c>
      <c r="N127" s="16">
        <f t="shared" si="2"/>
        <v>110000</v>
      </c>
      <c r="O127" s="13" t="s">
        <v>22</v>
      </c>
      <c r="P127" s="2">
        <v>105</v>
      </c>
    </row>
    <row r="128" spans="1:16" x14ac:dyDescent="0.25">
      <c r="A128" s="13" t="s">
        <v>18</v>
      </c>
      <c r="B128" s="14">
        <v>45876</v>
      </c>
      <c r="C128" s="13">
        <f t="shared" si="3"/>
        <v>235</v>
      </c>
      <c r="D128" s="13">
        <v>1</v>
      </c>
      <c r="E128" s="15"/>
      <c r="F128" s="13"/>
      <c r="G128" s="15" t="s">
        <v>25</v>
      </c>
      <c r="H128" s="13" t="s">
        <v>177</v>
      </c>
      <c r="I128" s="13">
        <v>64277</v>
      </c>
      <c r="J128" s="13">
        <v>331</v>
      </c>
      <c r="K128" s="13" t="s">
        <v>21</v>
      </c>
      <c r="L128" s="13">
        <v>1</v>
      </c>
      <c r="M128" s="16">
        <v>124000</v>
      </c>
      <c r="N128" s="16">
        <f t="shared" si="2"/>
        <v>124000</v>
      </c>
      <c r="O128" s="13" t="s">
        <v>22</v>
      </c>
      <c r="P128" s="2">
        <v>106</v>
      </c>
    </row>
    <row r="129" spans="1:16" x14ac:dyDescent="0.25">
      <c r="A129" s="13" t="s">
        <v>18</v>
      </c>
      <c r="B129" s="14">
        <v>45876</v>
      </c>
      <c r="C129" s="13">
        <f t="shared" si="3"/>
        <v>236</v>
      </c>
      <c r="D129" s="13">
        <v>1</v>
      </c>
      <c r="E129" s="15"/>
      <c r="F129" s="13"/>
      <c r="G129" s="15" t="s">
        <v>178</v>
      </c>
      <c r="H129" s="13" t="s">
        <v>179</v>
      </c>
      <c r="I129" s="13">
        <v>131</v>
      </c>
      <c r="J129" s="13">
        <v>5113</v>
      </c>
      <c r="K129" s="13" t="s">
        <v>21</v>
      </c>
      <c r="L129" s="13">
        <v>1</v>
      </c>
      <c r="M129" s="16">
        <v>32258064</v>
      </c>
      <c r="N129" s="16">
        <f t="shared" si="2"/>
        <v>32258064</v>
      </c>
      <c r="O129" s="13" t="s">
        <v>22</v>
      </c>
      <c r="P129" s="2">
        <v>245</v>
      </c>
    </row>
    <row r="130" spans="1:16" x14ac:dyDescent="0.25">
      <c r="A130" s="13" t="s">
        <v>18</v>
      </c>
      <c r="B130" s="14">
        <v>45876</v>
      </c>
      <c r="C130" s="13">
        <f t="shared" si="3"/>
        <v>236</v>
      </c>
      <c r="D130" s="13">
        <v>0</v>
      </c>
      <c r="E130" s="15"/>
      <c r="F130" s="13"/>
      <c r="G130" s="15" t="s">
        <v>178</v>
      </c>
      <c r="H130" s="13" t="s">
        <v>180</v>
      </c>
      <c r="I130" s="13">
        <v>5113</v>
      </c>
      <c r="J130" s="13">
        <v>131</v>
      </c>
      <c r="K130" s="13" t="s">
        <v>21</v>
      </c>
      <c r="L130" s="13">
        <v>1</v>
      </c>
      <c r="M130" s="16">
        <v>322581</v>
      </c>
      <c r="N130" s="16">
        <f t="shared" si="2"/>
        <v>322581</v>
      </c>
      <c r="O130" s="13" t="s">
        <v>22</v>
      </c>
      <c r="P130" s="2">
        <v>246</v>
      </c>
    </row>
    <row r="131" spans="1:16" x14ac:dyDescent="0.25">
      <c r="A131" s="13" t="s">
        <v>33</v>
      </c>
      <c r="B131" s="14">
        <v>45876</v>
      </c>
      <c r="C131" s="13">
        <f t="shared" si="3"/>
        <v>237</v>
      </c>
      <c r="D131" s="13">
        <v>1</v>
      </c>
      <c r="E131" s="15"/>
      <c r="F131" s="13"/>
      <c r="G131" s="15" t="s">
        <v>169</v>
      </c>
      <c r="H131" s="13" t="s">
        <v>181</v>
      </c>
      <c r="I131" s="13">
        <v>112111</v>
      </c>
      <c r="J131" s="13">
        <v>131</v>
      </c>
      <c r="K131" s="13" t="s">
        <v>21</v>
      </c>
      <c r="L131" s="13">
        <v>1</v>
      </c>
      <c r="M131" s="16">
        <v>37634408</v>
      </c>
      <c r="N131" s="16">
        <f t="shared" si="2"/>
        <v>37634408</v>
      </c>
      <c r="O131" s="13" t="s">
        <v>22</v>
      </c>
      <c r="P131" s="2">
        <v>277</v>
      </c>
    </row>
    <row r="132" spans="1:16" x14ac:dyDescent="0.25">
      <c r="A132" s="13" t="s">
        <v>18</v>
      </c>
      <c r="B132" s="14">
        <v>45877</v>
      </c>
      <c r="C132" s="13">
        <f t="shared" si="3"/>
        <v>238</v>
      </c>
      <c r="D132" s="13">
        <v>1</v>
      </c>
      <c r="E132" s="15"/>
      <c r="F132" s="13"/>
      <c r="G132" s="15" t="s">
        <v>35</v>
      </c>
      <c r="H132" s="13" t="s">
        <v>182</v>
      </c>
      <c r="I132" s="13">
        <v>64277</v>
      </c>
      <c r="J132" s="13">
        <v>331</v>
      </c>
      <c r="K132" s="13" t="s">
        <v>21</v>
      </c>
      <c r="L132" s="13">
        <v>1</v>
      </c>
      <c r="M132" s="16">
        <v>301000</v>
      </c>
      <c r="N132" s="16">
        <f t="shared" ref="N132:N195" si="4">M132*L132</f>
        <v>301000</v>
      </c>
      <c r="O132" s="13" t="s">
        <v>22</v>
      </c>
      <c r="P132" s="2">
        <v>107</v>
      </c>
    </row>
    <row r="133" spans="1:16" x14ac:dyDescent="0.25">
      <c r="A133" s="13" t="s">
        <v>18</v>
      </c>
      <c r="B133" s="14">
        <v>45877</v>
      </c>
      <c r="C133" s="13">
        <f t="shared" si="3"/>
        <v>239</v>
      </c>
      <c r="D133" s="13">
        <v>1</v>
      </c>
      <c r="E133" s="15"/>
      <c r="F133" s="13"/>
      <c r="G133" s="15" t="s">
        <v>19</v>
      </c>
      <c r="H133" s="13" t="s">
        <v>183</v>
      </c>
      <c r="I133" s="13">
        <v>64277</v>
      </c>
      <c r="J133" s="13">
        <v>331</v>
      </c>
      <c r="K133" s="13" t="s">
        <v>21</v>
      </c>
      <c r="L133" s="13">
        <v>1</v>
      </c>
      <c r="M133" s="16">
        <v>146000</v>
      </c>
      <c r="N133" s="16">
        <f t="shared" si="4"/>
        <v>146000</v>
      </c>
      <c r="O133" s="13" t="s">
        <v>22</v>
      </c>
      <c r="P133" s="2">
        <v>108</v>
      </c>
    </row>
    <row r="134" spans="1:16" x14ac:dyDescent="0.25">
      <c r="A134" s="13" t="s">
        <v>18</v>
      </c>
      <c r="B134" s="14">
        <v>45877</v>
      </c>
      <c r="C134" s="13">
        <f t="shared" ref="C134:C197" si="5">C133+D134</f>
        <v>240</v>
      </c>
      <c r="D134" s="13">
        <v>1</v>
      </c>
      <c r="E134" s="15"/>
      <c r="F134" s="13"/>
      <c r="G134" s="15" t="s">
        <v>80</v>
      </c>
      <c r="H134" s="13" t="s">
        <v>184</v>
      </c>
      <c r="I134" s="13">
        <v>64277</v>
      </c>
      <c r="J134" s="13">
        <v>331</v>
      </c>
      <c r="K134" s="13" t="s">
        <v>21</v>
      </c>
      <c r="L134" s="13">
        <v>1</v>
      </c>
      <c r="M134" s="16">
        <v>415000</v>
      </c>
      <c r="N134" s="16">
        <f t="shared" si="4"/>
        <v>415000</v>
      </c>
      <c r="O134" s="13" t="s">
        <v>22</v>
      </c>
      <c r="P134" s="2">
        <v>109</v>
      </c>
    </row>
    <row r="135" spans="1:16" x14ac:dyDescent="0.25">
      <c r="A135" s="13" t="s">
        <v>18</v>
      </c>
      <c r="B135" s="14">
        <v>45877</v>
      </c>
      <c r="C135" s="13">
        <f t="shared" si="5"/>
        <v>241</v>
      </c>
      <c r="D135" s="13">
        <v>1</v>
      </c>
      <c r="E135" s="15"/>
      <c r="F135" s="13"/>
      <c r="G135" s="15" t="s">
        <v>25</v>
      </c>
      <c r="H135" s="13" t="s">
        <v>185</v>
      </c>
      <c r="I135" s="13">
        <v>64277</v>
      </c>
      <c r="J135" s="13">
        <v>331</v>
      </c>
      <c r="K135" s="13" t="s">
        <v>21</v>
      </c>
      <c r="L135" s="13">
        <v>1</v>
      </c>
      <c r="M135" s="16">
        <v>257000</v>
      </c>
      <c r="N135" s="16">
        <f t="shared" si="4"/>
        <v>257000</v>
      </c>
      <c r="O135" s="13" t="s">
        <v>22</v>
      </c>
      <c r="P135" s="2">
        <v>110</v>
      </c>
    </row>
    <row r="136" spans="1:16" x14ac:dyDescent="0.25">
      <c r="A136" s="13" t="s">
        <v>18</v>
      </c>
      <c r="B136" s="14">
        <v>45877</v>
      </c>
      <c r="C136" s="13">
        <f t="shared" si="5"/>
        <v>242</v>
      </c>
      <c r="D136" s="13">
        <v>1</v>
      </c>
      <c r="E136" s="15"/>
      <c r="F136" s="13"/>
      <c r="G136" s="15" t="s">
        <v>178</v>
      </c>
      <c r="H136" s="13" t="s">
        <v>186</v>
      </c>
      <c r="I136" s="13">
        <v>131</v>
      </c>
      <c r="J136" s="13">
        <v>5113</v>
      </c>
      <c r="K136" s="13" t="s">
        <v>21</v>
      </c>
      <c r="L136" s="13">
        <v>1</v>
      </c>
      <c r="M136" s="16">
        <v>16129032</v>
      </c>
      <c r="N136" s="16">
        <f t="shared" si="4"/>
        <v>16129032</v>
      </c>
      <c r="O136" s="13" t="s">
        <v>22</v>
      </c>
      <c r="P136" s="2">
        <v>247</v>
      </c>
    </row>
    <row r="137" spans="1:16" x14ac:dyDescent="0.25">
      <c r="A137" s="13" t="s">
        <v>18</v>
      </c>
      <c r="B137" s="14">
        <v>45877</v>
      </c>
      <c r="C137" s="13">
        <f t="shared" si="5"/>
        <v>242</v>
      </c>
      <c r="D137" s="13">
        <v>0</v>
      </c>
      <c r="E137" s="15"/>
      <c r="F137" s="13"/>
      <c r="G137" s="15" t="s">
        <v>178</v>
      </c>
      <c r="H137" s="13" t="s">
        <v>187</v>
      </c>
      <c r="I137" s="13">
        <v>5113</v>
      </c>
      <c r="J137" s="13">
        <v>131</v>
      </c>
      <c r="K137" s="13" t="s">
        <v>21</v>
      </c>
      <c r="L137" s="13">
        <v>1</v>
      </c>
      <c r="M137" s="16">
        <v>161290</v>
      </c>
      <c r="N137" s="16">
        <f t="shared" si="4"/>
        <v>161290</v>
      </c>
      <c r="O137" s="13" t="s">
        <v>22</v>
      </c>
      <c r="P137" s="2">
        <v>248</v>
      </c>
    </row>
    <row r="138" spans="1:16" x14ac:dyDescent="0.25">
      <c r="A138" s="13" t="s">
        <v>33</v>
      </c>
      <c r="B138" s="14">
        <v>45877</v>
      </c>
      <c r="C138" s="13">
        <f t="shared" si="5"/>
        <v>243</v>
      </c>
      <c r="D138" s="13">
        <v>1</v>
      </c>
      <c r="E138" s="15"/>
      <c r="F138" s="13"/>
      <c r="G138" s="15" t="s">
        <v>171</v>
      </c>
      <c r="H138" s="13" t="s">
        <v>188</v>
      </c>
      <c r="I138" s="13">
        <v>112111</v>
      </c>
      <c r="J138" s="13">
        <v>131</v>
      </c>
      <c r="K138" s="13" t="s">
        <v>21</v>
      </c>
      <c r="L138" s="13">
        <v>1</v>
      </c>
      <c r="M138" s="16">
        <v>13838715</v>
      </c>
      <c r="N138" s="16">
        <f t="shared" si="4"/>
        <v>13838715</v>
      </c>
      <c r="O138" s="13" t="s">
        <v>22</v>
      </c>
      <c r="P138" s="2">
        <v>278</v>
      </c>
    </row>
    <row r="139" spans="1:16" x14ac:dyDescent="0.25">
      <c r="A139" s="13" t="s">
        <v>18</v>
      </c>
      <c r="B139" s="14">
        <v>45878</v>
      </c>
      <c r="C139" s="13">
        <f t="shared" si="5"/>
        <v>244</v>
      </c>
      <c r="D139" s="13">
        <v>1</v>
      </c>
      <c r="E139" s="15"/>
      <c r="F139" s="13"/>
      <c r="G139" s="15" t="s">
        <v>19</v>
      </c>
      <c r="H139" s="13" t="s">
        <v>189</v>
      </c>
      <c r="I139" s="13">
        <v>64277</v>
      </c>
      <c r="J139" s="13">
        <v>331</v>
      </c>
      <c r="K139" s="13" t="s">
        <v>21</v>
      </c>
      <c r="L139" s="13">
        <v>1</v>
      </c>
      <c r="M139" s="16">
        <v>36000</v>
      </c>
      <c r="N139" s="16">
        <f t="shared" si="4"/>
        <v>36000</v>
      </c>
      <c r="O139" s="13" t="s">
        <v>22</v>
      </c>
      <c r="P139" s="2">
        <v>111</v>
      </c>
    </row>
    <row r="140" spans="1:16" x14ac:dyDescent="0.25">
      <c r="A140" s="13" t="s">
        <v>18</v>
      </c>
      <c r="B140" s="14">
        <v>45878</v>
      </c>
      <c r="C140" s="13">
        <f t="shared" si="5"/>
        <v>245</v>
      </c>
      <c r="D140" s="13">
        <v>1</v>
      </c>
      <c r="E140" s="15"/>
      <c r="F140" s="13"/>
      <c r="G140" s="15" t="s">
        <v>25</v>
      </c>
      <c r="H140" s="13" t="s">
        <v>190</v>
      </c>
      <c r="I140" s="13">
        <v>64277</v>
      </c>
      <c r="J140" s="13">
        <v>331</v>
      </c>
      <c r="K140" s="13" t="s">
        <v>21</v>
      </c>
      <c r="L140" s="13">
        <v>1</v>
      </c>
      <c r="M140" s="16">
        <v>149000</v>
      </c>
      <c r="N140" s="16">
        <f t="shared" si="4"/>
        <v>149000</v>
      </c>
      <c r="O140" s="13" t="s">
        <v>22</v>
      </c>
      <c r="P140" s="2">
        <v>112</v>
      </c>
    </row>
    <row r="141" spans="1:16" x14ac:dyDescent="0.25">
      <c r="A141" s="13" t="s">
        <v>18</v>
      </c>
      <c r="B141" s="14">
        <v>45879</v>
      </c>
      <c r="C141" s="13">
        <f t="shared" si="5"/>
        <v>246</v>
      </c>
      <c r="D141" s="13">
        <v>1</v>
      </c>
      <c r="E141" s="15"/>
      <c r="F141" s="13"/>
      <c r="G141" s="15" t="s">
        <v>19</v>
      </c>
      <c r="H141" s="13" t="s">
        <v>191</v>
      </c>
      <c r="I141" s="13">
        <v>64277</v>
      </c>
      <c r="J141" s="13">
        <v>331</v>
      </c>
      <c r="K141" s="13" t="s">
        <v>21</v>
      </c>
      <c r="L141" s="13">
        <v>1</v>
      </c>
      <c r="M141" s="16">
        <v>72000</v>
      </c>
      <c r="N141" s="16">
        <f t="shared" si="4"/>
        <v>72000</v>
      </c>
      <c r="O141" s="13" t="s">
        <v>22</v>
      </c>
      <c r="P141" s="2">
        <v>113</v>
      </c>
    </row>
    <row r="142" spans="1:16" x14ac:dyDescent="0.25">
      <c r="A142" s="13" t="s">
        <v>18</v>
      </c>
      <c r="B142" s="14">
        <v>45879</v>
      </c>
      <c r="C142" s="13">
        <f t="shared" si="5"/>
        <v>247</v>
      </c>
      <c r="D142" s="13">
        <v>1</v>
      </c>
      <c r="E142" s="15"/>
      <c r="F142" s="13"/>
      <c r="G142" s="15" t="s">
        <v>19</v>
      </c>
      <c r="H142" s="13" t="s">
        <v>192</v>
      </c>
      <c r="I142" s="13">
        <v>64277</v>
      </c>
      <c r="J142" s="13">
        <v>331</v>
      </c>
      <c r="K142" s="13" t="s">
        <v>21</v>
      </c>
      <c r="L142" s="13">
        <v>1</v>
      </c>
      <c r="M142" s="16">
        <v>131000</v>
      </c>
      <c r="N142" s="16">
        <f t="shared" si="4"/>
        <v>131000</v>
      </c>
      <c r="O142" s="13" t="s">
        <v>22</v>
      </c>
      <c r="P142" s="2">
        <v>114</v>
      </c>
    </row>
    <row r="143" spans="1:16" x14ac:dyDescent="0.25">
      <c r="A143" s="13" t="s">
        <v>18</v>
      </c>
      <c r="B143" s="14">
        <v>45879</v>
      </c>
      <c r="C143" s="13">
        <f t="shared" si="5"/>
        <v>248</v>
      </c>
      <c r="D143" s="13">
        <v>1</v>
      </c>
      <c r="E143" s="15"/>
      <c r="F143" s="13"/>
      <c r="G143" s="15" t="s">
        <v>25</v>
      </c>
      <c r="H143" s="13" t="s">
        <v>193</v>
      </c>
      <c r="I143" s="13">
        <v>64277</v>
      </c>
      <c r="J143" s="13">
        <v>331</v>
      </c>
      <c r="K143" s="13" t="s">
        <v>21</v>
      </c>
      <c r="L143" s="13">
        <v>1</v>
      </c>
      <c r="M143" s="16">
        <v>149000</v>
      </c>
      <c r="N143" s="16">
        <f t="shared" si="4"/>
        <v>149000</v>
      </c>
      <c r="O143" s="13" t="s">
        <v>22</v>
      </c>
      <c r="P143" s="2">
        <v>115</v>
      </c>
    </row>
    <row r="144" spans="1:16" x14ac:dyDescent="0.25">
      <c r="A144" s="13" t="s">
        <v>18</v>
      </c>
      <c r="B144" s="14">
        <v>45880</v>
      </c>
      <c r="C144" s="13">
        <f t="shared" si="5"/>
        <v>249</v>
      </c>
      <c r="D144" s="13">
        <v>1</v>
      </c>
      <c r="E144" s="15"/>
      <c r="F144" s="13"/>
      <c r="G144" s="15" t="s">
        <v>78</v>
      </c>
      <c r="H144" s="13" t="s">
        <v>194</v>
      </c>
      <c r="I144" s="13">
        <v>64277</v>
      </c>
      <c r="J144" s="13">
        <v>331</v>
      </c>
      <c r="K144" s="13" t="s">
        <v>21</v>
      </c>
      <c r="L144" s="13">
        <v>1</v>
      </c>
      <c r="M144" s="16">
        <v>311040</v>
      </c>
      <c r="N144" s="16">
        <f t="shared" si="4"/>
        <v>311040</v>
      </c>
      <c r="O144" s="13" t="s">
        <v>22</v>
      </c>
      <c r="P144" s="2">
        <v>116</v>
      </c>
    </row>
    <row r="145" spans="1:16" x14ac:dyDescent="0.25">
      <c r="A145" s="13" t="s">
        <v>18</v>
      </c>
      <c r="B145" s="14">
        <v>45880</v>
      </c>
      <c r="C145" s="13">
        <f t="shared" si="5"/>
        <v>250</v>
      </c>
      <c r="D145" s="13">
        <v>1</v>
      </c>
      <c r="E145" s="15"/>
      <c r="F145" s="13"/>
      <c r="G145" s="15" t="s">
        <v>25</v>
      </c>
      <c r="H145" s="13" t="s">
        <v>195</v>
      </c>
      <c r="I145" s="13">
        <v>64277</v>
      </c>
      <c r="J145" s="13">
        <v>331</v>
      </c>
      <c r="K145" s="13" t="s">
        <v>21</v>
      </c>
      <c r="L145" s="13">
        <v>1</v>
      </c>
      <c r="M145" s="16">
        <v>110000</v>
      </c>
      <c r="N145" s="16">
        <f t="shared" si="4"/>
        <v>110000</v>
      </c>
      <c r="O145" s="13" t="s">
        <v>22</v>
      </c>
      <c r="P145" s="2">
        <v>117</v>
      </c>
    </row>
    <row r="146" spans="1:16" x14ac:dyDescent="0.25">
      <c r="A146" s="13" t="s">
        <v>18</v>
      </c>
      <c r="B146" s="14">
        <v>45880</v>
      </c>
      <c r="C146" s="13">
        <f t="shared" si="5"/>
        <v>251</v>
      </c>
      <c r="D146" s="13">
        <v>1</v>
      </c>
      <c r="E146" s="15"/>
      <c r="F146" s="13"/>
      <c r="G146" s="15" t="s">
        <v>25</v>
      </c>
      <c r="H146" s="13" t="s">
        <v>196</v>
      </c>
      <c r="I146" s="13">
        <v>64277</v>
      </c>
      <c r="J146" s="13">
        <v>331</v>
      </c>
      <c r="K146" s="13" t="s">
        <v>21</v>
      </c>
      <c r="L146" s="13">
        <v>1</v>
      </c>
      <c r="M146" s="16">
        <v>149000</v>
      </c>
      <c r="N146" s="16">
        <f t="shared" si="4"/>
        <v>149000</v>
      </c>
      <c r="O146" s="13" t="s">
        <v>22</v>
      </c>
      <c r="P146" s="2">
        <v>118</v>
      </c>
    </row>
    <row r="147" spans="1:16" x14ac:dyDescent="0.25">
      <c r="A147" s="13" t="s">
        <v>33</v>
      </c>
      <c r="B147" s="14">
        <v>45880</v>
      </c>
      <c r="C147" s="13">
        <f t="shared" si="5"/>
        <v>252</v>
      </c>
      <c r="D147" s="13">
        <v>1</v>
      </c>
      <c r="E147" s="15"/>
      <c r="F147" s="13"/>
      <c r="G147" s="15" t="s">
        <v>178</v>
      </c>
      <c r="H147" s="13" t="s">
        <v>197</v>
      </c>
      <c r="I147" s="13">
        <v>112111</v>
      </c>
      <c r="J147" s="13">
        <v>131</v>
      </c>
      <c r="K147" s="13" t="s">
        <v>21</v>
      </c>
      <c r="L147" s="13">
        <v>1</v>
      </c>
      <c r="M147" s="16">
        <v>15967742</v>
      </c>
      <c r="N147" s="16">
        <f t="shared" si="4"/>
        <v>15967742</v>
      </c>
      <c r="O147" s="13" t="s">
        <v>22</v>
      </c>
      <c r="P147" s="2">
        <v>279</v>
      </c>
    </row>
    <row r="148" spans="1:16" x14ac:dyDescent="0.25">
      <c r="A148" s="13" t="s">
        <v>18</v>
      </c>
      <c r="B148" s="14">
        <v>45881</v>
      </c>
      <c r="C148" s="13">
        <f t="shared" si="5"/>
        <v>253</v>
      </c>
      <c r="D148" s="13">
        <v>1</v>
      </c>
      <c r="E148" s="15"/>
      <c r="F148" s="13"/>
      <c r="G148" s="15" t="s">
        <v>25</v>
      </c>
      <c r="H148" s="13" t="s">
        <v>198</v>
      </c>
      <c r="I148" s="13">
        <v>64277</v>
      </c>
      <c r="J148" s="13">
        <v>331</v>
      </c>
      <c r="K148" s="13" t="s">
        <v>21</v>
      </c>
      <c r="L148" s="13">
        <v>1</v>
      </c>
      <c r="M148" s="16">
        <v>149000</v>
      </c>
      <c r="N148" s="16">
        <f t="shared" si="4"/>
        <v>149000</v>
      </c>
      <c r="O148" s="13" t="s">
        <v>22</v>
      </c>
      <c r="P148" s="2">
        <v>119</v>
      </c>
    </row>
    <row r="149" spans="1:16" x14ac:dyDescent="0.25">
      <c r="A149" s="13" t="s">
        <v>18</v>
      </c>
      <c r="B149" s="14">
        <v>45881</v>
      </c>
      <c r="C149" s="13">
        <f t="shared" si="5"/>
        <v>254</v>
      </c>
      <c r="D149" s="13">
        <v>1</v>
      </c>
      <c r="E149" s="15"/>
      <c r="F149" s="13"/>
      <c r="G149" s="15" t="s">
        <v>199</v>
      </c>
      <c r="H149" s="13" t="s">
        <v>200</v>
      </c>
      <c r="I149" s="13">
        <v>64277</v>
      </c>
      <c r="J149" s="13">
        <v>331</v>
      </c>
      <c r="K149" s="13" t="s">
        <v>21</v>
      </c>
      <c r="L149" s="13">
        <v>1</v>
      </c>
      <c r="M149" s="16">
        <v>621000</v>
      </c>
      <c r="N149" s="16">
        <f t="shared" si="4"/>
        <v>621000</v>
      </c>
      <c r="O149" s="13" t="s">
        <v>22</v>
      </c>
      <c r="P149" s="2">
        <v>120</v>
      </c>
    </row>
    <row r="150" spans="1:16" x14ac:dyDescent="0.25">
      <c r="A150" s="13" t="s">
        <v>18</v>
      </c>
      <c r="B150" s="14">
        <v>45881</v>
      </c>
      <c r="C150" s="13">
        <f t="shared" si="5"/>
        <v>255</v>
      </c>
      <c r="D150" s="13">
        <v>1</v>
      </c>
      <c r="E150" s="15"/>
      <c r="F150" s="13"/>
      <c r="G150" s="15" t="s">
        <v>25</v>
      </c>
      <c r="H150" s="13" t="s">
        <v>201</v>
      </c>
      <c r="I150" s="13">
        <v>64277</v>
      </c>
      <c r="J150" s="13">
        <v>331</v>
      </c>
      <c r="K150" s="13" t="s">
        <v>21</v>
      </c>
      <c r="L150" s="13">
        <v>1</v>
      </c>
      <c r="M150" s="16">
        <v>110000</v>
      </c>
      <c r="N150" s="16">
        <f t="shared" si="4"/>
        <v>110000</v>
      </c>
      <c r="O150" s="13" t="s">
        <v>22</v>
      </c>
      <c r="P150" s="2">
        <v>121</v>
      </c>
    </row>
    <row r="151" spans="1:16" x14ac:dyDescent="0.25">
      <c r="A151" s="13" t="s">
        <v>18</v>
      </c>
      <c r="B151" s="14">
        <v>45882</v>
      </c>
      <c r="C151" s="13">
        <f t="shared" si="5"/>
        <v>256</v>
      </c>
      <c r="D151" s="13">
        <v>1</v>
      </c>
      <c r="E151" s="15"/>
      <c r="F151" s="13"/>
      <c r="G151" s="15" t="s">
        <v>80</v>
      </c>
      <c r="H151" s="13" t="s">
        <v>202</v>
      </c>
      <c r="I151" s="13">
        <v>64277</v>
      </c>
      <c r="J151" s="13">
        <v>331</v>
      </c>
      <c r="K151" s="13" t="s">
        <v>21</v>
      </c>
      <c r="L151" s="13">
        <v>1</v>
      </c>
      <c r="M151" s="16">
        <v>360000</v>
      </c>
      <c r="N151" s="16">
        <f t="shared" si="4"/>
        <v>360000</v>
      </c>
      <c r="O151" s="13" t="s">
        <v>22</v>
      </c>
      <c r="P151" s="2">
        <v>122</v>
      </c>
    </row>
    <row r="152" spans="1:16" x14ac:dyDescent="0.25">
      <c r="A152" s="13" t="s">
        <v>18</v>
      </c>
      <c r="B152" s="14">
        <v>45882</v>
      </c>
      <c r="C152" s="13">
        <f t="shared" si="5"/>
        <v>257</v>
      </c>
      <c r="D152" s="13">
        <v>1</v>
      </c>
      <c r="E152" s="15"/>
      <c r="F152" s="13"/>
      <c r="G152" s="15" t="s">
        <v>25</v>
      </c>
      <c r="H152" s="13" t="s">
        <v>203</v>
      </c>
      <c r="I152" s="13">
        <v>64277</v>
      </c>
      <c r="J152" s="13">
        <v>331</v>
      </c>
      <c r="K152" s="13" t="s">
        <v>21</v>
      </c>
      <c r="L152" s="13">
        <v>1</v>
      </c>
      <c r="M152" s="16">
        <v>110000</v>
      </c>
      <c r="N152" s="16">
        <f t="shared" si="4"/>
        <v>110000</v>
      </c>
      <c r="O152" s="13" t="s">
        <v>22</v>
      </c>
      <c r="P152" s="2">
        <v>123</v>
      </c>
    </row>
    <row r="153" spans="1:16" x14ac:dyDescent="0.25">
      <c r="A153" s="13" t="s">
        <v>18</v>
      </c>
      <c r="B153" s="14">
        <v>45882</v>
      </c>
      <c r="C153" s="13">
        <f t="shared" si="5"/>
        <v>258</v>
      </c>
      <c r="D153" s="13">
        <v>1</v>
      </c>
      <c r="E153" s="15"/>
      <c r="F153" s="13"/>
      <c r="G153" s="15" t="s">
        <v>136</v>
      </c>
      <c r="H153" s="13" t="s">
        <v>204</v>
      </c>
      <c r="I153" s="13">
        <v>64277</v>
      </c>
      <c r="J153" s="13">
        <v>331</v>
      </c>
      <c r="K153" s="13" t="s">
        <v>21</v>
      </c>
      <c r="L153" s="13">
        <v>1</v>
      </c>
      <c r="M153" s="16">
        <v>1589528</v>
      </c>
      <c r="N153" s="16">
        <f t="shared" si="4"/>
        <v>1589528</v>
      </c>
      <c r="O153" s="13" t="s">
        <v>22</v>
      </c>
      <c r="P153" s="2">
        <v>124</v>
      </c>
    </row>
    <row r="154" spans="1:16" x14ac:dyDescent="0.25">
      <c r="A154" s="13" t="s">
        <v>18</v>
      </c>
      <c r="B154" s="14">
        <v>45883</v>
      </c>
      <c r="C154" s="13">
        <f t="shared" si="5"/>
        <v>259</v>
      </c>
      <c r="D154" s="13">
        <v>1</v>
      </c>
      <c r="E154" s="15"/>
      <c r="F154" s="13"/>
      <c r="G154" s="15" t="s">
        <v>25</v>
      </c>
      <c r="H154" s="13" t="s">
        <v>205</v>
      </c>
      <c r="I154" s="13">
        <v>64277</v>
      </c>
      <c r="J154" s="13">
        <v>331</v>
      </c>
      <c r="K154" s="13" t="s">
        <v>21</v>
      </c>
      <c r="L154" s="13">
        <v>1</v>
      </c>
      <c r="M154" s="16">
        <v>110000</v>
      </c>
      <c r="N154" s="16">
        <f t="shared" si="4"/>
        <v>110000</v>
      </c>
      <c r="O154" s="13" t="s">
        <v>22</v>
      </c>
      <c r="P154" s="2">
        <v>125</v>
      </c>
    </row>
    <row r="155" spans="1:16" x14ac:dyDescent="0.25">
      <c r="A155" s="13" t="s">
        <v>18</v>
      </c>
      <c r="B155" s="14">
        <v>45883</v>
      </c>
      <c r="C155" s="13">
        <f t="shared" si="5"/>
        <v>260</v>
      </c>
      <c r="D155" s="13">
        <v>1</v>
      </c>
      <c r="E155" s="15"/>
      <c r="F155" s="13"/>
      <c r="G155" s="15" t="s">
        <v>25</v>
      </c>
      <c r="H155" s="13" t="s">
        <v>206</v>
      </c>
      <c r="I155" s="13">
        <v>64277</v>
      </c>
      <c r="J155" s="13">
        <v>331</v>
      </c>
      <c r="K155" s="13" t="s">
        <v>21</v>
      </c>
      <c r="L155" s="13">
        <v>1</v>
      </c>
      <c r="M155" s="16">
        <v>139000</v>
      </c>
      <c r="N155" s="16">
        <f t="shared" si="4"/>
        <v>139000</v>
      </c>
      <c r="O155" s="13" t="s">
        <v>22</v>
      </c>
      <c r="P155" s="2">
        <v>126</v>
      </c>
    </row>
    <row r="156" spans="1:16" x14ac:dyDescent="0.25">
      <c r="A156" s="13" t="s">
        <v>18</v>
      </c>
      <c r="B156" s="14">
        <v>45883</v>
      </c>
      <c r="C156" s="13">
        <f t="shared" si="5"/>
        <v>261</v>
      </c>
      <c r="D156" s="13">
        <v>1</v>
      </c>
      <c r="E156" s="15"/>
      <c r="F156" s="13"/>
      <c r="G156" s="15" t="s">
        <v>171</v>
      </c>
      <c r="H156" s="13" t="s">
        <v>207</v>
      </c>
      <c r="I156" s="13">
        <v>131</v>
      </c>
      <c r="J156" s="13">
        <v>5113</v>
      </c>
      <c r="K156" s="13" t="s">
        <v>21</v>
      </c>
      <c r="L156" s="13">
        <v>1</v>
      </c>
      <c r="M156" s="16">
        <v>13978500</v>
      </c>
      <c r="N156" s="16">
        <f t="shared" si="4"/>
        <v>13978500</v>
      </c>
      <c r="O156" s="13" t="s">
        <v>22</v>
      </c>
      <c r="P156" s="2">
        <v>249</v>
      </c>
    </row>
    <row r="157" spans="1:16" x14ac:dyDescent="0.25">
      <c r="A157" s="13" t="s">
        <v>18</v>
      </c>
      <c r="B157" s="14">
        <v>45883</v>
      </c>
      <c r="C157" s="13">
        <f t="shared" si="5"/>
        <v>261</v>
      </c>
      <c r="D157" s="13">
        <v>0</v>
      </c>
      <c r="E157" s="15"/>
      <c r="F157" s="13"/>
      <c r="G157" s="15" t="s">
        <v>171</v>
      </c>
      <c r="H157" s="13" t="s">
        <v>208</v>
      </c>
      <c r="I157" s="13">
        <v>5113</v>
      </c>
      <c r="J157" s="13">
        <v>131</v>
      </c>
      <c r="K157" s="13" t="s">
        <v>21</v>
      </c>
      <c r="L157" s="13">
        <v>1</v>
      </c>
      <c r="M157" s="16">
        <v>139785</v>
      </c>
      <c r="N157" s="16">
        <f t="shared" si="4"/>
        <v>139785</v>
      </c>
      <c r="O157" s="13" t="s">
        <v>22</v>
      </c>
      <c r="P157" s="2">
        <v>250</v>
      </c>
    </row>
    <row r="158" spans="1:16" x14ac:dyDescent="0.25">
      <c r="A158" s="13" t="s">
        <v>18</v>
      </c>
      <c r="B158" s="14">
        <v>45884</v>
      </c>
      <c r="C158" s="13">
        <f t="shared" si="5"/>
        <v>262</v>
      </c>
      <c r="D158" s="13">
        <v>1</v>
      </c>
      <c r="E158" s="15"/>
      <c r="F158" s="13"/>
      <c r="G158" s="15" t="s">
        <v>209</v>
      </c>
      <c r="H158" s="13" t="s">
        <v>210</v>
      </c>
      <c r="I158" s="13">
        <v>64277</v>
      </c>
      <c r="J158" s="13">
        <v>331</v>
      </c>
      <c r="K158" s="13" t="s">
        <v>21</v>
      </c>
      <c r="L158" s="13">
        <v>1</v>
      </c>
      <c r="M158" s="16">
        <v>1709000</v>
      </c>
      <c r="N158" s="16">
        <f t="shared" si="4"/>
        <v>1709000</v>
      </c>
      <c r="O158" s="13" t="s">
        <v>22</v>
      </c>
      <c r="P158" s="2">
        <v>127</v>
      </c>
    </row>
    <row r="159" spans="1:16" x14ac:dyDescent="0.25">
      <c r="A159" s="13" t="s">
        <v>18</v>
      </c>
      <c r="B159" s="14">
        <v>45884</v>
      </c>
      <c r="C159" s="13">
        <f t="shared" si="5"/>
        <v>263</v>
      </c>
      <c r="D159" s="13">
        <v>1</v>
      </c>
      <c r="E159" s="15"/>
      <c r="F159" s="13"/>
      <c r="G159" s="15" t="s">
        <v>25</v>
      </c>
      <c r="H159" s="13" t="s">
        <v>211</v>
      </c>
      <c r="I159" s="13">
        <v>64277</v>
      </c>
      <c r="J159" s="13">
        <v>331</v>
      </c>
      <c r="K159" s="13" t="s">
        <v>21</v>
      </c>
      <c r="L159" s="13">
        <v>1</v>
      </c>
      <c r="M159" s="16">
        <v>110000</v>
      </c>
      <c r="N159" s="16">
        <f t="shared" si="4"/>
        <v>110000</v>
      </c>
      <c r="O159" s="13" t="s">
        <v>22</v>
      </c>
      <c r="P159" s="2">
        <v>128</v>
      </c>
    </row>
    <row r="160" spans="1:16" x14ac:dyDescent="0.25">
      <c r="A160" s="13" t="s">
        <v>18</v>
      </c>
      <c r="B160" s="14">
        <v>45884</v>
      </c>
      <c r="C160" s="13">
        <f t="shared" si="5"/>
        <v>264</v>
      </c>
      <c r="D160" s="13">
        <v>1</v>
      </c>
      <c r="E160" s="15"/>
      <c r="F160" s="13"/>
      <c r="G160" s="15" t="s">
        <v>25</v>
      </c>
      <c r="H160" s="13" t="s">
        <v>212</v>
      </c>
      <c r="I160" s="13">
        <v>64277</v>
      </c>
      <c r="J160" s="13">
        <v>331</v>
      </c>
      <c r="K160" s="13" t="s">
        <v>21</v>
      </c>
      <c r="L160" s="13">
        <v>1</v>
      </c>
      <c r="M160" s="16">
        <v>139000</v>
      </c>
      <c r="N160" s="16">
        <f t="shared" si="4"/>
        <v>139000</v>
      </c>
      <c r="O160" s="13" t="s">
        <v>22</v>
      </c>
      <c r="P160" s="2">
        <v>129</v>
      </c>
    </row>
    <row r="161" spans="1:16" x14ac:dyDescent="0.25">
      <c r="A161" s="13" t="s">
        <v>18</v>
      </c>
      <c r="B161" s="14">
        <v>45884</v>
      </c>
      <c r="C161" s="13">
        <f t="shared" si="5"/>
        <v>265</v>
      </c>
      <c r="D161" s="13">
        <v>1</v>
      </c>
      <c r="E161" s="15"/>
      <c r="F161" s="13"/>
      <c r="G161" s="15" t="s">
        <v>96</v>
      </c>
      <c r="H161" s="13" t="s">
        <v>213</v>
      </c>
      <c r="I161" s="13">
        <v>131</v>
      </c>
      <c r="J161" s="13">
        <v>5113</v>
      </c>
      <c r="K161" s="13" t="s">
        <v>21</v>
      </c>
      <c r="L161" s="13">
        <v>1</v>
      </c>
      <c r="M161" s="16">
        <v>16129032</v>
      </c>
      <c r="N161" s="16">
        <f t="shared" si="4"/>
        <v>16129032</v>
      </c>
      <c r="O161" s="13" t="s">
        <v>22</v>
      </c>
      <c r="P161" s="2">
        <v>251</v>
      </c>
    </row>
    <row r="162" spans="1:16" x14ac:dyDescent="0.25">
      <c r="A162" s="13" t="s">
        <v>18</v>
      </c>
      <c r="B162" s="14">
        <v>45884</v>
      </c>
      <c r="C162" s="13">
        <f t="shared" si="5"/>
        <v>265</v>
      </c>
      <c r="D162" s="13">
        <v>0</v>
      </c>
      <c r="E162" s="15"/>
      <c r="F162" s="13"/>
      <c r="G162" s="15" t="s">
        <v>96</v>
      </c>
      <c r="H162" s="13" t="s">
        <v>214</v>
      </c>
      <c r="I162" s="13">
        <v>5113</v>
      </c>
      <c r="J162" s="13">
        <v>131</v>
      </c>
      <c r="K162" s="13" t="s">
        <v>21</v>
      </c>
      <c r="L162" s="13">
        <v>1</v>
      </c>
      <c r="M162" s="16">
        <v>161290</v>
      </c>
      <c r="N162" s="16">
        <f t="shared" si="4"/>
        <v>161290</v>
      </c>
      <c r="O162" s="13" t="s">
        <v>22</v>
      </c>
      <c r="P162" s="2">
        <v>252</v>
      </c>
    </row>
    <row r="163" spans="1:16" x14ac:dyDescent="0.25">
      <c r="A163" s="13" t="s">
        <v>33</v>
      </c>
      <c r="B163" s="14">
        <v>45884</v>
      </c>
      <c r="C163" s="13">
        <f t="shared" si="5"/>
        <v>266</v>
      </c>
      <c r="D163" s="13">
        <v>1</v>
      </c>
      <c r="E163" s="15"/>
      <c r="F163" s="13"/>
      <c r="G163" s="15" t="s">
        <v>96</v>
      </c>
      <c r="H163" s="13" t="s">
        <v>215</v>
      </c>
      <c r="I163" s="13">
        <v>112111</v>
      </c>
      <c r="J163" s="13">
        <v>131</v>
      </c>
      <c r="K163" s="13" t="s">
        <v>21</v>
      </c>
      <c r="L163" s="13">
        <v>1</v>
      </c>
      <c r="M163" s="16">
        <v>15967742</v>
      </c>
      <c r="N163" s="16">
        <f t="shared" si="4"/>
        <v>15967742</v>
      </c>
      <c r="O163" s="13" t="s">
        <v>22</v>
      </c>
      <c r="P163" s="2">
        <v>280</v>
      </c>
    </row>
    <row r="164" spans="1:16" x14ac:dyDescent="0.25">
      <c r="A164" s="13" t="s">
        <v>18</v>
      </c>
      <c r="B164" s="14">
        <v>45885</v>
      </c>
      <c r="C164" s="13">
        <f t="shared" si="5"/>
        <v>267</v>
      </c>
      <c r="D164" s="13">
        <v>1</v>
      </c>
      <c r="E164" s="15"/>
      <c r="F164" s="13"/>
      <c r="G164" s="15" t="s">
        <v>19</v>
      </c>
      <c r="H164" s="13" t="s">
        <v>216</v>
      </c>
      <c r="I164" s="13">
        <v>64277</v>
      </c>
      <c r="J164" s="13">
        <v>331</v>
      </c>
      <c r="K164" s="13" t="s">
        <v>21</v>
      </c>
      <c r="L164" s="13">
        <v>1</v>
      </c>
      <c r="M164" s="16">
        <v>211000</v>
      </c>
      <c r="N164" s="16">
        <f t="shared" si="4"/>
        <v>211000</v>
      </c>
      <c r="O164" s="13" t="s">
        <v>22</v>
      </c>
      <c r="P164" s="2">
        <v>130</v>
      </c>
    </row>
    <row r="165" spans="1:16" x14ac:dyDescent="0.25">
      <c r="A165" s="13" t="s">
        <v>18</v>
      </c>
      <c r="B165" s="14">
        <v>45885</v>
      </c>
      <c r="C165" s="13">
        <f t="shared" si="5"/>
        <v>268</v>
      </c>
      <c r="D165" s="13">
        <v>1</v>
      </c>
      <c r="E165" s="15"/>
      <c r="F165" s="13"/>
      <c r="G165" s="15" t="s">
        <v>143</v>
      </c>
      <c r="H165" s="13" t="s">
        <v>217</v>
      </c>
      <c r="I165" s="13">
        <v>64277</v>
      </c>
      <c r="J165" s="13">
        <v>331</v>
      </c>
      <c r="K165" s="13" t="s">
        <v>21</v>
      </c>
      <c r="L165" s="13">
        <v>1</v>
      </c>
      <c r="M165" s="16">
        <v>3735900</v>
      </c>
      <c r="N165" s="16">
        <f t="shared" si="4"/>
        <v>3735900</v>
      </c>
      <c r="O165" s="13" t="s">
        <v>22</v>
      </c>
      <c r="P165" s="2">
        <v>131</v>
      </c>
    </row>
    <row r="166" spans="1:16" x14ac:dyDescent="0.25">
      <c r="A166" s="13" t="s">
        <v>18</v>
      </c>
      <c r="B166" s="14">
        <v>45885</v>
      </c>
      <c r="C166" s="13">
        <f t="shared" si="5"/>
        <v>269</v>
      </c>
      <c r="D166" s="13">
        <v>1</v>
      </c>
      <c r="E166" s="15"/>
      <c r="F166" s="13"/>
      <c r="G166" s="15" t="s">
        <v>25</v>
      </c>
      <c r="H166" s="13" t="s">
        <v>218</v>
      </c>
      <c r="I166" s="13">
        <v>64277</v>
      </c>
      <c r="J166" s="13">
        <v>331</v>
      </c>
      <c r="K166" s="13" t="s">
        <v>21</v>
      </c>
      <c r="L166" s="13">
        <v>1</v>
      </c>
      <c r="M166" s="16">
        <v>149000</v>
      </c>
      <c r="N166" s="16">
        <f t="shared" si="4"/>
        <v>149000</v>
      </c>
      <c r="O166" s="13" t="s">
        <v>22</v>
      </c>
      <c r="P166" s="2">
        <v>132</v>
      </c>
    </row>
    <row r="167" spans="1:16" x14ac:dyDescent="0.25">
      <c r="A167" s="13" t="s">
        <v>18</v>
      </c>
      <c r="B167" s="14">
        <v>45886</v>
      </c>
      <c r="C167" s="13">
        <f t="shared" si="5"/>
        <v>270</v>
      </c>
      <c r="D167" s="13">
        <v>1</v>
      </c>
      <c r="E167" s="15"/>
      <c r="F167" s="13"/>
      <c r="G167" s="15" t="s">
        <v>25</v>
      </c>
      <c r="H167" s="13" t="s">
        <v>219</v>
      </c>
      <c r="I167" s="13">
        <v>64277</v>
      </c>
      <c r="J167" s="13">
        <v>331</v>
      </c>
      <c r="K167" s="13" t="s">
        <v>21</v>
      </c>
      <c r="L167" s="13">
        <v>1</v>
      </c>
      <c r="M167" s="16">
        <v>169000</v>
      </c>
      <c r="N167" s="16">
        <f t="shared" si="4"/>
        <v>169000</v>
      </c>
      <c r="O167" s="13" t="s">
        <v>22</v>
      </c>
      <c r="P167" s="2">
        <v>133</v>
      </c>
    </row>
    <row r="168" spans="1:16" x14ac:dyDescent="0.25">
      <c r="A168" s="13" t="s">
        <v>18</v>
      </c>
      <c r="B168" s="14">
        <v>45887</v>
      </c>
      <c r="C168" s="13">
        <f t="shared" si="5"/>
        <v>271</v>
      </c>
      <c r="D168" s="13">
        <v>1</v>
      </c>
      <c r="E168" s="15"/>
      <c r="F168" s="13"/>
      <c r="G168" s="15" t="s">
        <v>19</v>
      </c>
      <c r="H168" s="13" t="s">
        <v>220</v>
      </c>
      <c r="I168" s="13">
        <v>64277</v>
      </c>
      <c r="J168" s="13">
        <v>331</v>
      </c>
      <c r="K168" s="13" t="s">
        <v>21</v>
      </c>
      <c r="L168" s="13">
        <v>1</v>
      </c>
      <c r="M168" s="16">
        <v>92000</v>
      </c>
      <c r="N168" s="16">
        <f t="shared" si="4"/>
        <v>92000</v>
      </c>
      <c r="O168" s="13" t="s">
        <v>22</v>
      </c>
      <c r="P168" s="2">
        <v>134</v>
      </c>
    </row>
    <row r="169" spans="1:16" x14ac:dyDescent="0.25">
      <c r="A169" s="13" t="s">
        <v>18</v>
      </c>
      <c r="B169" s="14">
        <v>45887</v>
      </c>
      <c r="C169" s="13">
        <f t="shared" si="5"/>
        <v>272</v>
      </c>
      <c r="D169" s="13">
        <v>1</v>
      </c>
      <c r="E169" s="15"/>
      <c r="F169" s="13"/>
      <c r="G169" s="15" t="s">
        <v>25</v>
      </c>
      <c r="H169" s="13" t="s">
        <v>221</v>
      </c>
      <c r="I169" s="13">
        <v>64277</v>
      </c>
      <c r="J169" s="13">
        <v>331</v>
      </c>
      <c r="K169" s="13" t="s">
        <v>21</v>
      </c>
      <c r="L169" s="13">
        <v>1</v>
      </c>
      <c r="M169" s="16">
        <v>110000</v>
      </c>
      <c r="N169" s="16">
        <f t="shared" si="4"/>
        <v>110000</v>
      </c>
      <c r="O169" s="13" t="s">
        <v>22</v>
      </c>
      <c r="P169" s="2">
        <v>135</v>
      </c>
    </row>
    <row r="170" spans="1:16" x14ac:dyDescent="0.25">
      <c r="A170" s="13" t="s">
        <v>18</v>
      </c>
      <c r="B170" s="14">
        <v>45887</v>
      </c>
      <c r="C170" s="13">
        <f t="shared" si="5"/>
        <v>273</v>
      </c>
      <c r="D170" s="13">
        <v>1</v>
      </c>
      <c r="E170" s="15"/>
      <c r="F170" s="13"/>
      <c r="G170" s="15" t="s">
        <v>25</v>
      </c>
      <c r="H170" s="13" t="s">
        <v>222</v>
      </c>
      <c r="I170" s="13">
        <v>64277</v>
      </c>
      <c r="J170" s="13">
        <v>331</v>
      </c>
      <c r="K170" s="13" t="s">
        <v>21</v>
      </c>
      <c r="L170" s="13">
        <v>1</v>
      </c>
      <c r="M170" s="16">
        <v>149000</v>
      </c>
      <c r="N170" s="16">
        <f t="shared" si="4"/>
        <v>149000</v>
      </c>
      <c r="O170" s="13" t="s">
        <v>22</v>
      </c>
      <c r="P170" s="2">
        <v>136</v>
      </c>
    </row>
    <row r="171" spans="1:16" x14ac:dyDescent="0.25">
      <c r="A171" s="13" t="s">
        <v>18</v>
      </c>
      <c r="B171" s="14">
        <v>45887</v>
      </c>
      <c r="C171" s="13">
        <f t="shared" si="5"/>
        <v>274</v>
      </c>
      <c r="D171" s="13">
        <v>1</v>
      </c>
      <c r="E171" s="15"/>
      <c r="F171" s="13"/>
      <c r="G171" s="15" t="s">
        <v>25</v>
      </c>
      <c r="H171" s="13" t="s">
        <v>223</v>
      </c>
      <c r="I171" s="13">
        <v>64277</v>
      </c>
      <c r="J171" s="13">
        <v>331</v>
      </c>
      <c r="K171" s="13" t="s">
        <v>21</v>
      </c>
      <c r="L171" s="13">
        <v>1</v>
      </c>
      <c r="M171" s="16">
        <v>65000</v>
      </c>
      <c r="N171" s="16">
        <f t="shared" si="4"/>
        <v>65000</v>
      </c>
      <c r="O171" s="13" t="s">
        <v>22</v>
      </c>
      <c r="P171" s="2">
        <v>137</v>
      </c>
    </row>
    <row r="172" spans="1:16" x14ac:dyDescent="0.25">
      <c r="A172" s="13" t="s">
        <v>33</v>
      </c>
      <c r="B172" s="14">
        <v>45887</v>
      </c>
      <c r="C172" s="13">
        <f t="shared" si="5"/>
        <v>275</v>
      </c>
      <c r="D172" s="13">
        <v>1</v>
      </c>
      <c r="E172" s="15"/>
      <c r="F172" s="13"/>
      <c r="G172" s="15" t="s">
        <v>87</v>
      </c>
      <c r="H172" s="13" t="s">
        <v>224</v>
      </c>
      <c r="I172" s="13">
        <v>112111</v>
      </c>
      <c r="J172" s="13">
        <v>131</v>
      </c>
      <c r="K172" s="13" t="s">
        <v>21</v>
      </c>
      <c r="L172" s="13">
        <v>1</v>
      </c>
      <c r="M172" s="16">
        <v>31182796</v>
      </c>
      <c r="N172" s="16">
        <f t="shared" si="4"/>
        <v>31182796</v>
      </c>
      <c r="O172" s="13" t="s">
        <v>22</v>
      </c>
      <c r="P172" s="2">
        <v>281</v>
      </c>
    </row>
    <row r="173" spans="1:16" x14ac:dyDescent="0.25">
      <c r="A173" s="13" t="s">
        <v>18</v>
      </c>
      <c r="B173" s="14">
        <v>45888</v>
      </c>
      <c r="C173" s="13">
        <f t="shared" si="5"/>
        <v>276</v>
      </c>
      <c r="D173" s="13">
        <v>1</v>
      </c>
      <c r="E173" s="15"/>
      <c r="F173" s="13"/>
      <c r="G173" s="15" t="s">
        <v>19</v>
      </c>
      <c r="H173" s="13" t="s">
        <v>225</v>
      </c>
      <c r="I173" s="13">
        <v>64277</v>
      </c>
      <c r="J173" s="13">
        <v>331</v>
      </c>
      <c r="K173" s="13" t="s">
        <v>21</v>
      </c>
      <c r="L173" s="13">
        <v>1</v>
      </c>
      <c r="M173" s="16">
        <v>36000</v>
      </c>
      <c r="N173" s="16">
        <f t="shared" si="4"/>
        <v>36000</v>
      </c>
      <c r="O173" s="13" t="s">
        <v>22</v>
      </c>
      <c r="P173" s="2">
        <v>138</v>
      </c>
    </row>
    <row r="174" spans="1:16" x14ac:dyDescent="0.25">
      <c r="A174" s="13" t="s">
        <v>18</v>
      </c>
      <c r="B174" s="14">
        <v>45888</v>
      </c>
      <c r="C174" s="13">
        <f t="shared" si="5"/>
        <v>277</v>
      </c>
      <c r="D174" s="13">
        <v>1</v>
      </c>
      <c r="E174" s="15"/>
      <c r="F174" s="13"/>
      <c r="G174" s="15" t="s">
        <v>25</v>
      </c>
      <c r="H174" s="13" t="s">
        <v>226</v>
      </c>
      <c r="I174" s="13">
        <v>64277</v>
      </c>
      <c r="J174" s="13">
        <v>331</v>
      </c>
      <c r="K174" s="13" t="s">
        <v>21</v>
      </c>
      <c r="L174" s="13">
        <v>1</v>
      </c>
      <c r="M174" s="16">
        <v>110000</v>
      </c>
      <c r="N174" s="16">
        <f t="shared" si="4"/>
        <v>110000</v>
      </c>
      <c r="O174" s="13" t="s">
        <v>22</v>
      </c>
      <c r="P174" s="2">
        <v>139</v>
      </c>
    </row>
    <row r="175" spans="1:16" x14ac:dyDescent="0.25">
      <c r="A175" s="13" t="s">
        <v>18</v>
      </c>
      <c r="B175" s="14">
        <v>45888</v>
      </c>
      <c r="C175" s="13">
        <f t="shared" si="5"/>
        <v>278</v>
      </c>
      <c r="D175" s="13">
        <v>1</v>
      </c>
      <c r="E175" s="15"/>
      <c r="F175" s="13"/>
      <c r="G175" s="15" t="s">
        <v>25</v>
      </c>
      <c r="H175" s="13" t="s">
        <v>227</v>
      </c>
      <c r="I175" s="13">
        <v>64277</v>
      </c>
      <c r="J175" s="13">
        <v>331</v>
      </c>
      <c r="K175" s="13" t="s">
        <v>21</v>
      </c>
      <c r="L175" s="13">
        <v>1</v>
      </c>
      <c r="M175" s="16">
        <v>143100</v>
      </c>
      <c r="N175" s="16">
        <f t="shared" si="4"/>
        <v>143100</v>
      </c>
      <c r="O175" s="13" t="s">
        <v>22</v>
      </c>
      <c r="P175" s="2">
        <v>140</v>
      </c>
    </row>
    <row r="176" spans="1:16" x14ac:dyDescent="0.25">
      <c r="A176" s="13" t="s">
        <v>18</v>
      </c>
      <c r="B176" s="14">
        <v>45888</v>
      </c>
      <c r="C176" s="13">
        <f t="shared" si="5"/>
        <v>279</v>
      </c>
      <c r="D176" s="13">
        <v>1</v>
      </c>
      <c r="E176" s="15"/>
      <c r="F176" s="13"/>
      <c r="G176" s="15" t="s">
        <v>25</v>
      </c>
      <c r="H176" s="13" t="s">
        <v>228</v>
      </c>
      <c r="I176" s="13">
        <v>64277</v>
      </c>
      <c r="J176" s="13">
        <v>331</v>
      </c>
      <c r="K176" s="13" t="s">
        <v>21</v>
      </c>
      <c r="L176" s="13">
        <v>1</v>
      </c>
      <c r="M176" s="16">
        <v>144000</v>
      </c>
      <c r="N176" s="16">
        <f t="shared" si="4"/>
        <v>144000</v>
      </c>
      <c r="O176" s="13" t="s">
        <v>22</v>
      </c>
      <c r="P176" s="2">
        <v>141</v>
      </c>
    </row>
    <row r="177" spans="1:16" x14ac:dyDescent="0.25">
      <c r="A177" s="13" t="s">
        <v>18</v>
      </c>
      <c r="B177" s="14">
        <v>45888</v>
      </c>
      <c r="C177" s="13">
        <f t="shared" si="5"/>
        <v>280</v>
      </c>
      <c r="D177" s="13">
        <v>1</v>
      </c>
      <c r="E177" s="15"/>
      <c r="F177" s="13"/>
      <c r="G177" s="15" t="s">
        <v>154</v>
      </c>
      <c r="H177" s="13" t="s">
        <v>229</v>
      </c>
      <c r="I177" s="13">
        <v>64277</v>
      </c>
      <c r="J177" s="13">
        <v>331</v>
      </c>
      <c r="K177" s="13" t="s">
        <v>21</v>
      </c>
      <c r="L177" s="13">
        <v>1</v>
      </c>
      <c r="M177" s="16">
        <v>1405000</v>
      </c>
      <c r="N177" s="16">
        <f t="shared" si="4"/>
        <v>1405000</v>
      </c>
      <c r="O177" s="13" t="s">
        <v>22</v>
      </c>
      <c r="P177" s="2">
        <v>142</v>
      </c>
    </row>
    <row r="178" spans="1:16" x14ac:dyDescent="0.25">
      <c r="A178" s="13" t="s">
        <v>18</v>
      </c>
      <c r="B178" s="14">
        <v>45889</v>
      </c>
      <c r="C178" s="13">
        <f t="shared" si="5"/>
        <v>281</v>
      </c>
      <c r="D178" s="13">
        <v>1</v>
      </c>
      <c r="E178" s="15"/>
      <c r="F178" s="13"/>
      <c r="G178" s="15" t="s">
        <v>19</v>
      </c>
      <c r="H178" s="13" t="s">
        <v>230</v>
      </c>
      <c r="I178" s="13">
        <v>64277</v>
      </c>
      <c r="J178" s="13">
        <v>331</v>
      </c>
      <c r="K178" s="13" t="s">
        <v>21</v>
      </c>
      <c r="L178" s="13">
        <v>1</v>
      </c>
      <c r="M178" s="16">
        <v>52000</v>
      </c>
      <c r="N178" s="16">
        <f t="shared" si="4"/>
        <v>52000</v>
      </c>
      <c r="O178" s="13" t="s">
        <v>22</v>
      </c>
      <c r="P178" s="2">
        <v>143</v>
      </c>
    </row>
    <row r="179" spans="1:16" x14ac:dyDescent="0.25">
      <c r="A179" s="13" t="s">
        <v>18</v>
      </c>
      <c r="B179" s="14">
        <v>45889</v>
      </c>
      <c r="C179" s="13">
        <f t="shared" si="5"/>
        <v>282</v>
      </c>
      <c r="D179" s="13">
        <v>1</v>
      </c>
      <c r="E179" s="15"/>
      <c r="F179" s="13"/>
      <c r="G179" s="15" t="s">
        <v>19</v>
      </c>
      <c r="H179" s="13" t="s">
        <v>231</v>
      </c>
      <c r="I179" s="13">
        <v>64277</v>
      </c>
      <c r="J179" s="13">
        <v>331</v>
      </c>
      <c r="K179" s="13" t="s">
        <v>21</v>
      </c>
      <c r="L179" s="13">
        <v>1</v>
      </c>
      <c r="M179" s="16">
        <v>39000</v>
      </c>
      <c r="N179" s="16">
        <f t="shared" si="4"/>
        <v>39000</v>
      </c>
      <c r="O179" s="13" t="s">
        <v>22</v>
      </c>
      <c r="P179" s="2">
        <v>144</v>
      </c>
    </row>
    <row r="180" spans="1:16" x14ac:dyDescent="0.25">
      <c r="A180" s="13" t="s">
        <v>18</v>
      </c>
      <c r="B180" s="14">
        <v>45889</v>
      </c>
      <c r="C180" s="13">
        <f t="shared" si="5"/>
        <v>283</v>
      </c>
      <c r="D180" s="13">
        <v>1</v>
      </c>
      <c r="E180" s="15"/>
      <c r="F180" s="13"/>
      <c r="G180" s="15" t="s">
        <v>25</v>
      </c>
      <c r="H180" s="13" t="s">
        <v>232</v>
      </c>
      <c r="I180" s="13">
        <v>64277</v>
      </c>
      <c r="J180" s="13">
        <v>331</v>
      </c>
      <c r="K180" s="13" t="s">
        <v>21</v>
      </c>
      <c r="L180" s="13">
        <v>1</v>
      </c>
      <c r="M180" s="16">
        <v>110000</v>
      </c>
      <c r="N180" s="16">
        <f t="shared" si="4"/>
        <v>110000</v>
      </c>
      <c r="O180" s="13" t="s">
        <v>22</v>
      </c>
      <c r="P180" s="2">
        <v>145</v>
      </c>
    </row>
    <row r="181" spans="1:16" x14ac:dyDescent="0.25">
      <c r="A181" s="13" t="s">
        <v>18</v>
      </c>
      <c r="B181" s="14">
        <v>45889</v>
      </c>
      <c r="C181" s="13">
        <f t="shared" si="5"/>
        <v>284</v>
      </c>
      <c r="D181" s="13">
        <v>1</v>
      </c>
      <c r="E181" s="15"/>
      <c r="F181" s="13"/>
      <c r="G181" s="15" t="s">
        <v>25</v>
      </c>
      <c r="H181" s="13" t="s">
        <v>233</v>
      </c>
      <c r="I181" s="13">
        <v>64277</v>
      </c>
      <c r="J181" s="13">
        <v>331</v>
      </c>
      <c r="K181" s="13" t="s">
        <v>21</v>
      </c>
      <c r="L181" s="13">
        <v>1</v>
      </c>
      <c r="M181" s="16">
        <v>149000</v>
      </c>
      <c r="N181" s="16">
        <f t="shared" si="4"/>
        <v>149000</v>
      </c>
      <c r="O181" s="13" t="s">
        <v>22</v>
      </c>
      <c r="P181" s="2">
        <v>146</v>
      </c>
    </row>
    <row r="182" spans="1:16" x14ac:dyDescent="0.25">
      <c r="A182" s="13" t="s">
        <v>33</v>
      </c>
      <c r="B182" s="14">
        <v>45889</v>
      </c>
      <c r="C182" s="13">
        <f t="shared" si="5"/>
        <v>285</v>
      </c>
      <c r="D182" s="13">
        <v>1</v>
      </c>
      <c r="E182" s="15"/>
      <c r="F182" s="13"/>
      <c r="G182" s="15" t="s">
        <v>178</v>
      </c>
      <c r="H182" s="13" t="s">
        <v>234</v>
      </c>
      <c r="I182" s="13">
        <v>112111</v>
      </c>
      <c r="J182" s="13">
        <v>131</v>
      </c>
      <c r="K182" s="13" t="s">
        <v>21</v>
      </c>
      <c r="L182" s="13">
        <v>1</v>
      </c>
      <c r="M182" s="16">
        <v>31935483</v>
      </c>
      <c r="N182" s="16">
        <f t="shared" si="4"/>
        <v>31935483</v>
      </c>
      <c r="O182" s="13" t="s">
        <v>22</v>
      </c>
      <c r="P182" s="2">
        <v>282</v>
      </c>
    </row>
    <row r="183" spans="1:16" x14ac:dyDescent="0.25">
      <c r="A183" s="13" t="s">
        <v>18</v>
      </c>
      <c r="B183" s="14">
        <v>45890</v>
      </c>
      <c r="C183" s="13">
        <f t="shared" si="5"/>
        <v>286</v>
      </c>
      <c r="D183" s="13">
        <v>1</v>
      </c>
      <c r="E183" s="15"/>
      <c r="F183" s="13"/>
      <c r="G183" s="15" t="s">
        <v>25</v>
      </c>
      <c r="H183" s="13" t="s">
        <v>235</v>
      </c>
      <c r="I183" s="13">
        <v>64277</v>
      </c>
      <c r="J183" s="13">
        <v>331</v>
      </c>
      <c r="K183" s="13" t="s">
        <v>21</v>
      </c>
      <c r="L183" s="13">
        <v>1</v>
      </c>
      <c r="M183" s="16">
        <v>77000</v>
      </c>
      <c r="N183" s="16">
        <f t="shared" si="4"/>
        <v>77000</v>
      </c>
      <c r="O183" s="13" t="s">
        <v>22</v>
      </c>
      <c r="P183" s="2">
        <v>147</v>
      </c>
    </row>
    <row r="184" spans="1:16" x14ac:dyDescent="0.25">
      <c r="A184" s="13" t="s">
        <v>18</v>
      </c>
      <c r="B184" s="14">
        <v>45890</v>
      </c>
      <c r="C184" s="13">
        <f t="shared" si="5"/>
        <v>287</v>
      </c>
      <c r="D184" s="13">
        <v>1</v>
      </c>
      <c r="E184" s="15"/>
      <c r="F184" s="13"/>
      <c r="G184" s="15" t="s">
        <v>25</v>
      </c>
      <c r="H184" s="13" t="s">
        <v>236</v>
      </c>
      <c r="I184" s="13">
        <v>64277</v>
      </c>
      <c r="J184" s="13">
        <v>331</v>
      </c>
      <c r="K184" s="13" t="s">
        <v>21</v>
      </c>
      <c r="L184" s="13">
        <v>1</v>
      </c>
      <c r="M184" s="16">
        <v>114000</v>
      </c>
      <c r="N184" s="16">
        <f t="shared" si="4"/>
        <v>114000</v>
      </c>
      <c r="O184" s="13" t="s">
        <v>22</v>
      </c>
      <c r="P184" s="2">
        <v>148</v>
      </c>
    </row>
    <row r="185" spans="1:16" x14ac:dyDescent="0.25">
      <c r="A185" s="13" t="s">
        <v>18</v>
      </c>
      <c r="B185" s="14">
        <v>45890</v>
      </c>
      <c r="C185" s="13">
        <f t="shared" si="5"/>
        <v>288</v>
      </c>
      <c r="D185" s="13">
        <v>1</v>
      </c>
      <c r="E185" s="15"/>
      <c r="F185" s="13"/>
      <c r="G185" s="15" t="s">
        <v>237</v>
      </c>
      <c r="H185" s="13" t="s">
        <v>238</v>
      </c>
      <c r="I185" s="13">
        <v>64277</v>
      </c>
      <c r="J185" s="13">
        <v>331</v>
      </c>
      <c r="K185" s="13" t="s">
        <v>21</v>
      </c>
      <c r="L185" s="13">
        <v>1</v>
      </c>
      <c r="M185" s="16">
        <v>465000</v>
      </c>
      <c r="N185" s="16">
        <f t="shared" si="4"/>
        <v>465000</v>
      </c>
      <c r="O185" s="13" t="s">
        <v>22</v>
      </c>
      <c r="P185" s="2">
        <v>149</v>
      </c>
    </row>
    <row r="186" spans="1:16" x14ac:dyDescent="0.25">
      <c r="A186" s="13" t="s">
        <v>18</v>
      </c>
      <c r="B186" s="14">
        <v>45890</v>
      </c>
      <c r="C186" s="13">
        <f t="shared" si="5"/>
        <v>289</v>
      </c>
      <c r="D186" s="13">
        <v>1</v>
      </c>
      <c r="E186" s="15"/>
      <c r="F186" s="13"/>
      <c r="G186" s="15" t="s">
        <v>239</v>
      </c>
      <c r="H186" s="13" t="s">
        <v>240</v>
      </c>
      <c r="I186" s="13">
        <v>131</v>
      </c>
      <c r="J186" s="13">
        <v>5113</v>
      </c>
      <c r="K186" s="13" t="s">
        <v>21</v>
      </c>
      <c r="L186" s="13">
        <v>1</v>
      </c>
      <c r="M186" s="16">
        <v>24193548</v>
      </c>
      <c r="N186" s="16">
        <f t="shared" si="4"/>
        <v>24193548</v>
      </c>
      <c r="O186" s="13" t="s">
        <v>22</v>
      </c>
      <c r="P186" s="2">
        <v>253</v>
      </c>
    </row>
    <row r="187" spans="1:16" x14ac:dyDescent="0.25">
      <c r="A187" s="13" t="s">
        <v>18</v>
      </c>
      <c r="B187" s="14">
        <v>45890</v>
      </c>
      <c r="C187" s="13">
        <f t="shared" si="5"/>
        <v>289</v>
      </c>
      <c r="D187" s="13">
        <v>0</v>
      </c>
      <c r="E187" s="15"/>
      <c r="F187" s="13"/>
      <c r="G187" s="15" t="s">
        <v>239</v>
      </c>
      <c r="H187" s="13" t="s">
        <v>241</v>
      </c>
      <c r="I187" s="13">
        <v>5113</v>
      </c>
      <c r="J187" s="13">
        <v>131</v>
      </c>
      <c r="K187" s="13" t="s">
        <v>21</v>
      </c>
      <c r="L187" s="13">
        <v>1</v>
      </c>
      <c r="M187" s="16">
        <v>241935</v>
      </c>
      <c r="N187" s="16">
        <f t="shared" si="4"/>
        <v>241935</v>
      </c>
      <c r="O187" s="13" t="s">
        <v>22</v>
      </c>
      <c r="P187" s="2">
        <v>254</v>
      </c>
    </row>
    <row r="188" spans="1:16" x14ac:dyDescent="0.25">
      <c r="A188" s="13" t="s">
        <v>18</v>
      </c>
      <c r="B188" s="14">
        <v>45891</v>
      </c>
      <c r="C188" s="13">
        <f t="shared" si="5"/>
        <v>290</v>
      </c>
      <c r="D188" s="13">
        <v>1</v>
      </c>
      <c r="E188" s="15"/>
      <c r="F188" s="13"/>
      <c r="G188" s="15" t="s">
        <v>25</v>
      </c>
      <c r="H188" s="13" t="s">
        <v>242</v>
      </c>
      <c r="I188" s="13">
        <v>64277</v>
      </c>
      <c r="J188" s="13">
        <v>331</v>
      </c>
      <c r="K188" s="13" t="s">
        <v>21</v>
      </c>
      <c r="L188" s="13">
        <v>1</v>
      </c>
      <c r="M188" s="16">
        <v>55000</v>
      </c>
      <c r="N188" s="16">
        <f t="shared" si="4"/>
        <v>55000</v>
      </c>
      <c r="O188" s="13" t="s">
        <v>22</v>
      </c>
      <c r="P188" s="2">
        <v>150</v>
      </c>
    </row>
    <row r="189" spans="1:16" x14ac:dyDescent="0.25">
      <c r="A189" s="13" t="s">
        <v>18</v>
      </c>
      <c r="B189" s="14">
        <v>45891</v>
      </c>
      <c r="C189" s="13">
        <f t="shared" si="5"/>
        <v>291</v>
      </c>
      <c r="D189" s="13">
        <v>1</v>
      </c>
      <c r="E189" s="15"/>
      <c r="F189" s="13"/>
      <c r="G189" s="15" t="s">
        <v>25</v>
      </c>
      <c r="H189" s="13" t="s">
        <v>243</v>
      </c>
      <c r="I189" s="13">
        <v>64277</v>
      </c>
      <c r="J189" s="13">
        <v>331</v>
      </c>
      <c r="K189" s="13" t="s">
        <v>21</v>
      </c>
      <c r="L189" s="13">
        <v>1</v>
      </c>
      <c r="M189" s="16">
        <v>154000</v>
      </c>
      <c r="N189" s="16">
        <f t="shared" si="4"/>
        <v>154000</v>
      </c>
      <c r="O189" s="13" t="s">
        <v>22</v>
      </c>
      <c r="P189" s="2">
        <v>151</v>
      </c>
    </row>
    <row r="190" spans="1:16" x14ac:dyDescent="0.25">
      <c r="A190" s="13" t="s">
        <v>18</v>
      </c>
      <c r="B190" s="14">
        <v>45892</v>
      </c>
      <c r="C190" s="13">
        <f t="shared" si="5"/>
        <v>292</v>
      </c>
      <c r="D190" s="13">
        <v>1</v>
      </c>
      <c r="E190" s="15"/>
      <c r="F190" s="13"/>
      <c r="G190" s="15" t="s">
        <v>19</v>
      </c>
      <c r="H190" s="13" t="s">
        <v>244</v>
      </c>
      <c r="I190" s="13">
        <v>64277</v>
      </c>
      <c r="J190" s="13">
        <v>331</v>
      </c>
      <c r="K190" s="13" t="s">
        <v>21</v>
      </c>
      <c r="L190" s="13">
        <v>1</v>
      </c>
      <c r="M190" s="16">
        <v>46000</v>
      </c>
      <c r="N190" s="16">
        <f t="shared" si="4"/>
        <v>46000</v>
      </c>
      <c r="O190" s="13" t="s">
        <v>22</v>
      </c>
      <c r="P190" s="2">
        <v>152</v>
      </c>
    </row>
    <row r="191" spans="1:16" x14ac:dyDescent="0.25">
      <c r="A191" s="13" t="s">
        <v>18</v>
      </c>
      <c r="B191" s="14">
        <v>45892</v>
      </c>
      <c r="C191" s="13">
        <f t="shared" si="5"/>
        <v>293</v>
      </c>
      <c r="D191" s="13">
        <v>1</v>
      </c>
      <c r="E191" s="15"/>
      <c r="F191" s="13"/>
      <c r="G191" s="15" t="s">
        <v>25</v>
      </c>
      <c r="H191" s="13" t="s">
        <v>245</v>
      </c>
      <c r="I191" s="13">
        <v>64277</v>
      </c>
      <c r="J191" s="13">
        <v>331</v>
      </c>
      <c r="K191" s="13" t="s">
        <v>21</v>
      </c>
      <c r="L191" s="13">
        <v>1</v>
      </c>
      <c r="M191" s="16">
        <v>280000</v>
      </c>
      <c r="N191" s="16">
        <f t="shared" si="4"/>
        <v>280000</v>
      </c>
      <c r="O191" s="13" t="s">
        <v>22</v>
      </c>
      <c r="P191" s="2">
        <v>153</v>
      </c>
    </row>
    <row r="192" spans="1:16" x14ac:dyDescent="0.25">
      <c r="A192" s="13" t="s">
        <v>18</v>
      </c>
      <c r="B192" s="14">
        <v>45892</v>
      </c>
      <c r="C192" s="13">
        <f t="shared" si="5"/>
        <v>294</v>
      </c>
      <c r="D192" s="13">
        <v>1</v>
      </c>
      <c r="E192" s="15"/>
      <c r="F192" s="13"/>
      <c r="G192" s="15" t="s">
        <v>25</v>
      </c>
      <c r="H192" s="13" t="s">
        <v>246</v>
      </c>
      <c r="I192" s="13">
        <v>64277</v>
      </c>
      <c r="J192" s="13">
        <v>331</v>
      </c>
      <c r="K192" s="13" t="s">
        <v>21</v>
      </c>
      <c r="L192" s="13">
        <v>1</v>
      </c>
      <c r="M192" s="16">
        <v>67000</v>
      </c>
      <c r="N192" s="16">
        <f t="shared" si="4"/>
        <v>67000</v>
      </c>
      <c r="O192" s="13" t="s">
        <v>22</v>
      </c>
      <c r="P192" s="2">
        <v>154</v>
      </c>
    </row>
    <row r="193" spans="1:16" x14ac:dyDescent="0.25">
      <c r="A193" s="13" t="s">
        <v>18</v>
      </c>
      <c r="B193" s="14">
        <v>45893</v>
      </c>
      <c r="C193" s="13">
        <f t="shared" si="5"/>
        <v>295</v>
      </c>
      <c r="D193" s="13">
        <v>1</v>
      </c>
      <c r="E193" s="15"/>
      <c r="F193" s="13"/>
      <c r="G193" s="15" t="s">
        <v>25</v>
      </c>
      <c r="H193" s="13" t="s">
        <v>247</v>
      </c>
      <c r="I193" s="13">
        <v>64277</v>
      </c>
      <c r="J193" s="13">
        <v>331</v>
      </c>
      <c r="K193" s="13" t="s">
        <v>21</v>
      </c>
      <c r="L193" s="13">
        <v>1</v>
      </c>
      <c r="M193" s="16">
        <v>57000</v>
      </c>
      <c r="N193" s="16">
        <f t="shared" si="4"/>
        <v>57000</v>
      </c>
      <c r="O193" s="13" t="s">
        <v>22</v>
      </c>
      <c r="P193" s="2">
        <v>155</v>
      </c>
    </row>
    <row r="194" spans="1:16" x14ac:dyDescent="0.25">
      <c r="A194" s="13" t="s">
        <v>18</v>
      </c>
      <c r="B194" s="14">
        <v>45894</v>
      </c>
      <c r="C194" s="13">
        <f t="shared" si="5"/>
        <v>296</v>
      </c>
      <c r="D194" s="13">
        <v>1</v>
      </c>
      <c r="E194" s="15"/>
      <c r="F194" s="13"/>
      <c r="G194" s="15" t="s">
        <v>25</v>
      </c>
      <c r="H194" s="13" t="s">
        <v>248</v>
      </c>
      <c r="I194" s="13">
        <v>64277</v>
      </c>
      <c r="J194" s="13">
        <v>331</v>
      </c>
      <c r="K194" s="13" t="s">
        <v>21</v>
      </c>
      <c r="L194" s="13">
        <v>1</v>
      </c>
      <c r="M194" s="16">
        <v>110000</v>
      </c>
      <c r="N194" s="16">
        <f t="shared" si="4"/>
        <v>110000</v>
      </c>
      <c r="O194" s="13" t="s">
        <v>22</v>
      </c>
      <c r="P194" s="2">
        <v>156</v>
      </c>
    </row>
    <row r="195" spans="1:16" x14ac:dyDescent="0.25">
      <c r="A195" s="13" t="s">
        <v>18</v>
      </c>
      <c r="B195" s="14">
        <v>45894</v>
      </c>
      <c r="C195" s="13">
        <f t="shared" si="5"/>
        <v>297</v>
      </c>
      <c r="D195" s="13">
        <v>1</v>
      </c>
      <c r="E195" s="15"/>
      <c r="F195" s="13"/>
      <c r="G195" s="15" t="s">
        <v>55</v>
      </c>
      <c r="H195" s="13" t="s">
        <v>249</v>
      </c>
      <c r="I195" s="13">
        <v>131</v>
      </c>
      <c r="J195" s="13">
        <v>5113</v>
      </c>
      <c r="K195" s="13" t="s">
        <v>21</v>
      </c>
      <c r="L195" s="13">
        <v>1</v>
      </c>
      <c r="M195" s="16">
        <v>18817204</v>
      </c>
      <c r="N195" s="16">
        <f t="shared" si="4"/>
        <v>18817204</v>
      </c>
      <c r="O195" s="13" t="s">
        <v>22</v>
      </c>
      <c r="P195" s="2">
        <v>255</v>
      </c>
    </row>
    <row r="196" spans="1:16" x14ac:dyDescent="0.25">
      <c r="A196" s="13" t="s">
        <v>18</v>
      </c>
      <c r="B196" s="14">
        <v>45894</v>
      </c>
      <c r="C196" s="13">
        <f t="shared" si="5"/>
        <v>297</v>
      </c>
      <c r="D196" s="13">
        <v>0</v>
      </c>
      <c r="E196" s="15"/>
      <c r="F196" s="13"/>
      <c r="G196" s="15" t="s">
        <v>55</v>
      </c>
      <c r="H196" s="13" t="s">
        <v>250</v>
      </c>
      <c r="I196" s="13">
        <v>5113</v>
      </c>
      <c r="J196" s="13">
        <v>131</v>
      </c>
      <c r="K196" s="13" t="s">
        <v>21</v>
      </c>
      <c r="L196" s="13">
        <v>1</v>
      </c>
      <c r="M196" s="16">
        <v>188172</v>
      </c>
      <c r="N196" s="16">
        <f t="shared" ref="N196:N259" si="6">M196*L196</f>
        <v>188172</v>
      </c>
      <c r="O196" s="13" t="s">
        <v>22</v>
      </c>
      <c r="P196" s="2">
        <v>256</v>
      </c>
    </row>
    <row r="197" spans="1:16" x14ac:dyDescent="0.25">
      <c r="A197" s="13" t="s">
        <v>33</v>
      </c>
      <c r="B197" s="14">
        <v>45894</v>
      </c>
      <c r="C197" s="13">
        <f t="shared" si="5"/>
        <v>298</v>
      </c>
      <c r="D197" s="13">
        <v>1</v>
      </c>
      <c r="E197" s="15"/>
      <c r="F197" s="13"/>
      <c r="G197" s="15" t="s">
        <v>171</v>
      </c>
      <c r="H197" s="13" t="s">
        <v>251</v>
      </c>
      <c r="I197" s="13">
        <v>112111</v>
      </c>
      <c r="J197" s="13">
        <v>131</v>
      </c>
      <c r="K197" s="13" t="s">
        <v>21</v>
      </c>
      <c r="L197" s="13">
        <v>1</v>
      </c>
      <c r="M197" s="16">
        <v>13838715</v>
      </c>
      <c r="N197" s="16">
        <f t="shared" si="6"/>
        <v>13838715</v>
      </c>
      <c r="O197" s="13" t="s">
        <v>22</v>
      </c>
      <c r="P197" s="2">
        <v>283</v>
      </c>
    </row>
    <row r="198" spans="1:16" x14ac:dyDescent="0.25">
      <c r="A198" s="13" t="s">
        <v>18</v>
      </c>
      <c r="B198" s="14">
        <v>45895</v>
      </c>
      <c r="C198" s="13">
        <f t="shared" ref="C198:C262" si="7">C197+D198</f>
        <v>299</v>
      </c>
      <c r="D198" s="13">
        <v>1</v>
      </c>
      <c r="E198" s="15"/>
      <c r="F198" s="13"/>
      <c r="G198" s="15" t="s">
        <v>252</v>
      </c>
      <c r="H198" s="13" t="s">
        <v>253</v>
      </c>
      <c r="I198" s="13">
        <v>64277</v>
      </c>
      <c r="J198" s="13">
        <v>331</v>
      </c>
      <c r="K198" s="13" t="s">
        <v>21</v>
      </c>
      <c r="L198" s="13">
        <v>1</v>
      </c>
      <c r="M198" s="16">
        <v>161298</v>
      </c>
      <c r="N198" s="16">
        <f t="shared" si="6"/>
        <v>161298</v>
      </c>
      <c r="O198" s="13" t="s">
        <v>22</v>
      </c>
      <c r="P198" s="2">
        <v>6</v>
      </c>
    </row>
    <row r="199" spans="1:16" x14ac:dyDescent="0.25">
      <c r="A199" s="13" t="s">
        <v>18</v>
      </c>
      <c r="B199" s="14">
        <v>45895</v>
      </c>
      <c r="C199" s="13">
        <f t="shared" si="7"/>
        <v>300</v>
      </c>
      <c r="D199" s="13">
        <v>1</v>
      </c>
      <c r="E199" s="15"/>
      <c r="F199" s="13"/>
      <c r="G199" s="15" t="s">
        <v>252</v>
      </c>
      <c r="H199" s="13" t="s">
        <v>254</v>
      </c>
      <c r="I199" s="13">
        <v>64277</v>
      </c>
      <c r="J199" s="13">
        <v>331</v>
      </c>
      <c r="K199" s="13" t="s">
        <v>21</v>
      </c>
      <c r="L199" s="13">
        <v>1</v>
      </c>
      <c r="M199" s="16">
        <v>87368</v>
      </c>
      <c r="N199" s="16">
        <f t="shared" si="6"/>
        <v>87368</v>
      </c>
      <c r="O199" s="13" t="s">
        <v>22</v>
      </c>
      <c r="P199" s="2">
        <v>7</v>
      </c>
    </row>
    <row r="200" spans="1:16" x14ac:dyDescent="0.25">
      <c r="A200" s="13" t="s">
        <v>18</v>
      </c>
      <c r="B200" s="14">
        <v>45895</v>
      </c>
      <c r="C200" s="13">
        <f t="shared" si="7"/>
        <v>301</v>
      </c>
      <c r="D200" s="13">
        <v>1</v>
      </c>
      <c r="E200" s="15"/>
      <c r="F200" s="13"/>
      <c r="G200" s="15" t="s">
        <v>25</v>
      </c>
      <c r="H200" s="13" t="s">
        <v>255</v>
      </c>
      <c r="I200" s="13">
        <v>64277</v>
      </c>
      <c r="J200" s="13">
        <v>331</v>
      </c>
      <c r="K200" s="13" t="s">
        <v>21</v>
      </c>
      <c r="L200" s="13">
        <v>1</v>
      </c>
      <c r="M200" s="16">
        <v>130000</v>
      </c>
      <c r="N200" s="16">
        <f t="shared" si="6"/>
        <v>130000</v>
      </c>
      <c r="O200" s="13" t="s">
        <v>22</v>
      </c>
      <c r="P200" s="2">
        <v>157</v>
      </c>
    </row>
    <row r="201" spans="1:16" x14ac:dyDescent="0.25">
      <c r="A201" s="13" t="s">
        <v>18</v>
      </c>
      <c r="B201" s="14">
        <v>45895</v>
      </c>
      <c r="C201" s="13">
        <f t="shared" si="7"/>
        <v>302</v>
      </c>
      <c r="D201" s="13">
        <v>1</v>
      </c>
      <c r="E201" s="15"/>
      <c r="F201" s="13"/>
      <c r="G201" s="15" t="s">
        <v>78</v>
      </c>
      <c r="H201" s="13" t="s">
        <v>256</v>
      </c>
      <c r="I201" s="13">
        <v>131</v>
      </c>
      <c r="J201" s="13">
        <v>5113</v>
      </c>
      <c r="K201" s="13" t="s">
        <v>21</v>
      </c>
      <c r="L201" s="13">
        <v>1</v>
      </c>
      <c r="M201" s="16">
        <v>10752688</v>
      </c>
      <c r="N201" s="16">
        <f t="shared" si="6"/>
        <v>10752688</v>
      </c>
      <c r="O201" s="13" t="s">
        <v>22</v>
      </c>
      <c r="P201" s="2">
        <v>257</v>
      </c>
    </row>
    <row r="202" spans="1:16" x14ac:dyDescent="0.25">
      <c r="A202" s="13" t="s">
        <v>18</v>
      </c>
      <c r="B202" s="14">
        <v>45895</v>
      </c>
      <c r="C202" s="13">
        <f t="shared" si="7"/>
        <v>302</v>
      </c>
      <c r="D202" s="13">
        <v>0</v>
      </c>
      <c r="E202" s="15"/>
      <c r="F202" s="13"/>
      <c r="G202" s="15" t="s">
        <v>78</v>
      </c>
      <c r="H202" s="13" t="s">
        <v>257</v>
      </c>
      <c r="I202" s="13">
        <v>5113</v>
      </c>
      <c r="J202" s="13">
        <v>131</v>
      </c>
      <c r="K202" s="13" t="s">
        <v>21</v>
      </c>
      <c r="L202" s="13">
        <v>1</v>
      </c>
      <c r="M202" s="16">
        <v>107527</v>
      </c>
      <c r="N202" s="16">
        <f t="shared" si="6"/>
        <v>107527</v>
      </c>
      <c r="O202" s="13" t="s">
        <v>22</v>
      </c>
      <c r="P202" s="2">
        <v>258</v>
      </c>
    </row>
    <row r="203" spans="1:16" x14ac:dyDescent="0.25">
      <c r="A203" s="13" t="s">
        <v>33</v>
      </c>
      <c r="B203" s="14">
        <v>45895</v>
      </c>
      <c r="C203" s="13">
        <f t="shared" si="7"/>
        <v>303</v>
      </c>
      <c r="D203" s="13">
        <v>1</v>
      </c>
      <c r="E203" s="15"/>
      <c r="F203" s="13"/>
      <c r="G203" s="15" t="s">
        <v>239</v>
      </c>
      <c r="H203" s="13" t="s">
        <v>258</v>
      </c>
      <c r="I203" s="13">
        <v>112111</v>
      </c>
      <c r="J203" s="13">
        <v>131</v>
      </c>
      <c r="K203" s="13" t="s">
        <v>21</v>
      </c>
      <c r="L203" s="13">
        <v>1</v>
      </c>
      <c r="M203" s="16">
        <v>23951613</v>
      </c>
      <c r="N203" s="16">
        <f t="shared" si="6"/>
        <v>23951613</v>
      </c>
      <c r="O203" s="13" t="s">
        <v>22</v>
      </c>
      <c r="P203" s="2">
        <v>284</v>
      </c>
    </row>
    <row r="204" spans="1:16" x14ac:dyDescent="0.25">
      <c r="A204" s="13" t="s">
        <v>18</v>
      </c>
      <c r="B204" s="14">
        <v>45896</v>
      </c>
      <c r="C204" s="13">
        <f t="shared" si="7"/>
        <v>304</v>
      </c>
      <c r="D204" s="13">
        <v>1</v>
      </c>
      <c r="E204" s="15"/>
      <c r="F204" s="13"/>
      <c r="G204" s="15" t="s">
        <v>259</v>
      </c>
      <c r="H204" s="13" t="s">
        <v>260</v>
      </c>
      <c r="I204" s="13">
        <v>64277</v>
      </c>
      <c r="J204" s="13">
        <v>331</v>
      </c>
      <c r="K204" s="13" t="s">
        <v>21</v>
      </c>
      <c r="L204" s="13">
        <v>1</v>
      </c>
      <c r="M204" s="16">
        <v>1004600</v>
      </c>
      <c r="N204" s="16">
        <f t="shared" si="6"/>
        <v>1004600</v>
      </c>
      <c r="O204" s="13" t="s">
        <v>22</v>
      </c>
      <c r="P204" s="2">
        <v>1</v>
      </c>
    </row>
    <row r="205" spans="1:16" x14ac:dyDescent="0.25">
      <c r="A205" s="13" t="s">
        <v>18</v>
      </c>
      <c r="B205" s="14">
        <v>45896</v>
      </c>
      <c r="C205" s="13">
        <f t="shared" si="7"/>
        <v>305</v>
      </c>
      <c r="D205" s="13">
        <v>1</v>
      </c>
      <c r="E205" s="15"/>
      <c r="F205" s="13"/>
      <c r="G205" s="15" t="s">
        <v>259</v>
      </c>
      <c r="H205" s="13" t="s">
        <v>261</v>
      </c>
      <c r="I205" s="13">
        <v>64277</v>
      </c>
      <c r="J205" s="13">
        <v>331</v>
      </c>
      <c r="K205" s="13" t="s">
        <v>21</v>
      </c>
      <c r="L205" s="13">
        <v>1</v>
      </c>
      <c r="M205" s="16">
        <v>1067240</v>
      </c>
      <c r="N205" s="16">
        <f t="shared" si="6"/>
        <v>1067240</v>
      </c>
      <c r="O205" s="13" t="s">
        <v>22</v>
      </c>
      <c r="P205" s="2">
        <v>2</v>
      </c>
    </row>
    <row r="206" spans="1:16" x14ac:dyDescent="0.25">
      <c r="A206" s="13" t="s">
        <v>18</v>
      </c>
      <c r="B206" s="14">
        <v>45896</v>
      </c>
      <c r="C206" s="13">
        <f t="shared" si="7"/>
        <v>306</v>
      </c>
      <c r="D206" s="13">
        <v>1</v>
      </c>
      <c r="E206" s="15"/>
      <c r="F206" s="13"/>
      <c r="G206" s="15" t="s">
        <v>259</v>
      </c>
      <c r="H206" s="13" t="s">
        <v>262</v>
      </c>
      <c r="I206" s="13">
        <v>64277</v>
      </c>
      <c r="J206" s="13">
        <v>331</v>
      </c>
      <c r="K206" s="13" t="s">
        <v>21</v>
      </c>
      <c r="L206" s="13">
        <v>1</v>
      </c>
      <c r="M206" s="16">
        <v>788600</v>
      </c>
      <c r="N206" s="16">
        <f t="shared" si="6"/>
        <v>788600</v>
      </c>
      <c r="O206" s="13" t="s">
        <v>22</v>
      </c>
      <c r="P206" s="2">
        <v>3</v>
      </c>
    </row>
    <row r="207" spans="1:16" x14ac:dyDescent="0.25">
      <c r="A207" s="13" t="s">
        <v>18</v>
      </c>
      <c r="B207" s="14">
        <v>45896</v>
      </c>
      <c r="C207" s="13">
        <f t="shared" si="7"/>
        <v>307</v>
      </c>
      <c r="D207" s="13">
        <v>1</v>
      </c>
      <c r="E207" s="15"/>
      <c r="F207" s="13"/>
      <c r="G207" s="15" t="s">
        <v>259</v>
      </c>
      <c r="H207" s="13" t="s">
        <v>263</v>
      </c>
      <c r="I207" s="13">
        <v>64277</v>
      </c>
      <c r="J207" s="13">
        <v>331</v>
      </c>
      <c r="K207" s="13" t="s">
        <v>21</v>
      </c>
      <c r="L207" s="13">
        <v>1</v>
      </c>
      <c r="M207" s="16">
        <v>862040</v>
      </c>
      <c r="N207" s="16">
        <f t="shared" si="6"/>
        <v>862040</v>
      </c>
      <c r="O207" s="13" t="s">
        <v>22</v>
      </c>
      <c r="P207" s="2">
        <v>4</v>
      </c>
    </row>
    <row r="208" spans="1:16" x14ac:dyDescent="0.25">
      <c r="A208" s="13" t="s">
        <v>18</v>
      </c>
      <c r="B208" s="14">
        <v>45896</v>
      </c>
      <c r="C208" s="13">
        <f t="shared" si="7"/>
        <v>308</v>
      </c>
      <c r="D208" s="13">
        <v>1</v>
      </c>
      <c r="E208" s="15"/>
      <c r="F208" s="13"/>
      <c r="G208" s="15" t="s">
        <v>25</v>
      </c>
      <c r="H208" s="13" t="s">
        <v>264</v>
      </c>
      <c r="I208" s="13">
        <v>64277</v>
      </c>
      <c r="J208" s="13">
        <v>331</v>
      </c>
      <c r="K208" s="13" t="s">
        <v>21</v>
      </c>
      <c r="L208" s="13">
        <v>1</v>
      </c>
      <c r="M208" s="16">
        <v>140000</v>
      </c>
      <c r="N208" s="16">
        <f t="shared" si="6"/>
        <v>140000</v>
      </c>
      <c r="O208" s="13" t="s">
        <v>22</v>
      </c>
      <c r="P208" s="2">
        <v>158</v>
      </c>
    </row>
    <row r="209" spans="1:16" x14ac:dyDescent="0.25">
      <c r="A209" s="13" t="s">
        <v>18</v>
      </c>
      <c r="B209" s="14">
        <v>45896</v>
      </c>
      <c r="C209" s="13">
        <f t="shared" si="7"/>
        <v>309</v>
      </c>
      <c r="D209" s="13">
        <v>1</v>
      </c>
      <c r="E209" s="15"/>
      <c r="F209" s="13"/>
      <c r="G209" s="15" t="s">
        <v>25</v>
      </c>
      <c r="H209" s="13" t="s">
        <v>265</v>
      </c>
      <c r="I209" s="13">
        <v>64277</v>
      </c>
      <c r="J209" s="13">
        <v>331</v>
      </c>
      <c r="K209" s="13" t="s">
        <v>21</v>
      </c>
      <c r="L209" s="13">
        <v>1</v>
      </c>
      <c r="M209" s="16">
        <v>149000</v>
      </c>
      <c r="N209" s="16">
        <f t="shared" si="6"/>
        <v>149000</v>
      </c>
      <c r="O209" s="13" t="s">
        <v>22</v>
      </c>
      <c r="P209" s="2">
        <v>159</v>
      </c>
    </row>
    <row r="210" spans="1:16" x14ac:dyDescent="0.25">
      <c r="A210" s="13" t="s">
        <v>33</v>
      </c>
      <c r="B210" s="14">
        <v>45896</v>
      </c>
      <c r="C210" s="13">
        <f t="shared" si="7"/>
        <v>310</v>
      </c>
      <c r="D210" s="13">
        <v>1</v>
      </c>
      <c r="E210" s="15"/>
      <c r="F210" s="13"/>
      <c r="G210" s="15" t="s">
        <v>120</v>
      </c>
      <c r="H210" s="13" t="s">
        <v>266</v>
      </c>
      <c r="I210" s="13">
        <v>112111</v>
      </c>
      <c r="J210" s="13">
        <v>131</v>
      </c>
      <c r="K210" s="13" t="s">
        <v>21</v>
      </c>
      <c r="L210" s="13">
        <v>1</v>
      </c>
      <c r="M210" s="16">
        <v>43010753</v>
      </c>
      <c r="N210" s="16">
        <f t="shared" si="6"/>
        <v>43010753</v>
      </c>
      <c r="O210" s="13" t="s">
        <v>22</v>
      </c>
      <c r="P210" s="2">
        <v>285</v>
      </c>
    </row>
    <row r="211" spans="1:16" x14ac:dyDescent="0.25">
      <c r="A211" s="13" t="s">
        <v>33</v>
      </c>
      <c r="B211" s="14">
        <v>45896</v>
      </c>
      <c r="C211" s="13">
        <f t="shared" si="7"/>
        <v>311</v>
      </c>
      <c r="D211" s="13">
        <v>1</v>
      </c>
      <c r="E211" s="15"/>
      <c r="F211" s="13"/>
      <c r="G211" s="15" t="s">
        <v>267</v>
      </c>
      <c r="H211" s="13" t="s">
        <v>268</v>
      </c>
      <c r="I211" s="13">
        <v>112111</v>
      </c>
      <c r="J211" s="13">
        <v>3388</v>
      </c>
      <c r="K211" s="13" t="s">
        <v>21</v>
      </c>
      <c r="L211" s="13">
        <v>1</v>
      </c>
      <c r="M211" s="16">
        <v>357000</v>
      </c>
      <c r="N211" s="16">
        <f t="shared" si="6"/>
        <v>357000</v>
      </c>
      <c r="O211" s="13" t="s">
        <v>22</v>
      </c>
      <c r="P211" s="2">
        <v>286</v>
      </c>
    </row>
    <row r="212" spans="1:16" x14ac:dyDescent="0.25">
      <c r="A212" s="13" t="s">
        <v>89</v>
      </c>
      <c r="B212" s="14">
        <v>45896</v>
      </c>
      <c r="C212" s="13">
        <f t="shared" si="7"/>
        <v>312</v>
      </c>
      <c r="D212" s="13">
        <v>1</v>
      </c>
      <c r="E212" s="15"/>
      <c r="F212" s="13"/>
      <c r="G212" s="15" t="s">
        <v>267</v>
      </c>
      <c r="H212" s="13" t="s">
        <v>269</v>
      </c>
      <c r="I212" s="13">
        <v>3388</v>
      </c>
      <c r="J212" s="13">
        <v>112111</v>
      </c>
      <c r="K212" s="13" t="s">
        <v>21</v>
      </c>
      <c r="L212" s="13">
        <v>1</v>
      </c>
      <c r="M212" s="16">
        <v>357000</v>
      </c>
      <c r="N212" s="16">
        <f t="shared" si="6"/>
        <v>357000</v>
      </c>
      <c r="O212" s="13" t="s">
        <v>22</v>
      </c>
      <c r="P212" s="2">
        <v>287</v>
      </c>
    </row>
    <row r="213" spans="1:16" x14ac:dyDescent="0.25">
      <c r="A213" s="13" t="s">
        <v>18</v>
      </c>
      <c r="B213" s="14">
        <v>45897</v>
      </c>
      <c r="C213" s="13">
        <f t="shared" si="7"/>
        <v>313</v>
      </c>
      <c r="D213" s="13">
        <v>1</v>
      </c>
      <c r="E213" s="15"/>
      <c r="F213" s="13"/>
      <c r="G213" s="15" t="s">
        <v>25</v>
      </c>
      <c r="H213" s="13" t="s">
        <v>270</v>
      </c>
      <c r="I213" s="13">
        <v>64277</v>
      </c>
      <c r="J213" s="13">
        <v>331</v>
      </c>
      <c r="K213" s="13" t="s">
        <v>21</v>
      </c>
      <c r="L213" s="13">
        <v>1</v>
      </c>
      <c r="M213" s="16">
        <v>149000</v>
      </c>
      <c r="N213" s="16">
        <f t="shared" si="6"/>
        <v>149000</v>
      </c>
      <c r="O213" s="13" t="s">
        <v>22</v>
      </c>
      <c r="P213" s="2">
        <v>160</v>
      </c>
    </row>
    <row r="214" spans="1:16" x14ac:dyDescent="0.25">
      <c r="A214" s="13" t="s">
        <v>33</v>
      </c>
      <c r="B214" s="14">
        <v>45897</v>
      </c>
      <c r="C214" s="13">
        <f t="shared" si="7"/>
        <v>314</v>
      </c>
      <c r="D214" s="13">
        <v>1</v>
      </c>
      <c r="E214" s="15"/>
      <c r="F214" s="13"/>
      <c r="G214" s="15" t="s">
        <v>96</v>
      </c>
      <c r="H214" s="13" t="s">
        <v>215</v>
      </c>
      <c r="I214" s="13">
        <v>112111</v>
      </c>
      <c r="J214" s="13">
        <v>131</v>
      </c>
      <c r="K214" s="13" t="s">
        <v>21</v>
      </c>
      <c r="L214" s="13">
        <v>1</v>
      </c>
      <c r="M214" s="16">
        <v>15967742</v>
      </c>
      <c r="N214" s="16">
        <f t="shared" si="6"/>
        <v>15967742</v>
      </c>
      <c r="O214" s="13" t="s">
        <v>22</v>
      </c>
      <c r="P214" s="2">
        <v>288</v>
      </c>
    </row>
    <row r="215" spans="1:16" x14ac:dyDescent="0.25">
      <c r="A215" s="13" t="s">
        <v>18</v>
      </c>
      <c r="B215" s="14">
        <v>45898</v>
      </c>
      <c r="C215" s="13">
        <f t="shared" si="7"/>
        <v>315</v>
      </c>
      <c r="D215" s="13">
        <v>1</v>
      </c>
      <c r="E215" s="15"/>
      <c r="F215" s="13"/>
      <c r="G215" s="15" t="s">
        <v>259</v>
      </c>
      <c r="H215" s="13" t="s">
        <v>271</v>
      </c>
      <c r="I215" s="13">
        <v>64277</v>
      </c>
      <c r="J215" s="13">
        <v>331</v>
      </c>
      <c r="K215" s="13" t="s">
        <v>21</v>
      </c>
      <c r="L215" s="13">
        <v>1</v>
      </c>
      <c r="M215" s="16">
        <v>2094000</v>
      </c>
      <c r="N215" s="16">
        <f t="shared" si="6"/>
        <v>2094000</v>
      </c>
      <c r="O215" s="13" t="s">
        <v>22</v>
      </c>
      <c r="P215" s="2">
        <v>5</v>
      </c>
    </row>
    <row r="216" spans="1:16" x14ac:dyDescent="0.25">
      <c r="A216" s="13" t="s">
        <v>18</v>
      </c>
      <c r="B216" s="14">
        <v>45898</v>
      </c>
      <c r="C216" s="13">
        <f t="shared" si="7"/>
        <v>316</v>
      </c>
      <c r="D216" s="13">
        <v>1</v>
      </c>
      <c r="E216" s="15"/>
      <c r="F216" s="13"/>
      <c r="G216" s="15" t="s">
        <v>25</v>
      </c>
      <c r="H216" s="13" t="s">
        <v>272</v>
      </c>
      <c r="I216" s="13">
        <v>64277</v>
      </c>
      <c r="J216" s="13">
        <v>331</v>
      </c>
      <c r="K216" s="13" t="s">
        <v>21</v>
      </c>
      <c r="L216" s="13">
        <v>1</v>
      </c>
      <c r="M216" s="16">
        <v>110000</v>
      </c>
      <c r="N216" s="16">
        <f t="shared" si="6"/>
        <v>110000</v>
      </c>
      <c r="O216" s="13" t="s">
        <v>22</v>
      </c>
      <c r="P216" s="2">
        <v>161</v>
      </c>
    </row>
    <row r="217" spans="1:16" x14ac:dyDescent="0.25">
      <c r="A217" s="13" t="s">
        <v>18</v>
      </c>
      <c r="B217" s="14">
        <v>45898</v>
      </c>
      <c r="C217" s="13">
        <f t="shared" si="7"/>
        <v>317</v>
      </c>
      <c r="D217" s="13">
        <v>1</v>
      </c>
      <c r="E217" s="15"/>
      <c r="F217" s="13"/>
      <c r="G217" s="15" t="s">
        <v>117</v>
      </c>
      <c r="H217" s="13" t="s">
        <v>273</v>
      </c>
      <c r="I217" s="13">
        <v>64277</v>
      </c>
      <c r="J217" s="13">
        <v>331</v>
      </c>
      <c r="K217" s="13" t="s">
        <v>21</v>
      </c>
      <c r="L217" s="13">
        <v>1</v>
      </c>
      <c r="M217" s="16">
        <v>2493800</v>
      </c>
      <c r="N217" s="16">
        <f t="shared" si="6"/>
        <v>2493800</v>
      </c>
      <c r="O217" s="13" t="s">
        <v>22</v>
      </c>
      <c r="P217" s="2">
        <v>162</v>
      </c>
    </row>
    <row r="218" spans="1:16" x14ac:dyDescent="0.25">
      <c r="A218" s="13" t="s">
        <v>18</v>
      </c>
      <c r="B218" s="14">
        <v>45898</v>
      </c>
      <c r="C218" s="13">
        <f t="shared" si="7"/>
        <v>318</v>
      </c>
      <c r="D218" s="13">
        <v>1</v>
      </c>
      <c r="E218" s="15"/>
      <c r="F218" s="13"/>
      <c r="G218" s="15" t="s">
        <v>274</v>
      </c>
      <c r="H218" s="13" t="s">
        <v>275</v>
      </c>
      <c r="I218" s="13">
        <v>131</v>
      </c>
      <c r="J218" s="13">
        <v>5113</v>
      </c>
      <c r="K218" s="13" t="s">
        <v>21</v>
      </c>
      <c r="L218" s="13">
        <v>1</v>
      </c>
      <c r="M218" s="16">
        <v>41935484</v>
      </c>
      <c r="N218" s="16">
        <f t="shared" si="6"/>
        <v>41935484</v>
      </c>
      <c r="O218" s="13" t="s">
        <v>22</v>
      </c>
      <c r="P218" s="2">
        <v>259</v>
      </c>
    </row>
    <row r="219" spans="1:16" x14ac:dyDescent="0.25">
      <c r="A219" s="13" t="s">
        <v>18</v>
      </c>
      <c r="B219" s="14">
        <v>45898</v>
      </c>
      <c r="C219" s="13">
        <f t="shared" si="7"/>
        <v>318</v>
      </c>
      <c r="D219" s="13">
        <v>0</v>
      </c>
      <c r="E219" s="15"/>
      <c r="F219" s="13"/>
      <c r="G219" s="15" t="s">
        <v>274</v>
      </c>
      <c r="H219" s="13" t="s">
        <v>276</v>
      </c>
      <c r="I219" s="13">
        <v>5113</v>
      </c>
      <c r="J219" s="13">
        <v>131</v>
      </c>
      <c r="K219" s="13" t="s">
        <v>21</v>
      </c>
      <c r="L219" s="13">
        <v>1</v>
      </c>
      <c r="M219" s="16">
        <v>419355</v>
      </c>
      <c r="N219" s="16">
        <f t="shared" si="6"/>
        <v>419355</v>
      </c>
      <c r="O219" s="13" t="s">
        <v>22</v>
      </c>
      <c r="P219" s="2">
        <v>260</v>
      </c>
    </row>
    <row r="220" spans="1:16" x14ac:dyDescent="0.25">
      <c r="A220" s="13" t="s">
        <v>33</v>
      </c>
      <c r="B220" s="14">
        <v>45898</v>
      </c>
      <c r="C220" s="13">
        <f t="shared" si="7"/>
        <v>319</v>
      </c>
      <c r="D220" s="13">
        <v>1</v>
      </c>
      <c r="E220" s="15"/>
      <c r="F220" s="13"/>
      <c r="G220" s="15" t="s">
        <v>78</v>
      </c>
      <c r="H220" s="13" t="s">
        <v>277</v>
      </c>
      <c r="I220" s="13">
        <v>112111</v>
      </c>
      <c r="J220" s="13">
        <v>131</v>
      </c>
      <c r="K220" s="13" t="s">
        <v>21</v>
      </c>
      <c r="L220" s="13">
        <v>1</v>
      </c>
      <c r="M220" s="16">
        <v>10645161</v>
      </c>
      <c r="N220" s="16">
        <f t="shared" si="6"/>
        <v>10645161</v>
      </c>
      <c r="O220" s="13" t="s">
        <v>22</v>
      </c>
      <c r="P220" s="2">
        <v>289</v>
      </c>
    </row>
    <row r="221" spans="1:16" x14ac:dyDescent="0.25">
      <c r="A221" s="13" t="s">
        <v>18</v>
      </c>
      <c r="B221" s="14">
        <v>45899</v>
      </c>
      <c r="C221" s="13">
        <f t="shared" si="7"/>
        <v>320</v>
      </c>
      <c r="D221" s="13">
        <v>1</v>
      </c>
      <c r="E221" s="15"/>
      <c r="F221" s="13"/>
      <c r="G221" s="15" t="s">
        <v>25</v>
      </c>
      <c r="H221" s="13" t="s">
        <v>278</v>
      </c>
      <c r="I221" s="13">
        <v>64277</v>
      </c>
      <c r="J221" s="13">
        <v>331</v>
      </c>
      <c r="K221" s="13" t="s">
        <v>21</v>
      </c>
      <c r="L221" s="13">
        <v>1</v>
      </c>
      <c r="M221" s="16">
        <v>170000</v>
      </c>
      <c r="N221" s="16">
        <f t="shared" si="6"/>
        <v>170000</v>
      </c>
      <c r="O221" s="13" t="s">
        <v>22</v>
      </c>
      <c r="P221" s="2">
        <v>163</v>
      </c>
    </row>
    <row r="222" spans="1:16" x14ac:dyDescent="0.25">
      <c r="A222" s="13" t="s">
        <v>18</v>
      </c>
      <c r="B222" s="14">
        <v>45899</v>
      </c>
      <c r="C222" s="13">
        <f t="shared" si="7"/>
        <v>321</v>
      </c>
      <c r="D222" s="13">
        <v>1</v>
      </c>
      <c r="E222" s="15"/>
      <c r="F222" s="13"/>
      <c r="G222" s="15" t="s">
        <v>25</v>
      </c>
      <c r="H222" s="13" t="s">
        <v>279</v>
      </c>
      <c r="I222" s="13">
        <v>64277</v>
      </c>
      <c r="J222" s="13">
        <v>331</v>
      </c>
      <c r="K222" s="13" t="s">
        <v>21</v>
      </c>
      <c r="L222" s="13">
        <v>1</v>
      </c>
      <c r="M222" s="16">
        <v>234000</v>
      </c>
      <c r="N222" s="16">
        <f t="shared" si="6"/>
        <v>234000</v>
      </c>
      <c r="O222" s="13" t="s">
        <v>22</v>
      </c>
      <c r="P222" s="2">
        <v>164</v>
      </c>
    </row>
    <row r="223" spans="1:16" x14ac:dyDescent="0.25">
      <c r="A223" s="13" t="s">
        <v>18</v>
      </c>
      <c r="B223" s="14">
        <v>45899</v>
      </c>
      <c r="C223" s="13">
        <f t="shared" si="7"/>
        <v>322</v>
      </c>
      <c r="D223" s="13">
        <v>1</v>
      </c>
      <c r="E223" s="15"/>
      <c r="F223" s="13"/>
      <c r="G223" s="15" t="s">
        <v>146</v>
      </c>
      <c r="H223" s="13" t="s">
        <v>280</v>
      </c>
      <c r="I223" s="13">
        <v>64271</v>
      </c>
      <c r="J223" s="13">
        <v>3383</v>
      </c>
      <c r="K223" s="13" t="s">
        <v>21</v>
      </c>
      <c r="L223" s="13">
        <v>1</v>
      </c>
      <c r="M223" s="16">
        <v>585000</v>
      </c>
      <c r="N223" s="16">
        <f t="shared" si="6"/>
        <v>585000</v>
      </c>
      <c r="O223" s="13" t="s">
        <v>22</v>
      </c>
      <c r="P223" s="2">
        <v>224</v>
      </c>
    </row>
    <row r="224" spans="1:16" x14ac:dyDescent="0.25">
      <c r="A224" s="13" t="s">
        <v>18</v>
      </c>
      <c r="B224" s="14">
        <v>45899</v>
      </c>
      <c r="C224" s="13">
        <f t="shared" si="7"/>
        <v>322</v>
      </c>
      <c r="D224" s="13">
        <v>0</v>
      </c>
      <c r="E224" s="15"/>
      <c r="F224" s="13"/>
      <c r="G224" s="15" t="s">
        <v>146</v>
      </c>
      <c r="H224" s="13" t="s">
        <v>280</v>
      </c>
      <c r="I224" s="13">
        <v>64271</v>
      </c>
      <c r="J224" s="13">
        <v>3384</v>
      </c>
      <c r="K224" s="13" t="s">
        <v>21</v>
      </c>
      <c r="L224" s="13">
        <v>1</v>
      </c>
      <c r="M224" s="16">
        <v>105300</v>
      </c>
      <c r="N224" s="16">
        <f t="shared" si="6"/>
        <v>105300</v>
      </c>
      <c r="O224" s="13" t="s">
        <v>22</v>
      </c>
      <c r="P224" s="2">
        <v>225</v>
      </c>
    </row>
    <row r="225" spans="1:16" x14ac:dyDescent="0.25">
      <c r="A225" s="13" t="s">
        <v>89</v>
      </c>
      <c r="B225" s="14">
        <v>45899</v>
      </c>
      <c r="C225" s="13">
        <f t="shared" si="7"/>
        <v>323</v>
      </c>
      <c r="D225" s="13">
        <v>1</v>
      </c>
      <c r="E225" s="15"/>
      <c r="F225" s="13"/>
      <c r="G225" s="15" t="s">
        <v>146</v>
      </c>
      <c r="H225" s="13" t="s">
        <v>281</v>
      </c>
      <c r="I225" s="13">
        <v>3383</v>
      </c>
      <c r="J225" s="13">
        <v>112111</v>
      </c>
      <c r="K225" s="13" t="s">
        <v>21</v>
      </c>
      <c r="L225" s="13">
        <v>1</v>
      </c>
      <c r="M225" s="16">
        <v>585000</v>
      </c>
      <c r="N225" s="16">
        <f t="shared" si="6"/>
        <v>585000</v>
      </c>
      <c r="O225" s="13" t="s">
        <v>22</v>
      </c>
      <c r="P225" s="2">
        <v>290</v>
      </c>
    </row>
    <row r="226" spans="1:16" x14ac:dyDescent="0.25">
      <c r="A226" s="13" t="s">
        <v>89</v>
      </c>
      <c r="B226" s="14">
        <v>45899</v>
      </c>
      <c r="C226" s="13">
        <f t="shared" si="7"/>
        <v>323</v>
      </c>
      <c r="D226" s="13">
        <v>0</v>
      </c>
      <c r="E226" s="15"/>
      <c r="F226" s="13"/>
      <c r="G226" s="15" t="s">
        <v>146</v>
      </c>
      <c r="H226" s="13" t="s">
        <v>281</v>
      </c>
      <c r="I226" s="13">
        <v>3384</v>
      </c>
      <c r="J226" s="13">
        <v>112111</v>
      </c>
      <c r="K226" s="13" t="s">
        <v>21</v>
      </c>
      <c r="L226" s="13">
        <v>1</v>
      </c>
      <c r="M226" s="16">
        <v>105300</v>
      </c>
      <c r="N226" s="16">
        <f t="shared" si="6"/>
        <v>105300</v>
      </c>
      <c r="O226" s="13" t="s">
        <v>22</v>
      </c>
      <c r="P226" s="2">
        <v>290</v>
      </c>
    </row>
    <row r="227" spans="1:16" x14ac:dyDescent="0.25">
      <c r="A227" s="13" t="s">
        <v>89</v>
      </c>
      <c r="B227" s="14">
        <v>45899</v>
      </c>
      <c r="C227" s="13">
        <f t="shared" si="7"/>
        <v>324</v>
      </c>
      <c r="D227" s="13">
        <v>1</v>
      </c>
      <c r="E227" s="15"/>
      <c r="F227" s="13"/>
      <c r="G227" s="15" t="s">
        <v>128</v>
      </c>
      <c r="H227" s="13" t="s">
        <v>282</v>
      </c>
      <c r="I227" s="13">
        <v>1111</v>
      </c>
      <c r="J227" s="13">
        <v>112111</v>
      </c>
      <c r="K227" s="13" t="s">
        <v>21</v>
      </c>
      <c r="L227" s="13">
        <v>1</v>
      </c>
      <c r="M227" s="16">
        <v>200000000</v>
      </c>
      <c r="N227" s="16">
        <f t="shared" si="6"/>
        <v>200000000</v>
      </c>
      <c r="O227" s="13" t="s">
        <v>22</v>
      </c>
      <c r="P227" s="2">
        <v>291</v>
      </c>
    </row>
    <row r="228" spans="1:16" x14ac:dyDescent="0.25">
      <c r="A228" s="13" t="s">
        <v>33</v>
      </c>
      <c r="B228" s="14">
        <v>45899</v>
      </c>
      <c r="C228" s="13">
        <f t="shared" si="7"/>
        <v>325</v>
      </c>
      <c r="D228" s="13">
        <v>1</v>
      </c>
      <c r="E228" s="15"/>
      <c r="F228" s="13"/>
      <c r="G228" s="15" t="s">
        <v>128</v>
      </c>
      <c r="H228" s="13" t="s">
        <v>129</v>
      </c>
      <c r="I228" s="13">
        <v>112111</v>
      </c>
      <c r="J228" s="13">
        <v>5154</v>
      </c>
      <c r="K228" s="13" t="s">
        <v>21</v>
      </c>
      <c r="L228" s="13">
        <v>1</v>
      </c>
      <c r="M228" s="16">
        <v>19714</v>
      </c>
      <c r="N228" s="16">
        <f t="shared" si="6"/>
        <v>19714</v>
      </c>
      <c r="O228" s="13" t="s">
        <v>22</v>
      </c>
      <c r="P228" s="2">
        <v>292</v>
      </c>
    </row>
    <row r="229" spans="1:16" x14ac:dyDescent="0.25">
      <c r="A229" s="13" t="s">
        <v>18</v>
      </c>
      <c r="B229" s="14">
        <v>45901</v>
      </c>
      <c r="C229" s="13">
        <f t="shared" si="7"/>
        <v>326</v>
      </c>
      <c r="D229" s="13">
        <v>1</v>
      </c>
      <c r="E229" s="15"/>
      <c r="F229" s="13"/>
      <c r="G229" s="15" t="s">
        <v>25</v>
      </c>
      <c r="H229" s="13" t="s">
        <v>283</v>
      </c>
      <c r="I229" s="13">
        <v>64277</v>
      </c>
      <c r="J229" s="13">
        <v>331</v>
      </c>
      <c r="K229" s="13" t="s">
        <v>21</v>
      </c>
      <c r="L229" s="13">
        <v>1</v>
      </c>
      <c r="M229" s="16">
        <v>150000</v>
      </c>
      <c r="N229" s="16">
        <f t="shared" si="6"/>
        <v>150000</v>
      </c>
      <c r="O229" s="13" t="s">
        <v>22</v>
      </c>
      <c r="P229" s="2">
        <v>165</v>
      </c>
    </row>
    <row r="230" spans="1:16" x14ac:dyDescent="0.25">
      <c r="A230" s="13" t="s">
        <v>18</v>
      </c>
      <c r="B230" s="14">
        <v>45901</v>
      </c>
      <c r="C230" s="13">
        <f t="shared" si="7"/>
        <v>327</v>
      </c>
      <c r="D230" s="13">
        <v>1</v>
      </c>
      <c r="E230" s="15"/>
      <c r="F230" s="13"/>
      <c r="G230" s="15" t="s">
        <v>141</v>
      </c>
      <c r="H230" s="13" t="s">
        <v>284</v>
      </c>
      <c r="I230" s="13">
        <v>64277</v>
      </c>
      <c r="J230" s="13">
        <v>331</v>
      </c>
      <c r="K230" s="13" t="s">
        <v>21</v>
      </c>
      <c r="L230" s="13">
        <v>1</v>
      </c>
      <c r="M230" s="16">
        <v>1020000</v>
      </c>
      <c r="N230" s="16">
        <f t="shared" si="6"/>
        <v>1020000</v>
      </c>
      <c r="O230" s="13" t="s">
        <v>22</v>
      </c>
      <c r="P230" s="2">
        <v>166</v>
      </c>
    </row>
    <row r="231" spans="1:16" x14ac:dyDescent="0.25">
      <c r="A231" s="13" t="s">
        <v>18</v>
      </c>
      <c r="B231" s="14">
        <v>45902</v>
      </c>
      <c r="C231" s="13">
        <f t="shared" si="7"/>
        <v>328</v>
      </c>
      <c r="D231" s="13">
        <v>1</v>
      </c>
      <c r="E231" s="15"/>
      <c r="F231" s="13"/>
      <c r="G231" s="15" t="s">
        <v>46</v>
      </c>
      <c r="H231" s="13" t="s">
        <v>285</v>
      </c>
      <c r="I231" s="13">
        <v>64277</v>
      </c>
      <c r="J231" s="13">
        <v>331</v>
      </c>
      <c r="K231" s="13" t="s">
        <v>21</v>
      </c>
      <c r="L231" s="13">
        <v>1</v>
      </c>
      <c r="M231" s="16">
        <v>918324</v>
      </c>
      <c r="N231" s="16">
        <f t="shared" si="6"/>
        <v>918324</v>
      </c>
      <c r="O231" s="13" t="s">
        <v>22</v>
      </c>
      <c r="P231" s="2">
        <v>167</v>
      </c>
    </row>
    <row r="232" spans="1:16" x14ac:dyDescent="0.25">
      <c r="A232" s="13" t="s">
        <v>18</v>
      </c>
      <c r="B232" s="14">
        <v>45903</v>
      </c>
      <c r="C232" s="13">
        <f t="shared" si="7"/>
        <v>329</v>
      </c>
      <c r="D232" s="13">
        <v>1</v>
      </c>
      <c r="E232" s="15"/>
      <c r="F232" s="13"/>
      <c r="G232" s="15" t="s">
        <v>25</v>
      </c>
      <c r="H232" s="13" t="s">
        <v>286</v>
      </c>
      <c r="I232" s="13">
        <v>64277</v>
      </c>
      <c r="J232" s="13">
        <v>331</v>
      </c>
      <c r="K232" s="13" t="s">
        <v>21</v>
      </c>
      <c r="L232" s="13">
        <v>1</v>
      </c>
      <c r="M232" s="16">
        <v>140000</v>
      </c>
      <c r="N232" s="16">
        <f t="shared" si="6"/>
        <v>140000</v>
      </c>
      <c r="O232" s="13" t="s">
        <v>22</v>
      </c>
      <c r="P232" s="2">
        <v>168</v>
      </c>
    </row>
    <row r="233" spans="1:16" x14ac:dyDescent="0.25">
      <c r="A233" s="13" t="s">
        <v>18</v>
      </c>
      <c r="B233" s="14">
        <v>45903</v>
      </c>
      <c r="C233" s="13">
        <f t="shared" si="7"/>
        <v>330</v>
      </c>
      <c r="D233" s="13">
        <v>1</v>
      </c>
      <c r="E233" s="15"/>
      <c r="F233" s="13"/>
      <c r="G233" s="15" t="s">
        <v>287</v>
      </c>
      <c r="H233" s="13" t="s">
        <v>288</v>
      </c>
      <c r="I233" s="13">
        <v>131</v>
      </c>
      <c r="J233" s="13">
        <v>5113</v>
      </c>
      <c r="K233" s="13" t="s">
        <v>21</v>
      </c>
      <c r="L233" s="13">
        <v>1</v>
      </c>
      <c r="M233" s="16">
        <v>18817205</v>
      </c>
      <c r="N233" s="16">
        <f t="shared" si="6"/>
        <v>18817205</v>
      </c>
      <c r="O233" s="13" t="s">
        <v>22</v>
      </c>
      <c r="P233" s="2">
        <v>261</v>
      </c>
    </row>
    <row r="234" spans="1:16" x14ac:dyDescent="0.25">
      <c r="A234" s="13" t="s">
        <v>18</v>
      </c>
      <c r="B234" s="14">
        <v>45903</v>
      </c>
      <c r="C234" s="13">
        <f t="shared" si="7"/>
        <v>330</v>
      </c>
      <c r="D234" s="13">
        <v>0</v>
      </c>
      <c r="E234" s="15"/>
      <c r="F234" s="13"/>
      <c r="G234" s="15" t="s">
        <v>287</v>
      </c>
      <c r="H234" s="13" t="s">
        <v>289</v>
      </c>
      <c r="I234" s="13">
        <v>5113</v>
      </c>
      <c r="J234" s="13">
        <v>131</v>
      </c>
      <c r="K234" s="13" t="s">
        <v>21</v>
      </c>
      <c r="L234" s="13">
        <v>1</v>
      </c>
      <c r="M234" s="16">
        <v>188172</v>
      </c>
      <c r="N234" s="16">
        <f t="shared" si="6"/>
        <v>188172</v>
      </c>
      <c r="O234" s="13" t="s">
        <v>22</v>
      </c>
      <c r="P234" s="2">
        <v>262</v>
      </c>
    </row>
    <row r="235" spans="1:16" x14ac:dyDescent="0.25">
      <c r="A235" s="13" t="s">
        <v>89</v>
      </c>
      <c r="B235" s="14">
        <v>45903</v>
      </c>
      <c r="C235" s="13">
        <f t="shared" si="7"/>
        <v>331</v>
      </c>
      <c r="D235" s="13">
        <v>1</v>
      </c>
      <c r="E235" s="15"/>
      <c r="F235" s="13"/>
      <c r="G235" s="15" t="s">
        <v>29</v>
      </c>
      <c r="H235" s="13" t="s">
        <v>290</v>
      </c>
      <c r="I235" s="13">
        <v>333822</v>
      </c>
      <c r="J235" s="13">
        <v>112111</v>
      </c>
      <c r="K235" s="13" t="s">
        <v>21</v>
      </c>
      <c r="L235" s="13">
        <v>1</v>
      </c>
      <c r="M235" s="16">
        <v>3226</v>
      </c>
      <c r="N235" s="16">
        <f t="shared" si="6"/>
        <v>3226</v>
      </c>
      <c r="O235" s="13" t="s">
        <v>22</v>
      </c>
      <c r="P235" s="2">
        <v>293</v>
      </c>
    </row>
    <row r="236" spans="1:16" x14ac:dyDescent="0.25">
      <c r="A236" s="13" t="s">
        <v>89</v>
      </c>
      <c r="B236" s="14">
        <v>45903</v>
      </c>
      <c r="C236" s="13">
        <f t="shared" si="7"/>
        <v>332</v>
      </c>
      <c r="D236" s="13">
        <v>1</v>
      </c>
      <c r="E236" s="15"/>
      <c r="F236" s="13"/>
      <c r="G236" s="15" t="s">
        <v>29</v>
      </c>
      <c r="H236" s="13" t="s">
        <v>290</v>
      </c>
      <c r="I236" s="13">
        <v>333822</v>
      </c>
      <c r="J236" s="13">
        <v>112111</v>
      </c>
      <c r="K236" s="13" t="s">
        <v>21</v>
      </c>
      <c r="L236" s="13">
        <v>1</v>
      </c>
      <c r="M236" s="16">
        <v>1872114</v>
      </c>
      <c r="N236" s="16">
        <f t="shared" si="6"/>
        <v>1872114</v>
      </c>
      <c r="O236" s="13" t="s">
        <v>22</v>
      </c>
      <c r="P236" s="2">
        <v>294</v>
      </c>
    </row>
    <row r="237" spans="1:16" x14ac:dyDescent="0.25">
      <c r="A237" s="13" t="s">
        <v>33</v>
      </c>
      <c r="B237" s="14">
        <v>45903</v>
      </c>
      <c r="C237" s="13">
        <f t="shared" si="7"/>
        <v>333</v>
      </c>
      <c r="D237" s="13">
        <v>1</v>
      </c>
      <c r="E237" s="15"/>
      <c r="F237" s="13"/>
      <c r="G237" s="15" t="s">
        <v>287</v>
      </c>
      <c r="H237" s="13" t="s">
        <v>291</v>
      </c>
      <c r="I237" s="13">
        <v>112111</v>
      </c>
      <c r="J237" s="13">
        <v>131</v>
      </c>
      <c r="K237" s="13" t="s">
        <v>21</v>
      </c>
      <c r="L237" s="13">
        <v>1</v>
      </c>
      <c r="M237" s="16">
        <v>18629033</v>
      </c>
      <c r="N237" s="16">
        <f t="shared" si="6"/>
        <v>18629033</v>
      </c>
      <c r="O237" s="13" t="s">
        <v>22</v>
      </c>
      <c r="P237" s="2">
        <v>295</v>
      </c>
    </row>
    <row r="238" spans="1:16" x14ac:dyDescent="0.25">
      <c r="A238" s="13" t="s">
        <v>18</v>
      </c>
      <c r="B238" s="14">
        <v>45904</v>
      </c>
      <c r="C238" s="13">
        <f t="shared" si="7"/>
        <v>334</v>
      </c>
      <c r="D238" s="13">
        <v>1</v>
      </c>
      <c r="E238" s="15"/>
      <c r="F238" s="13"/>
      <c r="G238" s="15" t="s">
        <v>25</v>
      </c>
      <c r="H238" s="13" t="s">
        <v>292</v>
      </c>
      <c r="I238" s="13">
        <v>64277</v>
      </c>
      <c r="J238" s="13">
        <v>331</v>
      </c>
      <c r="K238" s="13" t="s">
        <v>21</v>
      </c>
      <c r="L238" s="13">
        <v>1</v>
      </c>
      <c r="M238" s="16">
        <v>130000</v>
      </c>
      <c r="N238" s="16">
        <f t="shared" si="6"/>
        <v>130000</v>
      </c>
      <c r="O238" s="13" t="s">
        <v>22</v>
      </c>
      <c r="P238" s="2">
        <v>169</v>
      </c>
    </row>
    <row r="239" spans="1:16" x14ac:dyDescent="0.25">
      <c r="A239" s="13" t="s">
        <v>18</v>
      </c>
      <c r="B239" s="14">
        <v>45904</v>
      </c>
      <c r="C239" s="13">
        <f t="shared" si="7"/>
        <v>335</v>
      </c>
      <c r="D239" s="13">
        <v>1</v>
      </c>
      <c r="E239" s="15"/>
      <c r="F239" s="13"/>
      <c r="G239" s="15" t="s">
        <v>25</v>
      </c>
      <c r="H239" s="13" t="s">
        <v>293</v>
      </c>
      <c r="I239" s="13">
        <v>64277</v>
      </c>
      <c r="J239" s="13">
        <v>331</v>
      </c>
      <c r="K239" s="13" t="s">
        <v>21</v>
      </c>
      <c r="L239" s="13">
        <v>1</v>
      </c>
      <c r="M239" s="16">
        <v>130000</v>
      </c>
      <c r="N239" s="16">
        <f t="shared" si="6"/>
        <v>130000</v>
      </c>
      <c r="O239" s="13" t="s">
        <v>22</v>
      </c>
      <c r="P239" s="2">
        <v>170</v>
      </c>
    </row>
    <row r="240" spans="1:16" x14ac:dyDescent="0.25">
      <c r="A240" s="13" t="s">
        <v>18</v>
      </c>
      <c r="B240" s="14">
        <v>45905</v>
      </c>
      <c r="C240" s="13">
        <f t="shared" si="7"/>
        <v>336</v>
      </c>
      <c r="D240" s="13">
        <v>1</v>
      </c>
      <c r="E240" s="15"/>
      <c r="F240" s="13"/>
      <c r="G240" s="15" t="s">
        <v>158</v>
      </c>
      <c r="H240" s="13" t="s">
        <v>294</v>
      </c>
      <c r="I240" s="13">
        <v>64277</v>
      </c>
      <c r="J240" s="13">
        <v>331</v>
      </c>
      <c r="K240" s="13" t="s">
        <v>21</v>
      </c>
      <c r="L240" s="13">
        <v>1</v>
      </c>
      <c r="M240" s="16">
        <v>3240000</v>
      </c>
      <c r="N240" s="16">
        <f t="shared" si="6"/>
        <v>3240000</v>
      </c>
      <c r="O240" s="13" t="s">
        <v>22</v>
      </c>
      <c r="P240" s="2">
        <v>100</v>
      </c>
    </row>
    <row r="241" spans="1:16" x14ac:dyDescent="0.25">
      <c r="A241" s="13" t="s">
        <v>18</v>
      </c>
      <c r="B241" s="14">
        <v>45905</v>
      </c>
      <c r="C241" s="13">
        <f t="shared" si="7"/>
        <v>337</v>
      </c>
      <c r="D241" s="13">
        <v>1</v>
      </c>
      <c r="E241" s="15"/>
      <c r="F241" s="13"/>
      <c r="G241" s="15" t="s">
        <v>78</v>
      </c>
      <c r="H241" s="13" t="s">
        <v>295</v>
      </c>
      <c r="I241" s="13">
        <v>64277</v>
      </c>
      <c r="J241" s="13">
        <v>331</v>
      </c>
      <c r="K241" s="13" t="s">
        <v>21</v>
      </c>
      <c r="L241" s="13">
        <v>1</v>
      </c>
      <c r="M241" s="16">
        <v>190080</v>
      </c>
      <c r="N241" s="16">
        <f t="shared" si="6"/>
        <v>190080</v>
      </c>
      <c r="O241" s="13" t="s">
        <v>22</v>
      </c>
      <c r="P241" s="2">
        <v>171</v>
      </c>
    </row>
    <row r="242" spans="1:16" x14ac:dyDescent="0.25">
      <c r="A242" s="13" t="s">
        <v>18</v>
      </c>
      <c r="B242" s="14">
        <v>45905</v>
      </c>
      <c r="C242" s="13">
        <f t="shared" si="7"/>
        <v>338</v>
      </c>
      <c r="D242" s="13">
        <v>1</v>
      </c>
      <c r="E242" s="15"/>
      <c r="F242" s="13"/>
      <c r="G242" s="15" t="s">
        <v>296</v>
      </c>
      <c r="H242" s="13" t="s">
        <v>297</v>
      </c>
      <c r="I242" s="13">
        <v>64277</v>
      </c>
      <c r="J242" s="13">
        <v>331</v>
      </c>
      <c r="K242" s="13" t="s">
        <v>21</v>
      </c>
      <c r="L242" s="13">
        <v>1</v>
      </c>
      <c r="M242" s="16">
        <v>394539</v>
      </c>
      <c r="N242" s="16">
        <f t="shared" si="6"/>
        <v>394539</v>
      </c>
      <c r="O242" s="13" t="s">
        <v>22</v>
      </c>
      <c r="P242" s="2">
        <v>172</v>
      </c>
    </row>
    <row r="243" spans="1:16" x14ac:dyDescent="0.25">
      <c r="A243" s="13" t="s">
        <v>18</v>
      </c>
      <c r="B243" s="14">
        <v>45905</v>
      </c>
      <c r="C243" s="13">
        <f t="shared" si="7"/>
        <v>339</v>
      </c>
      <c r="D243" s="13">
        <v>1</v>
      </c>
      <c r="E243" s="15"/>
      <c r="F243" s="13"/>
      <c r="G243" s="15" t="s">
        <v>25</v>
      </c>
      <c r="H243" s="13" t="s">
        <v>298</v>
      </c>
      <c r="I243" s="13">
        <v>64277</v>
      </c>
      <c r="J243" s="13">
        <v>331</v>
      </c>
      <c r="K243" s="13" t="s">
        <v>21</v>
      </c>
      <c r="L243" s="13">
        <v>1</v>
      </c>
      <c r="M243" s="16">
        <v>110000</v>
      </c>
      <c r="N243" s="16">
        <f t="shared" si="6"/>
        <v>110000</v>
      </c>
      <c r="O243" s="13" t="s">
        <v>22</v>
      </c>
      <c r="P243" s="2">
        <v>173</v>
      </c>
    </row>
    <row r="244" spans="1:16" x14ac:dyDescent="0.25">
      <c r="A244" s="13" t="s">
        <v>18</v>
      </c>
      <c r="B244" s="14">
        <v>45905</v>
      </c>
      <c r="C244" s="13">
        <f t="shared" si="7"/>
        <v>340</v>
      </c>
      <c r="D244" s="13">
        <v>1</v>
      </c>
      <c r="E244" s="15"/>
      <c r="F244" s="13"/>
      <c r="G244" s="15" t="s">
        <v>299</v>
      </c>
      <c r="H244" s="13" t="s">
        <v>300</v>
      </c>
      <c r="I244" s="13">
        <v>64277</v>
      </c>
      <c r="J244" s="13">
        <v>331</v>
      </c>
      <c r="K244" s="13" t="s">
        <v>21</v>
      </c>
      <c r="L244" s="13">
        <v>1</v>
      </c>
      <c r="M244" s="16">
        <v>500000</v>
      </c>
      <c r="N244" s="16">
        <f t="shared" si="6"/>
        <v>500000</v>
      </c>
      <c r="O244" s="13" t="s">
        <v>22</v>
      </c>
      <c r="P244" s="2">
        <v>174</v>
      </c>
    </row>
    <row r="245" spans="1:16" x14ac:dyDescent="0.25">
      <c r="A245" s="13" t="s">
        <v>18</v>
      </c>
      <c r="B245" s="14">
        <v>45905</v>
      </c>
      <c r="C245" s="13">
        <f t="shared" si="7"/>
        <v>341</v>
      </c>
      <c r="D245" s="13">
        <v>1</v>
      </c>
      <c r="E245" s="15"/>
      <c r="F245" s="13"/>
      <c r="G245" s="15" t="s">
        <v>25</v>
      </c>
      <c r="H245" s="13" t="s">
        <v>301</v>
      </c>
      <c r="I245" s="13">
        <v>64277</v>
      </c>
      <c r="J245" s="13">
        <v>331</v>
      </c>
      <c r="K245" s="13" t="s">
        <v>21</v>
      </c>
      <c r="L245" s="13">
        <v>1</v>
      </c>
      <c r="M245" s="16">
        <v>275000</v>
      </c>
      <c r="N245" s="16">
        <f t="shared" si="6"/>
        <v>275000</v>
      </c>
      <c r="O245" s="13" t="s">
        <v>22</v>
      </c>
      <c r="P245" s="2">
        <v>175</v>
      </c>
    </row>
    <row r="246" spans="1:16" x14ac:dyDescent="0.25">
      <c r="A246" s="13" t="s">
        <v>18</v>
      </c>
      <c r="B246" s="14">
        <v>45906</v>
      </c>
      <c r="C246" s="13">
        <f t="shared" si="7"/>
        <v>342</v>
      </c>
      <c r="D246" s="13">
        <v>1</v>
      </c>
      <c r="E246" s="15"/>
      <c r="F246" s="13"/>
      <c r="G246" s="15" t="s">
        <v>302</v>
      </c>
      <c r="H246" s="13" t="s">
        <v>303</v>
      </c>
      <c r="I246" s="13">
        <v>64277</v>
      </c>
      <c r="J246" s="13">
        <v>331</v>
      </c>
      <c r="K246" s="13" t="s">
        <v>21</v>
      </c>
      <c r="L246" s="13">
        <v>1</v>
      </c>
      <c r="M246" s="16">
        <v>1179360</v>
      </c>
      <c r="N246" s="16">
        <f t="shared" si="6"/>
        <v>1179360</v>
      </c>
      <c r="O246" s="13" t="s">
        <v>22</v>
      </c>
      <c r="P246" s="2">
        <v>177</v>
      </c>
    </row>
    <row r="247" spans="1:16" x14ac:dyDescent="0.25">
      <c r="A247" s="13" t="s">
        <v>18</v>
      </c>
      <c r="B247" s="14">
        <v>45907</v>
      </c>
      <c r="C247" s="13">
        <f t="shared" si="7"/>
        <v>343</v>
      </c>
      <c r="D247" s="13">
        <v>1</v>
      </c>
      <c r="E247" s="15"/>
      <c r="F247" s="13"/>
      <c r="G247" s="15" t="s">
        <v>19</v>
      </c>
      <c r="H247" s="13" t="s">
        <v>304</v>
      </c>
      <c r="I247" s="13">
        <v>64277</v>
      </c>
      <c r="J247" s="13">
        <v>331</v>
      </c>
      <c r="K247" s="13" t="s">
        <v>21</v>
      </c>
      <c r="L247" s="13">
        <v>1</v>
      </c>
      <c r="M247" s="16">
        <v>117000</v>
      </c>
      <c r="N247" s="16">
        <f t="shared" si="6"/>
        <v>117000</v>
      </c>
      <c r="O247" s="13" t="s">
        <v>22</v>
      </c>
      <c r="P247" s="2">
        <v>178</v>
      </c>
    </row>
    <row r="248" spans="1:16" x14ac:dyDescent="0.25">
      <c r="A248" s="13" t="s">
        <v>18</v>
      </c>
      <c r="B248" s="14">
        <v>45907</v>
      </c>
      <c r="C248" s="13">
        <f t="shared" si="7"/>
        <v>344</v>
      </c>
      <c r="D248" s="13">
        <v>1</v>
      </c>
      <c r="E248" s="15"/>
      <c r="F248" s="13"/>
      <c r="G248" s="15" t="s">
        <v>19</v>
      </c>
      <c r="H248" s="13" t="s">
        <v>305</v>
      </c>
      <c r="I248" s="13">
        <v>64277</v>
      </c>
      <c r="J248" s="13">
        <v>331</v>
      </c>
      <c r="K248" s="13" t="s">
        <v>21</v>
      </c>
      <c r="L248" s="13">
        <v>1</v>
      </c>
      <c r="M248" s="16">
        <v>126000</v>
      </c>
      <c r="N248" s="16">
        <f t="shared" si="6"/>
        <v>126000</v>
      </c>
      <c r="O248" s="13" t="s">
        <v>22</v>
      </c>
      <c r="P248" s="2">
        <v>179</v>
      </c>
    </row>
    <row r="249" spans="1:16" x14ac:dyDescent="0.25">
      <c r="A249" s="13" t="s">
        <v>18</v>
      </c>
      <c r="B249" s="14">
        <v>45908</v>
      </c>
      <c r="C249" s="13">
        <f t="shared" si="7"/>
        <v>345</v>
      </c>
      <c r="D249" s="13">
        <v>1</v>
      </c>
      <c r="E249" s="15"/>
      <c r="F249" s="13"/>
      <c r="G249" s="15" t="s">
        <v>19</v>
      </c>
      <c r="H249" s="13" t="s">
        <v>306</v>
      </c>
      <c r="I249" s="13">
        <v>64277</v>
      </c>
      <c r="J249" s="13">
        <v>331</v>
      </c>
      <c r="K249" s="13" t="s">
        <v>21</v>
      </c>
      <c r="L249" s="13">
        <v>1</v>
      </c>
      <c r="M249" s="16">
        <v>45000</v>
      </c>
      <c r="N249" s="16">
        <f t="shared" si="6"/>
        <v>45000</v>
      </c>
      <c r="O249" s="13" t="s">
        <v>22</v>
      </c>
      <c r="P249" s="2">
        <v>180</v>
      </c>
    </row>
    <row r="250" spans="1:16" x14ac:dyDescent="0.25">
      <c r="A250" s="13" t="s">
        <v>18</v>
      </c>
      <c r="B250" s="14">
        <v>45908</v>
      </c>
      <c r="C250" s="13">
        <f t="shared" si="7"/>
        <v>346</v>
      </c>
      <c r="D250" s="13">
        <v>1</v>
      </c>
      <c r="E250" s="15"/>
      <c r="F250" s="13"/>
      <c r="G250" s="15" t="s">
        <v>25</v>
      </c>
      <c r="H250" s="13" t="s">
        <v>307</v>
      </c>
      <c r="I250" s="13">
        <v>64277</v>
      </c>
      <c r="J250" s="13">
        <v>331</v>
      </c>
      <c r="K250" s="13" t="s">
        <v>21</v>
      </c>
      <c r="L250" s="13">
        <v>1</v>
      </c>
      <c r="M250" s="16">
        <v>110000</v>
      </c>
      <c r="N250" s="16">
        <f t="shared" si="6"/>
        <v>110000</v>
      </c>
      <c r="O250" s="13" t="s">
        <v>22</v>
      </c>
      <c r="P250" s="2">
        <v>181</v>
      </c>
    </row>
    <row r="251" spans="1:16" x14ac:dyDescent="0.25">
      <c r="A251" s="13" t="s">
        <v>18</v>
      </c>
      <c r="B251" s="14">
        <v>45909</v>
      </c>
      <c r="C251" s="13">
        <f t="shared" si="7"/>
        <v>347</v>
      </c>
      <c r="D251" s="13">
        <v>1</v>
      </c>
      <c r="E251" s="15"/>
      <c r="F251" s="13"/>
      <c r="G251" s="15" t="s">
        <v>19</v>
      </c>
      <c r="H251" s="13" t="s">
        <v>308</v>
      </c>
      <c r="I251" s="13">
        <v>64277</v>
      </c>
      <c r="J251" s="13">
        <v>331</v>
      </c>
      <c r="K251" s="13" t="s">
        <v>21</v>
      </c>
      <c r="L251" s="13">
        <v>1</v>
      </c>
      <c r="M251" s="16">
        <v>170000</v>
      </c>
      <c r="N251" s="16">
        <f t="shared" si="6"/>
        <v>170000</v>
      </c>
      <c r="O251" s="13" t="s">
        <v>22</v>
      </c>
      <c r="P251" s="2">
        <v>182</v>
      </c>
    </row>
    <row r="252" spans="1:16" x14ac:dyDescent="0.25">
      <c r="A252" s="13" t="s">
        <v>18</v>
      </c>
      <c r="B252" s="14">
        <v>45909</v>
      </c>
      <c r="C252" s="13">
        <f t="shared" si="7"/>
        <v>348</v>
      </c>
      <c r="D252" s="13">
        <v>1</v>
      </c>
      <c r="E252" s="15"/>
      <c r="F252" s="13"/>
      <c r="G252" s="15" t="s">
        <v>287</v>
      </c>
      <c r="H252" s="13" t="s">
        <v>309</v>
      </c>
      <c r="I252" s="13">
        <v>131</v>
      </c>
      <c r="J252" s="13">
        <v>5113</v>
      </c>
      <c r="K252" s="13" t="s">
        <v>21</v>
      </c>
      <c r="L252" s="13">
        <v>1</v>
      </c>
      <c r="M252" s="16">
        <v>18817205</v>
      </c>
      <c r="N252" s="16">
        <f t="shared" si="6"/>
        <v>18817205</v>
      </c>
      <c r="O252" s="13" t="s">
        <v>22</v>
      </c>
      <c r="P252" s="2">
        <v>263</v>
      </c>
    </row>
    <row r="253" spans="1:16" x14ac:dyDescent="0.25">
      <c r="A253" s="13" t="s">
        <v>18</v>
      </c>
      <c r="B253" s="14">
        <v>45909</v>
      </c>
      <c r="C253" s="13">
        <f t="shared" si="7"/>
        <v>348</v>
      </c>
      <c r="D253" s="13">
        <v>0</v>
      </c>
      <c r="E253" s="15"/>
      <c r="F253" s="13"/>
      <c r="G253" s="15" t="s">
        <v>287</v>
      </c>
      <c r="H253" s="13" t="s">
        <v>310</v>
      </c>
      <c r="I253" s="13">
        <v>5113</v>
      </c>
      <c r="J253" s="13">
        <v>131</v>
      </c>
      <c r="K253" s="13" t="s">
        <v>21</v>
      </c>
      <c r="L253" s="13">
        <v>1</v>
      </c>
      <c r="M253" s="16">
        <v>188172</v>
      </c>
      <c r="N253" s="16">
        <f t="shared" si="6"/>
        <v>188172</v>
      </c>
      <c r="O253" s="13" t="s">
        <v>22</v>
      </c>
      <c r="P253" s="2">
        <v>264</v>
      </c>
    </row>
    <row r="254" spans="1:16" x14ac:dyDescent="0.25">
      <c r="A254" s="13" t="s">
        <v>18</v>
      </c>
      <c r="B254" s="14">
        <v>45910</v>
      </c>
      <c r="C254" s="13">
        <f t="shared" si="7"/>
        <v>349</v>
      </c>
      <c r="D254" s="13">
        <v>1</v>
      </c>
      <c r="E254" s="15"/>
      <c r="F254" s="13"/>
      <c r="G254" s="15" t="s">
        <v>25</v>
      </c>
      <c r="H254" s="13" t="s">
        <v>311</v>
      </c>
      <c r="I254" s="13">
        <v>64277</v>
      </c>
      <c r="J254" s="13">
        <v>331</v>
      </c>
      <c r="K254" s="13" t="s">
        <v>21</v>
      </c>
      <c r="L254" s="13">
        <v>1</v>
      </c>
      <c r="M254" s="16">
        <v>205000</v>
      </c>
      <c r="N254" s="16">
        <f t="shared" si="6"/>
        <v>205000</v>
      </c>
      <c r="O254" s="13" t="s">
        <v>22</v>
      </c>
      <c r="P254" s="2">
        <v>183</v>
      </c>
    </row>
    <row r="255" spans="1:16" x14ac:dyDescent="0.25">
      <c r="A255" s="13" t="s">
        <v>18</v>
      </c>
      <c r="B255" s="14">
        <v>45911</v>
      </c>
      <c r="C255" s="13">
        <f t="shared" si="7"/>
        <v>350</v>
      </c>
      <c r="D255" s="13">
        <v>1</v>
      </c>
      <c r="E255" s="15"/>
      <c r="F255" s="13"/>
      <c r="G255" s="15" t="s">
        <v>25</v>
      </c>
      <c r="H255" s="13" t="s">
        <v>312</v>
      </c>
      <c r="I255" s="13">
        <v>64277</v>
      </c>
      <c r="J255" s="13">
        <v>331</v>
      </c>
      <c r="K255" s="13" t="s">
        <v>21</v>
      </c>
      <c r="L255" s="13">
        <v>1</v>
      </c>
      <c r="M255" s="16">
        <v>140000</v>
      </c>
      <c r="N255" s="16">
        <f t="shared" si="6"/>
        <v>140000</v>
      </c>
      <c r="O255" s="13" t="s">
        <v>22</v>
      </c>
      <c r="P255" s="2">
        <v>184</v>
      </c>
    </row>
    <row r="256" spans="1:16" x14ac:dyDescent="0.25">
      <c r="A256" s="13" t="s">
        <v>33</v>
      </c>
      <c r="B256" s="14">
        <v>45912</v>
      </c>
      <c r="C256" s="13">
        <f t="shared" si="7"/>
        <v>351</v>
      </c>
      <c r="D256" s="13">
        <v>1</v>
      </c>
      <c r="E256" s="15"/>
      <c r="F256" s="13"/>
      <c r="G256" s="15" t="s">
        <v>274</v>
      </c>
      <c r="H256" s="13" t="s">
        <v>313</v>
      </c>
      <c r="I256" s="13">
        <v>112111</v>
      </c>
      <c r="J256" s="13">
        <v>131</v>
      </c>
      <c r="K256" s="13" t="s">
        <v>21</v>
      </c>
      <c r="L256" s="13">
        <v>1</v>
      </c>
      <c r="M256" s="16">
        <v>20756129</v>
      </c>
      <c r="N256" s="16">
        <f t="shared" si="6"/>
        <v>20756129</v>
      </c>
      <c r="O256" s="13" t="s">
        <v>22</v>
      </c>
      <c r="P256" s="2">
        <v>296</v>
      </c>
    </row>
    <row r="257" spans="1:16" x14ac:dyDescent="0.25">
      <c r="A257" s="13" t="s">
        <v>18</v>
      </c>
      <c r="B257" s="14">
        <v>45913</v>
      </c>
      <c r="C257" s="13">
        <f t="shared" si="7"/>
        <v>352</v>
      </c>
      <c r="D257" s="13">
        <v>1</v>
      </c>
      <c r="E257" s="15"/>
      <c r="F257" s="13"/>
      <c r="G257" s="15" t="s">
        <v>19</v>
      </c>
      <c r="H257" s="13" t="s">
        <v>314</v>
      </c>
      <c r="I257" s="13">
        <v>64277</v>
      </c>
      <c r="J257" s="13">
        <v>331</v>
      </c>
      <c r="K257" s="13" t="s">
        <v>21</v>
      </c>
      <c r="L257" s="13">
        <v>1</v>
      </c>
      <c r="M257" s="16">
        <v>212000</v>
      </c>
      <c r="N257" s="16">
        <f t="shared" si="6"/>
        <v>212000</v>
      </c>
      <c r="O257" s="13" t="s">
        <v>22</v>
      </c>
      <c r="P257" s="2">
        <v>185</v>
      </c>
    </row>
    <row r="258" spans="1:16" x14ac:dyDescent="0.25">
      <c r="A258" s="13" t="s">
        <v>18</v>
      </c>
      <c r="B258" s="14">
        <v>45914</v>
      </c>
      <c r="C258" s="13">
        <f t="shared" si="7"/>
        <v>353</v>
      </c>
      <c r="D258" s="13">
        <v>1</v>
      </c>
      <c r="E258" s="15"/>
      <c r="F258" s="13"/>
      <c r="G258" s="15" t="s">
        <v>141</v>
      </c>
      <c r="H258" s="13" t="s">
        <v>315</v>
      </c>
      <c r="I258" s="13">
        <v>64277</v>
      </c>
      <c r="J258" s="13">
        <v>331</v>
      </c>
      <c r="K258" s="13" t="s">
        <v>21</v>
      </c>
      <c r="L258" s="13">
        <v>1</v>
      </c>
      <c r="M258" s="16">
        <v>935000</v>
      </c>
      <c r="N258" s="16">
        <f t="shared" si="6"/>
        <v>935000</v>
      </c>
      <c r="O258" s="13" t="s">
        <v>22</v>
      </c>
      <c r="P258" s="2">
        <v>186</v>
      </c>
    </row>
    <row r="259" spans="1:16" x14ac:dyDescent="0.25">
      <c r="A259" s="13" t="s">
        <v>18</v>
      </c>
      <c r="B259" s="14">
        <v>45915</v>
      </c>
      <c r="C259" s="13">
        <f t="shared" si="7"/>
        <v>354</v>
      </c>
      <c r="D259" s="13">
        <v>1</v>
      </c>
      <c r="E259" s="15"/>
      <c r="F259" s="13"/>
      <c r="G259" s="15" t="s">
        <v>316</v>
      </c>
      <c r="H259" s="13" t="s">
        <v>317</v>
      </c>
      <c r="I259" s="13">
        <v>64277</v>
      </c>
      <c r="J259" s="13">
        <v>331</v>
      </c>
      <c r="K259" s="13" t="s">
        <v>21</v>
      </c>
      <c r="L259" s="13">
        <v>1</v>
      </c>
      <c r="M259" s="16">
        <v>202000</v>
      </c>
      <c r="N259" s="16">
        <f t="shared" si="6"/>
        <v>202000</v>
      </c>
      <c r="O259" s="13" t="s">
        <v>22</v>
      </c>
      <c r="P259" s="2">
        <v>187</v>
      </c>
    </row>
    <row r="260" spans="1:16" x14ac:dyDescent="0.25">
      <c r="A260" s="13" t="s">
        <v>18</v>
      </c>
      <c r="B260" s="14">
        <v>45915</v>
      </c>
      <c r="C260" s="13">
        <f t="shared" si="7"/>
        <v>355</v>
      </c>
      <c r="D260" s="13">
        <v>1</v>
      </c>
      <c r="E260" s="15"/>
      <c r="F260" s="13"/>
      <c r="G260" s="15" t="s">
        <v>318</v>
      </c>
      <c r="H260" s="13" t="s">
        <v>319</v>
      </c>
      <c r="I260" s="13">
        <v>64277</v>
      </c>
      <c r="J260" s="13">
        <v>331</v>
      </c>
      <c r="K260" s="13" t="s">
        <v>21</v>
      </c>
      <c r="L260" s="13">
        <v>1</v>
      </c>
      <c r="M260" s="16">
        <v>239000</v>
      </c>
      <c r="N260" s="16">
        <f t="shared" ref="N260:N304" si="8">M260*L260</f>
        <v>239000</v>
      </c>
      <c r="O260" s="13" t="s">
        <v>22</v>
      </c>
      <c r="P260" s="2">
        <v>188</v>
      </c>
    </row>
    <row r="261" spans="1:16" x14ac:dyDescent="0.25">
      <c r="A261" s="13" t="s">
        <v>18</v>
      </c>
      <c r="B261" s="14">
        <v>45915</v>
      </c>
      <c r="C261" s="13">
        <f t="shared" si="7"/>
        <v>356</v>
      </c>
      <c r="D261" s="13">
        <v>1</v>
      </c>
      <c r="E261" s="15"/>
      <c r="F261" s="13"/>
      <c r="G261" s="15" t="s">
        <v>320</v>
      </c>
      <c r="H261" s="13" t="s">
        <v>321</v>
      </c>
      <c r="I261" s="13">
        <v>64277</v>
      </c>
      <c r="J261" s="13">
        <v>331</v>
      </c>
      <c r="K261" s="13" t="s">
        <v>21</v>
      </c>
      <c r="L261" s="13">
        <v>1</v>
      </c>
      <c r="M261" s="16">
        <v>418000</v>
      </c>
      <c r="N261" s="16">
        <f t="shared" si="8"/>
        <v>418000</v>
      </c>
      <c r="O261" s="13" t="s">
        <v>22</v>
      </c>
      <c r="P261" s="2">
        <v>189</v>
      </c>
    </row>
    <row r="262" spans="1:16" x14ac:dyDescent="0.25">
      <c r="A262" s="13" t="s">
        <v>33</v>
      </c>
      <c r="B262" s="14">
        <v>45915</v>
      </c>
      <c r="C262" s="13">
        <f t="shared" si="7"/>
        <v>357</v>
      </c>
      <c r="D262" s="13">
        <v>1</v>
      </c>
      <c r="E262" s="15"/>
      <c r="F262" s="13"/>
      <c r="G262" s="15" t="s">
        <v>287</v>
      </c>
      <c r="H262" s="13" t="s">
        <v>322</v>
      </c>
      <c r="I262" s="13">
        <v>112111</v>
      </c>
      <c r="J262" s="13">
        <v>131</v>
      </c>
      <c r="K262" s="13" t="s">
        <v>21</v>
      </c>
      <c r="L262" s="13">
        <v>1</v>
      </c>
      <c r="M262" s="16">
        <v>18629033</v>
      </c>
      <c r="N262" s="16">
        <f t="shared" si="8"/>
        <v>18629033</v>
      </c>
      <c r="O262" s="13" t="s">
        <v>22</v>
      </c>
      <c r="P262" s="2">
        <v>297</v>
      </c>
    </row>
    <row r="263" spans="1:16" x14ac:dyDescent="0.25">
      <c r="A263" s="13" t="s">
        <v>18</v>
      </c>
      <c r="B263" s="14">
        <v>45916</v>
      </c>
      <c r="C263" s="13">
        <f t="shared" ref="C263:C304" si="9">C262+D263</f>
        <v>358</v>
      </c>
      <c r="D263" s="13">
        <v>1</v>
      </c>
      <c r="E263" s="15"/>
      <c r="F263" s="13"/>
      <c r="G263" s="15" t="s">
        <v>323</v>
      </c>
      <c r="H263" s="13" t="s">
        <v>324</v>
      </c>
      <c r="I263" s="13">
        <v>64277</v>
      </c>
      <c r="J263" s="13">
        <v>331</v>
      </c>
      <c r="K263" s="13" t="s">
        <v>21</v>
      </c>
      <c r="L263" s="13">
        <v>1</v>
      </c>
      <c r="M263" s="16">
        <v>211000</v>
      </c>
      <c r="N263" s="16">
        <f t="shared" si="8"/>
        <v>211000</v>
      </c>
      <c r="O263" s="13" t="s">
        <v>22</v>
      </c>
      <c r="P263" s="2">
        <v>190</v>
      </c>
    </row>
    <row r="264" spans="1:16" x14ac:dyDescent="0.25">
      <c r="A264" s="13" t="s">
        <v>18</v>
      </c>
      <c r="B264" s="14">
        <v>45916</v>
      </c>
      <c r="C264" s="13">
        <f t="shared" si="9"/>
        <v>359</v>
      </c>
      <c r="D264" s="13">
        <v>1</v>
      </c>
      <c r="E264" s="15"/>
      <c r="F264" s="13"/>
      <c r="G264" s="15" t="s">
        <v>318</v>
      </c>
      <c r="H264" s="13" t="s">
        <v>325</v>
      </c>
      <c r="I264" s="13">
        <v>64277</v>
      </c>
      <c r="J264" s="13">
        <v>331</v>
      </c>
      <c r="K264" s="13" t="s">
        <v>21</v>
      </c>
      <c r="L264" s="13">
        <v>1</v>
      </c>
      <c r="M264" s="16">
        <v>215000</v>
      </c>
      <c r="N264" s="16">
        <f t="shared" si="8"/>
        <v>215000</v>
      </c>
      <c r="O264" s="13" t="s">
        <v>22</v>
      </c>
      <c r="P264" s="2">
        <v>191</v>
      </c>
    </row>
    <row r="265" spans="1:16" x14ac:dyDescent="0.25">
      <c r="A265" s="13" t="s">
        <v>18</v>
      </c>
      <c r="B265" s="14">
        <v>45917</v>
      </c>
      <c r="C265" s="13">
        <f t="shared" si="9"/>
        <v>360</v>
      </c>
      <c r="D265" s="13">
        <v>1</v>
      </c>
      <c r="E265" s="15"/>
      <c r="F265" s="13"/>
      <c r="G265" s="15" t="s">
        <v>19</v>
      </c>
      <c r="H265" s="13" t="s">
        <v>326</v>
      </c>
      <c r="I265" s="13">
        <v>64277</v>
      </c>
      <c r="J265" s="13">
        <v>331</v>
      </c>
      <c r="K265" s="13" t="s">
        <v>21</v>
      </c>
      <c r="L265" s="13">
        <v>1</v>
      </c>
      <c r="M265" s="16">
        <v>230000</v>
      </c>
      <c r="N265" s="16">
        <f t="shared" si="8"/>
        <v>230000</v>
      </c>
      <c r="O265" s="13" t="s">
        <v>22</v>
      </c>
      <c r="P265" s="2">
        <v>192</v>
      </c>
    </row>
    <row r="266" spans="1:16" x14ac:dyDescent="0.25">
      <c r="A266" s="13" t="s">
        <v>18</v>
      </c>
      <c r="B266" s="14">
        <v>45917</v>
      </c>
      <c r="C266" s="13">
        <f t="shared" si="9"/>
        <v>361</v>
      </c>
      <c r="D266" s="13">
        <v>1</v>
      </c>
      <c r="E266" s="15"/>
      <c r="F266" s="13"/>
      <c r="G266" s="15" t="s">
        <v>316</v>
      </c>
      <c r="H266" s="13" t="s">
        <v>327</v>
      </c>
      <c r="I266" s="13">
        <v>64277</v>
      </c>
      <c r="J266" s="13">
        <v>331</v>
      </c>
      <c r="K266" s="13" t="s">
        <v>21</v>
      </c>
      <c r="L266" s="13">
        <v>1</v>
      </c>
      <c r="M266" s="16">
        <v>207000</v>
      </c>
      <c r="N266" s="16">
        <f t="shared" si="8"/>
        <v>207000</v>
      </c>
      <c r="O266" s="13" t="s">
        <v>22</v>
      </c>
      <c r="P266" s="2">
        <v>193</v>
      </c>
    </row>
    <row r="267" spans="1:16" x14ac:dyDescent="0.25">
      <c r="A267" s="13" t="s">
        <v>18</v>
      </c>
      <c r="B267" s="14">
        <v>45917</v>
      </c>
      <c r="C267" s="13">
        <f t="shared" si="9"/>
        <v>362</v>
      </c>
      <c r="D267" s="13">
        <v>1</v>
      </c>
      <c r="E267" s="15"/>
      <c r="F267" s="13"/>
      <c r="G267" s="15" t="s">
        <v>318</v>
      </c>
      <c r="H267" s="13" t="s">
        <v>328</v>
      </c>
      <c r="I267" s="13">
        <v>64277</v>
      </c>
      <c r="J267" s="13">
        <v>331</v>
      </c>
      <c r="K267" s="13" t="s">
        <v>21</v>
      </c>
      <c r="L267" s="13">
        <v>1</v>
      </c>
      <c r="M267" s="16">
        <v>115000</v>
      </c>
      <c r="N267" s="16">
        <f t="shared" si="8"/>
        <v>115000</v>
      </c>
      <c r="O267" s="13" t="s">
        <v>22</v>
      </c>
      <c r="P267" s="2">
        <v>194</v>
      </c>
    </row>
    <row r="268" spans="1:16" x14ac:dyDescent="0.25">
      <c r="A268" s="13" t="s">
        <v>18</v>
      </c>
      <c r="B268" s="14">
        <v>45918</v>
      </c>
      <c r="C268" s="13">
        <f t="shared" si="9"/>
        <v>363</v>
      </c>
      <c r="D268" s="13">
        <v>1</v>
      </c>
      <c r="E268" s="15"/>
      <c r="F268" s="13"/>
      <c r="G268" s="15" t="s">
        <v>19</v>
      </c>
      <c r="H268" s="13" t="s">
        <v>329</v>
      </c>
      <c r="I268" s="13">
        <v>64277</v>
      </c>
      <c r="J268" s="13">
        <v>331</v>
      </c>
      <c r="K268" s="13" t="s">
        <v>21</v>
      </c>
      <c r="L268" s="13">
        <v>1</v>
      </c>
      <c r="M268" s="16">
        <v>138000</v>
      </c>
      <c r="N268" s="16">
        <f t="shared" si="8"/>
        <v>138000</v>
      </c>
      <c r="O268" s="13" t="s">
        <v>22</v>
      </c>
      <c r="P268" s="2">
        <v>195</v>
      </c>
    </row>
    <row r="269" spans="1:16" x14ac:dyDescent="0.25">
      <c r="A269" s="13" t="s">
        <v>18</v>
      </c>
      <c r="B269" s="14">
        <v>45918</v>
      </c>
      <c r="C269" s="13">
        <f t="shared" si="9"/>
        <v>364</v>
      </c>
      <c r="D269" s="13">
        <v>1</v>
      </c>
      <c r="E269" s="15"/>
      <c r="F269" s="13"/>
      <c r="G269" s="15" t="s">
        <v>19</v>
      </c>
      <c r="H269" s="13" t="s">
        <v>330</v>
      </c>
      <c r="I269" s="13">
        <v>64277</v>
      </c>
      <c r="J269" s="13">
        <v>331</v>
      </c>
      <c r="K269" s="13" t="s">
        <v>21</v>
      </c>
      <c r="L269" s="13">
        <v>1</v>
      </c>
      <c r="M269" s="16">
        <v>29000</v>
      </c>
      <c r="N269" s="16">
        <f t="shared" si="8"/>
        <v>29000</v>
      </c>
      <c r="O269" s="13" t="s">
        <v>22</v>
      </c>
      <c r="P269" s="2">
        <v>196</v>
      </c>
    </row>
    <row r="270" spans="1:16" x14ac:dyDescent="0.25">
      <c r="A270" s="13" t="s">
        <v>18</v>
      </c>
      <c r="B270" s="14">
        <v>45918</v>
      </c>
      <c r="C270" s="13">
        <f t="shared" si="9"/>
        <v>365</v>
      </c>
      <c r="D270" s="13">
        <v>1</v>
      </c>
      <c r="E270" s="15"/>
      <c r="F270" s="13"/>
      <c r="G270" s="15" t="s">
        <v>19</v>
      </c>
      <c r="H270" s="13" t="s">
        <v>331</v>
      </c>
      <c r="I270" s="13">
        <v>64277</v>
      </c>
      <c r="J270" s="13">
        <v>331</v>
      </c>
      <c r="K270" s="13" t="s">
        <v>21</v>
      </c>
      <c r="L270" s="13">
        <v>1</v>
      </c>
      <c r="M270" s="16">
        <v>173000</v>
      </c>
      <c r="N270" s="16">
        <f t="shared" si="8"/>
        <v>173000</v>
      </c>
      <c r="O270" s="13" t="s">
        <v>22</v>
      </c>
      <c r="P270" s="2">
        <v>197</v>
      </c>
    </row>
    <row r="271" spans="1:16" x14ac:dyDescent="0.25">
      <c r="A271" s="13" t="s">
        <v>18</v>
      </c>
      <c r="B271" s="14">
        <v>45919</v>
      </c>
      <c r="C271" s="13">
        <f t="shared" si="9"/>
        <v>366</v>
      </c>
      <c r="D271" s="13">
        <v>1</v>
      </c>
      <c r="E271" s="15"/>
      <c r="F271" s="13"/>
      <c r="G271" s="15" t="s">
        <v>19</v>
      </c>
      <c r="H271" s="13" t="s">
        <v>332</v>
      </c>
      <c r="I271" s="13">
        <v>64277</v>
      </c>
      <c r="J271" s="13">
        <v>331</v>
      </c>
      <c r="K271" s="13" t="s">
        <v>21</v>
      </c>
      <c r="L271" s="13">
        <v>1</v>
      </c>
      <c r="M271" s="16">
        <v>92000</v>
      </c>
      <c r="N271" s="16">
        <f t="shared" si="8"/>
        <v>92000</v>
      </c>
      <c r="O271" s="13" t="s">
        <v>22</v>
      </c>
      <c r="P271" s="2">
        <v>198</v>
      </c>
    </row>
    <row r="272" spans="1:16" x14ac:dyDescent="0.25">
      <c r="A272" s="13" t="s">
        <v>18</v>
      </c>
      <c r="B272" s="14">
        <v>45919</v>
      </c>
      <c r="C272" s="13">
        <f t="shared" si="9"/>
        <v>367</v>
      </c>
      <c r="D272" s="13">
        <v>1</v>
      </c>
      <c r="E272" s="15"/>
      <c r="F272" s="13"/>
      <c r="G272" s="15" t="s">
        <v>19</v>
      </c>
      <c r="H272" s="13" t="s">
        <v>333</v>
      </c>
      <c r="I272" s="13">
        <v>64277</v>
      </c>
      <c r="J272" s="13">
        <v>331</v>
      </c>
      <c r="K272" s="13" t="s">
        <v>21</v>
      </c>
      <c r="L272" s="13">
        <v>1</v>
      </c>
      <c r="M272" s="16">
        <v>70000</v>
      </c>
      <c r="N272" s="16">
        <f t="shared" si="8"/>
        <v>70000</v>
      </c>
      <c r="O272" s="13" t="s">
        <v>22</v>
      </c>
      <c r="P272" s="2">
        <v>199</v>
      </c>
    </row>
    <row r="273" spans="1:16" x14ac:dyDescent="0.25">
      <c r="A273" s="13" t="s">
        <v>18</v>
      </c>
      <c r="B273" s="14">
        <v>45919</v>
      </c>
      <c r="C273" s="13">
        <f t="shared" si="9"/>
        <v>368</v>
      </c>
      <c r="D273" s="13">
        <v>1</v>
      </c>
      <c r="E273" s="15"/>
      <c r="F273" s="13"/>
      <c r="G273" s="15" t="s">
        <v>19</v>
      </c>
      <c r="H273" s="13" t="s">
        <v>334</v>
      </c>
      <c r="I273" s="13">
        <v>64277</v>
      </c>
      <c r="J273" s="13">
        <v>331</v>
      </c>
      <c r="K273" s="13" t="s">
        <v>21</v>
      </c>
      <c r="L273" s="13">
        <v>1</v>
      </c>
      <c r="M273" s="16">
        <v>94000</v>
      </c>
      <c r="N273" s="16">
        <f t="shared" si="8"/>
        <v>94000</v>
      </c>
      <c r="O273" s="13" t="s">
        <v>22</v>
      </c>
      <c r="P273" s="2">
        <v>200</v>
      </c>
    </row>
    <row r="274" spans="1:16" x14ac:dyDescent="0.25">
      <c r="A274" s="13" t="s">
        <v>18</v>
      </c>
      <c r="B274" s="14">
        <v>45919</v>
      </c>
      <c r="C274" s="13">
        <f t="shared" si="9"/>
        <v>369</v>
      </c>
      <c r="D274" s="13">
        <v>1</v>
      </c>
      <c r="E274" s="15"/>
      <c r="F274" s="13"/>
      <c r="G274" s="15" t="s">
        <v>335</v>
      </c>
      <c r="H274" s="13" t="s">
        <v>336</v>
      </c>
      <c r="I274" s="13">
        <v>64277</v>
      </c>
      <c r="J274" s="13">
        <v>331</v>
      </c>
      <c r="K274" s="13" t="s">
        <v>21</v>
      </c>
      <c r="L274" s="13">
        <v>1</v>
      </c>
      <c r="M274" s="16">
        <v>907200</v>
      </c>
      <c r="N274" s="16">
        <f t="shared" si="8"/>
        <v>907200</v>
      </c>
      <c r="O274" s="13" t="s">
        <v>22</v>
      </c>
      <c r="P274" s="2">
        <v>201</v>
      </c>
    </row>
    <row r="275" spans="1:16" x14ac:dyDescent="0.25">
      <c r="A275" s="13" t="s">
        <v>18</v>
      </c>
      <c r="B275" s="14">
        <v>45920</v>
      </c>
      <c r="C275" s="13">
        <f t="shared" si="9"/>
        <v>370</v>
      </c>
      <c r="D275" s="13">
        <v>1</v>
      </c>
      <c r="E275" s="15"/>
      <c r="F275" s="13"/>
      <c r="G275" s="15" t="s">
        <v>35</v>
      </c>
      <c r="H275" s="13" t="s">
        <v>337</v>
      </c>
      <c r="I275" s="13">
        <v>64277</v>
      </c>
      <c r="J275" s="13">
        <v>331</v>
      </c>
      <c r="K275" s="13" t="s">
        <v>21</v>
      </c>
      <c r="L275" s="13">
        <v>1</v>
      </c>
      <c r="M275" s="16">
        <v>133000</v>
      </c>
      <c r="N275" s="16">
        <f t="shared" si="8"/>
        <v>133000</v>
      </c>
      <c r="O275" s="13" t="s">
        <v>22</v>
      </c>
      <c r="P275" s="2">
        <v>202</v>
      </c>
    </row>
    <row r="276" spans="1:16" x14ac:dyDescent="0.25">
      <c r="A276" s="13" t="s">
        <v>18</v>
      </c>
      <c r="B276" s="14">
        <v>45920</v>
      </c>
      <c r="C276" s="13">
        <f t="shared" si="9"/>
        <v>371</v>
      </c>
      <c r="D276" s="13">
        <v>1</v>
      </c>
      <c r="E276" s="15"/>
      <c r="F276" s="13"/>
      <c r="G276" s="15" t="s">
        <v>19</v>
      </c>
      <c r="H276" s="13" t="s">
        <v>338</v>
      </c>
      <c r="I276" s="13">
        <v>64277</v>
      </c>
      <c r="J276" s="13">
        <v>331</v>
      </c>
      <c r="K276" s="13" t="s">
        <v>21</v>
      </c>
      <c r="L276" s="13">
        <v>1</v>
      </c>
      <c r="M276" s="16">
        <v>80000</v>
      </c>
      <c r="N276" s="16">
        <f t="shared" si="8"/>
        <v>80000</v>
      </c>
      <c r="O276" s="13" t="s">
        <v>22</v>
      </c>
      <c r="P276" s="2">
        <v>203</v>
      </c>
    </row>
    <row r="277" spans="1:16" x14ac:dyDescent="0.25">
      <c r="A277" s="13" t="s">
        <v>18</v>
      </c>
      <c r="B277" s="14">
        <v>45920</v>
      </c>
      <c r="C277" s="13">
        <f t="shared" si="9"/>
        <v>372</v>
      </c>
      <c r="D277" s="13">
        <v>1</v>
      </c>
      <c r="E277" s="15"/>
      <c r="F277" s="13"/>
      <c r="G277" s="15" t="s">
        <v>19</v>
      </c>
      <c r="H277" s="13" t="s">
        <v>339</v>
      </c>
      <c r="I277" s="13">
        <v>64277</v>
      </c>
      <c r="J277" s="13">
        <v>331</v>
      </c>
      <c r="K277" s="13" t="s">
        <v>21</v>
      </c>
      <c r="L277" s="13">
        <v>1</v>
      </c>
      <c r="M277" s="16">
        <v>36000</v>
      </c>
      <c r="N277" s="16">
        <f t="shared" si="8"/>
        <v>36000</v>
      </c>
      <c r="O277" s="13" t="s">
        <v>22</v>
      </c>
      <c r="P277" s="2">
        <v>204</v>
      </c>
    </row>
    <row r="278" spans="1:16" x14ac:dyDescent="0.25">
      <c r="A278" s="13" t="s">
        <v>18</v>
      </c>
      <c r="B278" s="14">
        <v>45921</v>
      </c>
      <c r="C278" s="13">
        <f t="shared" si="9"/>
        <v>373</v>
      </c>
      <c r="D278" s="13">
        <v>1</v>
      </c>
      <c r="E278" s="15"/>
      <c r="F278" s="13"/>
      <c r="G278" s="15" t="s">
        <v>19</v>
      </c>
      <c r="H278" s="13" t="s">
        <v>340</v>
      </c>
      <c r="I278" s="13">
        <v>64277</v>
      </c>
      <c r="J278" s="13">
        <v>331</v>
      </c>
      <c r="K278" s="13" t="s">
        <v>21</v>
      </c>
      <c r="L278" s="13">
        <v>1</v>
      </c>
      <c r="M278" s="16">
        <v>38000</v>
      </c>
      <c r="N278" s="16">
        <f t="shared" si="8"/>
        <v>38000</v>
      </c>
      <c r="O278" s="13" t="s">
        <v>22</v>
      </c>
      <c r="P278" s="2">
        <v>205</v>
      </c>
    </row>
    <row r="279" spans="1:16" x14ac:dyDescent="0.25">
      <c r="A279" s="13" t="s">
        <v>18</v>
      </c>
      <c r="B279" s="14">
        <v>45921</v>
      </c>
      <c r="C279" s="13">
        <f t="shared" si="9"/>
        <v>374</v>
      </c>
      <c r="D279" s="13">
        <v>1</v>
      </c>
      <c r="E279" s="15"/>
      <c r="F279" s="13"/>
      <c r="G279" s="15" t="s">
        <v>19</v>
      </c>
      <c r="H279" s="13" t="s">
        <v>341</v>
      </c>
      <c r="I279" s="13">
        <v>64277</v>
      </c>
      <c r="J279" s="13">
        <v>331</v>
      </c>
      <c r="K279" s="13" t="s">
        <v>21</v>
      </c>
      <c r="L279" s="13">
        <v>1</v>
      </c>
      <c r="M279" s="16">
        <v>35000</v>
      </c>
      <c r="N279" s="16">
        <f t="shared" si="8"/>
        <v>35000</v>
      </c>
      <c r="O279" s="13" t="s">
        <v>22</v>
      </c>
      <c r="P279" s="2">
        <v>206</v>
      </c>
    </row>
    <row r="280" spans="1:16" x14ac:dyDescent="0.25">
      <c r="A280" s="13" t="s">
        <v>18</v>
      </c>
      <c r="B280" s="14">
        <v>45922</v>
      </c>
      <c r="C280" s="13">
        <f t="shared" si="9"/>
        <v>375</v>
      </c>
      <c r="D280" s="13">
        <v>1</v>
      </c>
      <c r="E280" s="15"/>
      <c r="F280" s="13"/>
      <c r="G280" s="15" t="s">
        <v>342</v>
      </c>
      <c r="H280" s="13" t="s">
        <v>343</v>
      </c>
      <c r="I280" s="13">
        <v>64277</v>
      </c>
      <c r="J280" s="13">
        <v>331</v>
      </c>
      <c r="K280" s="13" t="s">
        <v>21</v>
      </c>
      <c r="L280" s="13">
        <v>1</v>
      </c>
      <c r="M280" s="16">
        <v>1740690</v>
      </c>
      <c r="N280" s="16">
        <f t="shared" si="8"/>
        <v>1740690</v>
      </c>
      <c r="O280" s="13" t="s">
        <v>22</v>
      </c>
      <c r="P280" s="2">
        <v>207</v>
      </c>
    </row>
    <row r="281" spans="1:16" x14ac:dyDescent="0.25">
      <c r="A281" s="13" t="s">
        <v>18</v>
      </c>
      <c r="B281" s="14">
        <v>45922</v>
      </c>
      <c r="C281" s="13">
        <f t="shared" si="9"/>
        <v>376</v>
      </c>
      <c r="D281" s="13">
        <v>1</v>
      </c>
      <c r="E281" s="15"/>
      <c r="F281" s="13"/>
      <c r="G281" s="15" t="s">
        <v>25</v>
      </c>
      <c r="H281" s="13" t="s">
        <v>344</v>
      </c>
      <c r="I281" s="13">
        <v>64277</v>
      </c>
      <c r="J281" s="13">
        <v>331</v>
      </c>
      <c r="K281" s="13" t="s">
        <v>21</v>
      </c>
      <c r="L281" s="13">
        <v>1</v>
      </c>
      <c r="M281" s="16">
        <v>85000</v>
      </c>
      <c r="N281" s="16">
        <f t="shared" si="8"/>
        <v>85000</v>
      </c>
      <c r="O281" s="13" t="s">
        <v>22</v>
      </c>
      <c r="P281" s="2">
        <v>208</v>
      </c>
    </row>
    <row r="282" spans="1:16" x14ac:dyDescent="0.25">
      <c r="A282" s="13" t="s">
        <v>18</v>
      </c>
      <c r="B282" s="14">
        <v>45922</v>
      </c>
      <c r="C282" s="13">
        <f t="shared" si="9"/>
        <v>377</v>
      </c>
      <c r="D282" s="13">
        <v>1</v>
      </c>
      <c r="E282" s="15"/>
      <c r="F282" s="13"/>
      <c r="G282" s="15" t="s">
        <v>25</v>
      </c>
      <c r="H282" s="13" t="s">
        <v>345</v>
      </c>
      <c r="I282" s="13">
        <v>64277</v>
      </c>
      <c r="J282" s="13">
        <v>331</v>
      </c>
      <c r="K282" s="13" t="s">
        <v>21</v>
      </c>
      <c r="L282" s="13">
        <v>1</v>
      </c>
      <c r="M282" s="16">
        <v>75000</v>
      </c>
      <c r="N282" s="16">
        <f t="shared" si="8"/>
        <v>75000</v>
      </c>
      <c r="O282" s="13" t="s">
        <v>22</v>
      </c>
      <c r="P282" s="2">
        <v>209</v>
      </c>
    </row>
    <row r="283" spans="1:16" x14ac:dyDescent="0.25">
      <c r="A283" s="13" t="s">
        <v>18</v>
      </c>
      <c r="B283" s="14">
        <v>45923</v>
      </c>
      <c r="C283" s="13">
        <f t="shared" si="9"/>
        <v>378</v>
      </c>
      <c r="D283" s="13">
        <v>1</v>
      </c>
      <c r="E283" s="15"/>
      <c r="F283" s="13"/>
      <c r="G283" s="15" t="s">
        <v>136</v>
      </c>
      <c r="H283" s="13" t="s">
        <v>346</v>
      </c>
      <c r="I283" s="13">
        <v>64277</v>
      </c>
      <c r="J283" s="13">
        <v>331</v>
      </c>
      <c r="K283" s="13" t="s">
        <v>21</v>
      </c>
      <c r="L283" s="13">
        <v>1</v>
      </c>
      <c r="M283" s="16">
        <v>1214450</v>
      </c>
      <c r="N283" s="16">
        <f t="shared" si="8"/>
        <v>1214450</v>
      </c>
      <c r="O283" s="13" t="s">
        <v>22</v>
      </c>
      <c r="P283" s="2">
        <v>210</v>
      </c>
    </row>
    <row r="284" spans="1:16" x14ac:dyDescent="0.25">
      <c r="A284" s="13" t="s">
        <v>18</v>
      </c>
      <c r="B284" s="14">
        <v>45923</v>
      </c>
      <c r="C284" s="13">
        <f t="shared" si="9"/>
        <v>379</v>
      </c>
      <c r="D284" s="13">
        <v>1</v>
      </c>
      <c r="E284" s="15"/>
      <c r="F284" s="13"/>
      <c r="G284" s="15" t="s">
        <v>25</v>
      </c>
      <c r="H284" s="13" t="s">
        <v>347</v>
      </c>
      <c r="I284" s="13">
        <v>64277</v>
      </c>
      <c r="J284" s="13">
        <v>331</v>
      </c>
      <c r="K284" s="13" t="s">
        <v>21</v>
      </c>
      <c r="L284" s="13">
        <v>1</v>
      </c>
      <c r="M284" s="16">
        <v>180000</v>
      </c>
      <c r="N284" s="16">
        <f t="shared" si="8"/>
        <v>180000</v>
      </c>
      <c r="O284" s="13" t="s">
        <v>22</v>
      </c>
      <c r="P284" s="2">
        <v>211</v>
      </c>
    </row>
    <row r="285" spans="1:16" x14ac:dyDescent="0.25">
      <c r="A285" s="13" t="s">
        <v>18</v>
      </c>
      <c r="B285" s="14">
        <v>45924</v>
      </c>
      <c r="C285" s="13">
        <f t="shared" si="9"/>
        <v>380</v>
      </c>
      <c r="D285" s="13">
        <v>1</v>
      </c>
      <c r="E285" s="15"/>
      <c r="F285" s="13"/>
      <c r="G285" s="15" t="s">
        <v>348</v>
      </c>
      <c r="H285" s="13" t="s">
        <v>349</v>
      </c>
      <c r="I285" s="13">
        <v>64277</v>
      </c>
      <c r="J285" s="13">
        <v>331</v>
      </c>
      <c r="K285" s="13" t="s">
        <v>21</v>
      </c>
      <c r="L285" s="13">
        <v>1</v>
      </c>
      <c r="M285" s="16">
        <v>1031000</v>
      </c>
      <c r="N285" s="16">
        <f t="shared" si="8"/>
        <v>1031000</v>
      </c>
      <c r="O285" s="13" t="s">
        <v>22</v>
      </c>
      <c r="P285" s="2">
        <v>212</v>
      </c>
    </row>
    <row r="286" spans="1:16" x14ac:dyDescent="0.25">
      <c r="A286" s="13" t="s">
        <v>18</v>
      </c>
      <c r="B286" s="14">
        <v>45924</v>
      </c>
      <c r="C286" s="13">
        <f t="shared" si="9"/>
        <v>381</v>
      </c>
      <c r="D286" s="13">
        <v>1</v>
      </c>
      <c r="E286" s="15"/>
      <c r="F286" s="13"/>
      <c r="G286" s="15" t="s">
        <v>350</v>
      </c>
      <c r="H286" s="13" t="s">
        <v>351</v>
      </c>
      <c r="I286" s="13">
        <v>131</v>
      </c>
      <c r="J286" s="13">
        <v>5113</v>
      </c>
      <c r="K286" s="13" t="s">
        <v>21</v>
      </c>
      <c r="L286" s="13">
        <v>1</v>
      </c>
      <c r="M286" s="16">
        <v>19354838</v>
      </c>
      <c r="N286" s="16">
        <f t="shared" si="8"/>
        <v>19354838</v>
      </c>
      <c r="O286" s="13" t="s">
        <v>22</v>
      </c>
      <c r="P286" s="2">
        <v>265</v>
      </c>
    </row>
    <row r="287" spans="1:16" x14ac:dyDescent="0.25">
      <c r="A287" s="13" t="s">
        <v>18</v>
      </c>
      <c r="B287" s="14">
        <v>45924</v>
      </c>
      <c r="C287" s="13">
        <f t="shared" si="9"/>
        <v>381</v>
      </c>
      <c r="D287" s="13">
        <v>0</v>
      </c>
      <c r="E287" s="15"/>
      <c r="F287" s="13"/>
      <c r="G287" s="15" t="s">
        <v>350</v>
      </c>
      <c r="H287" s="13" t="s">
        <v>352</v>
      </c>
      <c r="I287" s="13">
        <v>5113</v>
      </c>
      <c r="J287" s="13">
        <v>131</v>
      </c>
      <c r="K287" s="13" t="s">
        <v>21</v>
      </c>
      <c r="L287" s="13">
        <v>1</v>
      </c>
      <c r="M287" s="16">
        <v>193548</v>
      </c>
      <c r="N287" s="16">
        <f t="shared" si="8"/>
        <v>193548</v>
      </c>
      <c r="O287" s="13" t="s">
        <v>22</v>
      </c>
      <c r="P287" s="2">
        <v>266</v>
      </c>
    </row>
    <row r="288" spans="1:16" x14ac:dyDescent="0.25">
      <c r="A288" s="13" t="s">
        <v>18</v>
      </c>
      <c r="B288" s="14">
        <v>45925</v>
      </c>
      <c r="C288" s="13">
        <f t="shared" si="9"/>
        <v>382</v>
      </c>
      <c r="D288" s="13">
        <v>1</v>
      </c>
      <c r="E288" s="15"/>
      <c r="F288" s="13"/>
      <c r="G288" s="15" t="s">
        <v>353</v>
      </c>
      <c r="H288" s="13" t="s">
        <v>354</v>
      </c>
      <c r="I288" s="13">
        <v>64277</v>
      </c>
      <c r="J288" s="13">
        <v>331</v>
      </c>
      <c r="K288" s="13" t="s">
        <v>21</v>
      </c>
      <c r="L288" s="13">
        <v>1</v>
      </c>
      <c r="M288" s="16">
        <v>1360800</v>
      </c>
      <c r="N288" s="16">
        <f t="shared" si="8"/>
        <v>1360800</v>
      </c>
      <c r="O288" s="13" t="s">
        <v>22</v>
      </c>
      <c r="P288" s="2">
        <v>213</v>
      </c>
    </row>
    <row r="289" spans="1:18" x14ac:dyDescent="0.25">
      <c r="A289" s="13" t="s">
        <v>18</v>
      </c>
      <c r="B289" s="14">
        <v>45926</v>
      </c>
      <c r="C289" s="13">
        <f t="shared" si="9"/>
        <v>383</v>
      </c>
      <c r="D289" s="13">
        <v>1</v>
      </c>
      <c r="E289" s="15"/>
      <c r="F289" s="13"/>
      <c r="G289" s="15" t="s">
        <v>19</v>
      </c>
      <c r="H289" s="13" t="s">
        <v>355</v>
      </c>
      <c r="I289" s="13">
        <v>64277</v>
      </c>
      <c r="J289" s="13">
        <v>331</v>
      </c>
      <c r="K289" s="13" t="s">
        <v>21</v>
      </c>
      <c r="L289" s="13">
        <v>1</v>
      </c>
      <c r="M289" s="16">
        <v>60000</v>
      </c>
      <c r="N289" s="16">
        <f t="shared" si="8"/>
        <v>60000</v>
      </c>
      <c r="O289" s="13" t="s">
        <v>22</v>
      </c>
      <c r="P289" s="2">
        <v>214</v>
      </c>
    </row>
    <row r="290" spans="1:18" x14ac:dyDescent="0.25">
      <c r="A290" s="13" t="s">
        <v>18</v>
      </c>
      <c r="B290" s="14">
        <v>45926</v>
      </c>
      <c r="C290" s="13">
        <f t="shared" si="9"/>
        <v>384</v>
      </c>
      <c r="D290" s="13">
        <v>1</v>
      </c>
      <c r="E290" s="15"/>
      <c r="F290" s="13"/>
      <c r="G290" s="15" t="s">
        <v>19</v>
      </c>
      <c r="H290" s="13" t="s">
        <v>356</v>
      </c>
      <c r="I290" s="13">
        <v>64277</v>
      </c>
      <c r="J290" s="13">
        <v>331</v>
      </c>
      <c r="K290" s="13" t="s">
        <v>21</v>
      </c>
      <c r="L290" s="13">
        <v>1</v>
      </c>
      <c r="M290" s="16">
        <v>103000</v>
      </c>
      <c r="N290" s="16">
        <f t="shared" si="8"/>
        <v>103000</v>
      </c>
      <c r="O290" s="13" t="s">
        <v>22</v>
      </c>
      <c r="P290" s="2">
        <v>215</v>
      </c>
    </row>
    <row r="291" spans="1:18" x14ac:dyDescent="0.25">
      <c r="A291" s="13" t="s">
        <v>18</v>
      </c>
      <c r="B291" s="14">
        <v>45926</v>
      </c>
      <c r="C291" s="13">
        <f t="shared" si="9"/>
        <v>385</v>
      </c>
      <c r="D291" s="13">
        <v>1</v>
      </c>
      <c r="E291" s="15"/>
      <c r="F291" s="13"/>
      <c r="G291" s="15" t="s">
        <v>19</v>
      </c>
      <c r="H291" s="13" t="s">
        <v>357</v>
      </c>
      <c r="I291" s="13">
        <v>64277</v>
      </c>
      <c r="J291" s="13">
        <v>331</v>
      </c>
      <c r="K291" s="13" t="s">
        <v>21</v>
      </c>
      <c r="L291" s="13">
        <v>1</v>
      </c>
      <c r="M291" s="16">
        <v>175000</v>
      </c>
      <c r="N291" s="16">
        <f t="shared" si="8"/>
        <v>175000</v>
      </c>
      <c r="O291" s="13" t="s">
        <v>22</v>
      </c>
      <c r="P291" s="2">
        <v>216</v>
      </c>
    </row>
    <row r="292" spans="1:18" x14ac:dyDescent="0.25">
      <c r="A292" s="13" t="s">
        <v>18</v>
      </c>
      <c r="B292" s="14">
        <v>45926</v>
      </c>
      <c r="C292" s="13">
        <f t="shared" si="9"/>
        <v>386</v>
      </c>
      <c r="D292" s="13">
        <v>1</v>
      </c>
      <c r="E292" s="15"/>
      <c r="F292" s="13"/>
      <c r="G292" s="15" t="s">
        <v>358</v>
      </c>
      <c r="H292" s="13" t="s">
        <v>359</v>
      </c>
      <c r="I292" s="13">
        <v>64277</v>
      </c>
      <c r="J292" s="13">
        <v>331</v>
      </c>
      <c r="K292" s="13" t="s">
        <v>21</v>
      </c>
      <c r="L292" s="13">
        <v>1</v>
      </c>
      <c r="M292" s="16">
        <v>556200</v>
      </c>
      <c r="N292" s="16">
        <f t="shared" si="8"/>
        <v>556200</v>
      </c>
      <c r="O292" s="13" t="s">
        <v>22</v>
      </c>
      <c r="P292" s="2">
        <v>217</v>
      </c>
    </row>
    <row r="293" spans="1:18" x14ac:dyDescent="0.25">
      <c r="A293" s="13" t="s">
        <v>18</v>
      </c>
      <c r="B293" s="14">
        <v>45926</v>
      </c>
      <c r="C293" s="13">
        <f t="shared" si="9"/>
        <v>387</v>
      </c>
      <c r="D293" s="13">
        <v>1</v>
      </c>
      <c r="E293" s="15"/>
      <c r="F293" s="13"/>
      <c r="G293" s="15" t="s">
        <v>25</v>
      </c>
      <c r="H293" s="13" t="s">
        <v>360</v>
      </c>
      <c r="I293" s="13">
        <v>64277</v>
      </c>
      <c r="J293" s="13">
        <v>331</v>
      </c>
      <c r="K293" s="13" t="s">
        <v>21</v>
      </c>
      <c r="L293" s="13">
        <v>1</v>
      </c>
      <c r="M293" s="16">
        <v>182000</v>
      </c>
      <c r="N293" s="16">
        <f t="shared" si="8"/>
        <v>182000</v>
      </c>
      <c r="O293" s="13" t="s">
        <v>22</v>
      </c>
      <c r="P293" s="2">
        <v>218</v>
      </c>
    </row>
    <row r="294" spans="1:18" x14ac:dyDescent="0.25">
      <c r="A294" s="13" t="s">
        <v>33</v>
      </c>
      <c r="B294" s="14">
        <v>45926</v>
      </c>
      <c r="C294" s="13">
        <f t="shared" si="9"/>
        <v>388</v>
      </c>
      <c r="D294" s="13">
        <v>1</v>
      </c>
      <c r="E294" s="15"/>
      <c r="F294" s="13"/>
      <c r="G294" s="15" t="s">
        <v>274</v>
      </c>
      <c r="H294" s="13" t="s">
        <v>313</v>
      </c>
      <c r="I294" s="13">
        <v>112111</v>
      </c>
      <c r="J294" s="13">
        <v>131</v>
      </c>
      <c r="K294" s="13" t="s">
        <v>21</v>
      </c>
      <c r="L294" s="13">
        <v>1</v>
      </c>
      <c r="M294" s="16">
        <v>20760000</v>
      </c>
      <c r="N294" s="16">
        <f t="shared" si="8"/>
        <v>20760000</v>
      </c>
      <c r="O294" s="13" t="s">
        <v>22</v>
      </c>
      <c r="P294" s="2">
        <v>298</v>
      </c>
    </row>
    <row r="295" spans="1:18" x14ac:dyDescent="0.25">
      <c r="A295" s="13" t="s">
        <v>18</v>
      </c>
      <c r="B295" s="14">
        <v>45927</v>
      </c>
      <c r="C295" s="13">
        <f t="shared" si="9"/>
        <v>389</v>
      </c>
      <c r="D295" s="13">
        <v>1</v>
      </c>
      <c r="E295" s="15"/>
      <c r="F295" s="13"/>
      <c r="G295" s="15" t="s">
        <v>92</v>
      </c>
      <c r="H295" s="13" t="s">
        <v>361</v>
      </c>
      <c r="I295" s="13">
        <v>64277</v>
      </c>
      <c r="J295" s="13">
        <v>331</v>
      </c>
      <c r="K295" s="13" t="s">
        <v>21</v>
      </c>
      <c r="L295" s="13">
        <v>1</v>
      </c>
      <c r="M295" s="16">
        <v>1210000</v>
      </c>
      <c r="N295" s="16">
        <f t="shared" si="8"/>
        <v>1210000</v>
      </c>
      <c r="O295" s="13" t="s">
        <v>22</v>
      </c>
      <c r="P295" s="2">
        <v>219</v>
      </c>
      <c r="Q295" s="17"/>
      <c r="R295" s="17"/>
    </row>
    <row r="296" spans="1:18" x14ac:dyDescent="0.25">
      <c r="A296" s="13" t="s">
        <v>18</v>
      </c>
      <c r="B296" s="14">
        <v>45927</v>
      </c>
      <c r="C296" s="13">
        <f t="shared" si="9"/>
        <v>390</v>
      </c>
      <c r="D296" s="13">
        <v>1</v>
      </c>
      <c r="E296" s="15"/>
      <c r="F296" s="13"/>
      <c r="G296" s="15" t="s">
        <v>25</v>
      </c>
      <c r="H296" s="13" t="s">
        <v>362</v>
      </c>
      <c r="I296" s="13">
        <v>64277</v>
      </c>
      <c r="J296" s="13">
        <v>331</v>
      </c>
      <c r="K296" s="13" t="s">
        <v>21</v>
      </c>
      <c r="L296" s="13">
        <v>1</v>
      </c>
      <c r="M296" s="16">
        <v>175000</v>
      </c>
      <c r="N296" s="16">
        <f t="shared" si="8"/>
        <v>175000</v>
      </c>
      <c r="O296" s="13" t="s">
        <v>22</v>
      </c>
      <c r="P296" s="2">
        <v>220</v>
      </c>
    </row>
    <row r="297" spans="1:18" x14ac:dyDescent="0.25">
      <c r="A297" s="13" t="s">
        <v>33</v>
      </c>
      <c r="B297" s="14">
        <v>45927</v>
      </c>
      <c r="C297" s="13">
        <f t="shared" si="9"/>
        <v>391</v>
      </c>
      <c r="D297" s="13">
        <v>1</v>
      </c>
      <c r="E297" s="15"/>
      <c r="F297" s="13"/>
      <c r="G297" s="15" t="s">
        <v>128</v>
      </c>
      <c r="H297" s="13" t="s">
        <v>129</v>
      </c>
      <c r="I297" s="13">
        <v>112111</v>
      </c>
      <c r="J297" s="13">
        <v>5154</v>
      </c>
      <c r="K297" s="13" t="s">
        <v>21</v>
      </c>
      <c r="L297" s="13">
        <v>1</v>
      </c>
      <c r="M297" s="16">
        <v>16532</v>
      </c>
      <c r="N297" s="16">
        <f t="shared" si="8"/>
        <v>16532</v>
      </c>
      <c r="O297" s="13" t="s">
        <v>22</v>
      </c>
      <c r="P297" s="2">
        <v>299</v>
      </c>
    </row>
    <row r="298" spans="1:18" x14ac:dyDescent="0.25">
      <c r="A298" s="13" t="s">
        <v>18</v>
      </c>
      <c r="B298" s="14">
        <v>45929</v>
      </c>
      <c r="C298" s="13">
        <f t="shared" si="9"/>
        <v>392</v>
      </c>
      <c r="D298" s="13">
        <v>1</v>
      </c>
      <c r="E298" s="15"/>
      <c r="F298" s="13"/>
      <c r="G298" s="15" t="s">
        <v>35</v>
      </c>
      <c r="H298" s="13" t="s">
        <v>363</v>
      </c>
      <c r="I298" s="13">
        <v>64277</v>
      </c>
      <c r="J298" s="13">
        <v>331</v>
      </c>
      <c r="K298" s="13" t="s">
        <v>21</v>
      </c>
      <c r="L298" s="13">
        <v>1</v>
      </c>
      <c r="M298" s="16">
        <v>142000</v>
      </c>
      <c r="N298" s="16">
        <f t="shared" si="8"/>
        <v>142000</v>
      </c>
      <c r="O298" s="13" t="s">
        <v>22</v>
      </c>
      <c r="P298" s="2">
        <v>221</v>
      </c>
    </row>
    <row r="299" spans="1:18" x14ac:dyDescent="0.25">
      <c r="A299" s="13" t="s">
        <v>18</v>
      </c>
      <c r="B299" s="14">
        <v>45929</v>
      </c>
      <c r="C299" s="13">
        <f t="shared" si="9"/>
        <v>393</v>
      </c>
      <c r="D299" s="13">
        <v>1</v>
      </c>
      <c r="E299" s="15"/>
      <c r="F299" s="13"/>
      <c r="G299" s="15" t="s">
        <v>19</v>
      </c>
      <c r="H299" s="13" t="s">
        <v>364</v>
      </c>
      <c r="I299" s="13">
        <v>64277</v>
      </c>
      <c r="J299" s="13">
        <v>331</v>
      </c>
      <c r="K299" s="13" t="s">
        <v>21</v>
      </c>
      <c r="L299" s="13">
        <v>1</v>
      </c>
      <c r="M299" s="16">
        <v>170000</v>
      </c>
      <c r="N299" s="16">
        <f t="shared" si="8"/>
        <v>170000</v>
      </c>
      <c r="O299" s="13" t="s">
        <v>22</v>
      </c>
      <c r="P299" s="2">
        <v>222</v>
      </c>
    </row>
    <row r="300" spans="1:18" x14ac:dyDescent="0.25">
      <c r="A300" s="13" t="s">
        <v>33</v>
      </c>
      <c r="B300" s="14">
        <v>45929</v>
      </c>
      <c r="C300" s="13">
        <f t="shared" si="9"/>
        <v>394</v>
      </c>
      <c r="D300" s="13">
        <v>1</v>
      </c>
      <c r="E300" s="15"/>
      <c r="F300" s="13"/>
      <c r="G300" s="15" t="s">
        <v>287</v>
      </c>
      <c r="H300" s="13" t="s">
        <v>291</v>
      </c>
      <c r="I300" s="13">
        <v>112111</v>
      </c>
      <c r="J300" s="13">
        <v>131</v>
      </c>
      <c r="K300" s="13" t="s">
        <v>21</v>
      </c>
      <c r="L300" s="13">
        <v>1</v>
      </c>
      <c r="M300" s="16">
        <v>18629032</v>
      </c>
      <c r="N300" s="16">
        <f t="shared" si="8"/>
        <v>18629032</v>
      </c>
      <c r="O300" s="13" t="s">
        <v>22</v>
      </c>
      <c r="P300" s="2">
        <v>300</v>
      </c>
    </row>
    <row r="301" spans="1:18" x14ac:dyDescent="0.25">
      <c r="A301" s="13" t="s">
        <v>18</v>
      </c>
      <c r="B301" s="14">
        <v>45930</v>
      </c>
      <c r="C301" s="13">
        <f t="shared" si="9"/>
        <v>395</v>
      </c>
      <c r="D301" s="13">
        <v>1</v>
      </c>
      <c r="E301" s="15"/>
      <c r="F301" s="13"/>
      <c r="G301" s="15" t="s">
        <v>158</v>
      </c>
      <c r="H301" s="13" t="s">
        <v>365</v>
      </c>
      <c r="I301" s="13">
        <v>64277</v>
      </c>
      <c r="J301" s="13">
        <v>331</v>
      </c>
      <c r="K301" s="13" t="s">
        <v>21</v>
      </c>
      <c r="L301" s="13">
        <v>1</v>
      </c>
      <c r="M301" s="16">
        <v>3240000</v>
      </c>
      <c r="N301" s="16">
        <f t="shared" si="8"/>
        <v>3240000</v>
      </c>
      <c r="O301" s="13" t="s">
        <v>22</v>
      </c>
      <c r="P301" s="2">
        <v>176</v>
      </c>
    </row>
    <row r="302" spans="1:18" x14ac:dyDescent="0.25">
      <c r="A302" s="13" t="s">
        <v>18</v>
      </c>
      <c r="B302" s="14">
        <v>45930</v>
      </c>
      <c r="C302" s="13">
        <f t="shared" si="9"/>
        <v>396</v>
      </c>
      <c r="D302" s="13">
        <v>1</v>
      </c>
      <c r="E302" s="15"/>
      <c r="F302" s="13"/>
      <c r="G302" s="15" t="s">
        <v>78</v>
      </c>
      <c r="H302" s="13" t="s">
        <v>366</v>
      </c>
      <c r="I302" s="13">
        <v>64277</v>
      </c>
      <c r="J302" s="13">
        <v>331</v>
      </c>
      <c r="K302" s="13" t="s">
        <v>21</v>
      </c>
      <c r="L302" s="13">
        <v>1</v>
      </c>
      <c r="M302" s="16">
        <v>164160</v>
      </c>
      <c r="N302" s="16">
        <f t="shared" si="8"/>
        <v>164160</v>
      </c>
      <c r="O302" s="13" t="s">
        <v>22</v>
      </c>
      <c r="P302" s="2">
        <v>223</v>
      </c>
    </row>
    <row r="303" spans="1:18" x14ac:dyDescent="0.25">
      <c r="A303" s="13" t="s">
        <v>18</v>
      </c>
      <c r="B303" s="14">
        <v>45930</v>
      </c>
      <c r="C303" s="13">
        <f t="shared" si="9"/>
        <v>397</v>
      </c>
      <c r="D303" s="13">
        <v>1</v>
      </c>
      <c r="E303" s="15"/>
      <c r="F303" s="13"/>
      <c r="G303" s="15" t="s">
        <v>146</v>
      </c>
      <c r="H303" s="13" t="s">
        <v>367</v>
      </c>
      <c r="I303" s="13">
        <v>64271</v>
      </c>
      <c r="J303" s="13">
        <v>3383</v>
      </c>
      <c r="K303" s="13" t="s">
        <v>21</v>
      </c>
      <c r="L303" s="13">
        <v>1</v>
      </c>
      <c r="M303" s="16">
        <v>585000</v>
      </c>
      <c r="N303" s="16">
        <f t="shared" si="8"/>
        <v>585000</v>
      </c>
      <c r="O303" s="13" t="s">
        <v>22</v>
      </c>
      <c r="P303" s="2">
        <v>228</v>
      </c>
    </row>
    <row r="304" spans="1:18" x14ac:dyDescent="0.25">
      <c r="A304" s="13" t="s">
        <v>18</v>
      </c>
      <c r="B304" s="14">
        <v>45930</v>
      </c>
      <c r="C304" s="13">
        <f t="shared" si="9"/>
        <v>397</v>
      </c>
      <c r="D304" s="13">
        <v>0</v>
      </c>
      <c r="E304" s="15"/>
      <c r="F304" s="13"/>
      <c r="G304" s="15" t="s">
        <v>146</v>
      </c>
      <c r="H304" s="13" t="s">
        <v>367</v>
      </c>
      <c r="I304" s="13">
        <v>64271</v>
      </c>
      <c r="J304" s="13">
        <v>3384</v>
      </c>
      <c r="K304" s="13" t="s">
        <v>21</v>
      </c>
      <c r="L304" s="13">
        <v>1</v>
      </c>
      <c r="M304" s="16">
        <v>105300</v>
      </c>
      <c r="N304" s="16">
        <f t="shared" si="8"/>
        <v>105300</v>
      </c>
      <c r="O304" s="13" t="s">
        <v>22</v>
      </c>
      <c r="P304" s="2">
        <v>229</v>
      </c>
    </row>
    <row r="305" spans="1:16" x14ac:dyDescent="0.25">
      <c r="A305" s="13" t="s">
        <v>368</v>
      </c>
      <c r="B305" s="14">
        <v>45839</v>
      </c>
      <c r="C305" s="13">
        <f t="shared" ref="C305:C366" si="10">C304+D305</f>
        <v>398</v>
      </c>
      <c r="D305" s="13">
        <v>1</v>
      </c>
      <c r="E305" s="15"/>
      <c r="F305" s="13"/>
      <c r="G305" s="15" t="s">
        <v>19</v>
      </c>
      <c r="H305" s="13" t="s">
        <v>369</v>
      </c>
      <c r="I305" s="13">
        <v>331</v>
      </c>
      <c r="J305" s="13">
        <v>1111</v>
      </c>
      <c r="K305" s="13" t="s">
        <v>21</v>
      </c>
      <c r="L305" s="13">
        <v>1</v>
      </c>
      <c r="M305" s="16">
        <v>22000</v>
      </c>
      <c r="N305" s="16">
        <f t="shared" ref="N305:N368" si="11">M305*L305</f>
        <v>22000</v>
      </c>
      <c r="O305" s="13" t="s">
        <v>22</v>
      </c>
      <c r="P305" s="2">
        <v>301</v>
      </c>
    </row>
    <row r="306" spans="1:16" x14ac:dyDescent="0.25">
      <c r="A306" s="13" t="s">
        <v>368</v>
      </c>
      <c r="B306" s="14">
        <v>45839</v>
      </c>
      <c r="C306" s="13">
        <f t="shared" si="10"/>
        <v>399</v>
      </c>
      <c r="D306" s="13">
        <v>1</v>
      </c>
      <c r="E306" s="15"/>
      <c r="F306" s="13"/>
      <c r="G306" s="15" t="s">
        <v>23</v>
      </c>
      <c r="H306" s="13" t="s">
        <v>370</v>
      </c>
      <c r="I306" s="13">
        <v>331</v>
      </c>
      <c r="J306" s="13">
        <v>1111</v>
      </c>
      <c r="K306" s="13" t="s">
        <v>21</v>
      </c>
      <c r="L306" s="13">
        <v>1</v>
      </c>
      <c r="M306" s="16">
        <v>878040</v>
      </c>
      <c r="N306" s="16">
        <f t="shared" si="11"/>
        <v>878040</v>
      </c>
      <c r="O306" s="13" t="s">
        <v>22</v>
      </c>
      <c r="P306" s="2">
        <v>302</v>
      </c>
    </row>
    <row r="307" spans="1:16" x14ac:dyDescent="0.25">
      <c r="A307" s="13" t="s">
        <v>368</v>
      </c>
      <c r="B307" s="14">
        <v>45839</v>
      </c>
      <c r="C307" s="13">
        <f t="shared" si="10"/>
        <v>400</v>
      </c>
      <c r="D307" s="13">
        <v>1</v>
      </c>
      <c r="E307" s="15"/>
      <c r="F307" s="13"/>
      <c r="G307" s="15" t="s">
        <v>25</v>
      </c>
      <c r="H307" s="13" t="s">
        <v>371</v>
      </c>
      <c r="I307" s="13">
        <v>331</v>
      </c>
      <c r="J307" s="13">
        <v>1111</v>
      </c>
      <c r="K307" s="13" t="s">
        <v>21</v>
      </c>
      <c r="L307" s="13">
        <v>1</v>
      </c>
      <c r="M307" s="16">
        <v>149000</v>
      </c>
      <c r="N307" s="16">
        <f t="shared" si="11"/>
        <v>149000</v>
      </c>
      <c r="O307" s="13" t="s">
        <v>22</v>
      </c>
      <c r="P307" s="2">
        <v>303</v>
      </c>
    </row>
    <row r="308" spans="1:16" x14ac:dyDescent="0.25">
      <c r="A308" s="13" t="s">
        <v>368</v>
      </c>
      <c r="B308" s="14">
        <v>45840</v>
      </c>
      <c r="C308" s="13">
        <f t="shared" si="10"/>
        <v>401</v>
      </c>
      <c r="D308" s="13">
        <v>1</v>
      </c>
      <c r="E308" s="15"/>
      <c r="F308" s="13"/>
      <c r="G308" s="15" t="s">
        <v>19</v>
      </c>
      <c r="H308" s="13" t="s">
        <v>372</v>
      </c>
      <c r="I308" s="13">
        <v>331</v>
      </c>
      <c r="J308" s="13">
        <v>1111</v>
      </c>
      <c r="K308" s="13" t="s">
        <v>21</v>
      </c>
      <c r="L308" s="13">
        <v>1</v>
      </c>
      <c r="M308" s="16">
        <v>17000</v>
      </c>
      <c r="N308" s="16">
        <f t="shared" si="11"/>
        <v>17000</v>
      </c>
      <c r="O308" s="13" t="s">
        <v>22</v>
      </c>
      <c r="P308" s="2">
        <v>304</v>
      </c>
    </row>
    <row r="309" spans="1:16" x14ac:dyDescent="0.25">
      <c r="A309" s="13" t="s">
        <v>368</v>
      </c>
      <c r="B309" s="14">
        <v>45840</v>
      </c>
      <c r="C309" s="13">
        <f t="shared" si="10"/>
        <v>402</v>
      </c>
      <c r="D309" s="13">
        <v>1</v>
      </c>
      <c r="E309" s="15"/>
      <c r="F309" s="13"/>
      <c r="G309" s="15" t="s">
        <v>25</v>
      </c>
      <c r="H309" s="13" t="s">
        <v>373</v>
      </c>
      <c r="I309" s="13">
        <v>331</v>
      </c>
      <c r="J309" s="13">
        <v>1111</v>
      </c>
      <c r="K309" s="13" t="s">
        <v>21</v>
      </c>
      <c r="L309" s="13">
        <v>1</v>
      </c>
      <c r="M309" s="16">
        <v>159000</v>
      </c>
      <c r="N309" s="16">
        <f t="shared" si="11"/>
        <v>159000</v>
      </c>
      <c r="O309" s="13" t="s">
        <v>22</v>
      </c>
      <c r="P309" s="2">
        <v>305</v>
      </c>
    </row>
    <row r="310" spans="1:16" x14ac:dyDescent="0.25">
      <c r="A310" s="13" t="s">
        <v>368</v>
      </c>
      <c r="B310" s="14">
        <v>45841</v>
      </c>
      <c r="C310" s="13">
        <f t="shared" si="10"/>
        <v>403</v>
      </c>
      <c r="D310" s="13">
        <v>1</v>
      </c>
      <c r="E310" s="15"/>
      <c r="F310" s="13"/>
      <c r="G310" s="15" t="s">
        <v>35</v>
      </c>
      <c r="H310" s="13" t="s">
        <v>374</v>
      </c>
      <c r="I310" s="13">
        <v>331</v>
      </c>
      <c r="J310" s="13">
        <v>1111</v>
      </c>
      <c r="K310" s="13" t="s">
        <v>21</v>
      </c>
      <c r="L310" s="13">
        <v>1</v>
      </c>
      <c r="M310" s="16">
        <v>165000</v>
      </c>
      <c r="N310" s="16">
        <f t="shared" si="11"/>
        <v>165000</v>
      </c>
      <c r="O310" s="13" t="s">
        <v>22</v>
      </c>
      <c r="P310" s="2">
        <v>306</v>
      </c>
    </row>
    <row r="311" spans="1:16" x14ac:dyDescent="0.25">
      <c r="A311" s="13" t="s">
        <v>368</v>
      </c>
      <c r="B311" s="14">
        <v>45841</v>
      </c>
      <c r="C311" s="13">
        <f t="shared" si="10"/>
        <v>404</v>
      </c>
      <c r="D311" s="13">
        <v>1</v>
      </c>
      <c r="E311" s="15"/>
      <c r="F311" s="13"/>
      <c r="G311" s="15" t="s">
        <v>19</v>
      </c>
      <c r="H311" s="13" t="s">
        <v>375</v>
      </c>
      <c r="I311" s="13">
        <v>331</v>
      </c>
      <c r="J311" s="13">
        <v>1111</v>
      </c>
      <c r="K311" s="13" t="s">
        <v>21</v>
      </c>
      <c r="L311" s="13">
        <v>1</v>
      </c>
      <c r="M311" s="16">
        <v>168000</v>
      </c>
      <c r="N311" s="16">
        <f t="shared" si="11"/>
        <v>168000</v>
      </c>
      <c r="O311" s="13" t="s">
        <v>22</v>
      </c>
      <c r="P311" s="2">
        <v>307</v>
      </c>
    </row>
    <row r="312" spans="1:16" x14ac:dyDescent="0.25">
      <c r="A312" s="13" t="s">
        <v>368</v>
      </c>
      <c r="B312" s="14">
        <v>45841</v>
      </c>
      <c r="C312" s="13">
        <f t="shared" si="10"/>
        <v>405</v>
      </c>
      <c r="D312" s="13">
        <v>1</v>
      </c>
      <c r="E312" s="15"/>
      <c r="F312" s="13"/>
      <c r="G312" s="15" t="s">
        <v>19</v>
      </c>
      <c r="H312" s="13" t="s">
        <v>376</v>
      </c>
      <c r="I312" s="13">
        <v>331</v>
      </c>
      <c r="J312" s="13">
        <v>1111</v>
      </c>
      <c r="K312" s="13" t="s">
        <v>21</v>
      </c>
      <c r="L312" s="13">
        <v>1</v>
      </c>
      <c r="M312" s="16">
        <v>30000</v>
      </c>
      <c r="N312" s="16">
        <f t="shared" si="11"/>
        <v>30000</v>
      </c>
      <c r="O312" s="13" t="s">
        <v>22</v>
      </c>
      <c r="P312" s="2">
        <v>308</v>
      </c>
    </row>
    <row r="313" spans="1:16" x14ac:dyDescent="0.25">
      <c r="A313" s="13" t="s">
        <v>368</v>
      </c>
      <c r="B313" s="14">
        <v>45842</v>
      </c>
      <c r="C313" s="13">
        <f t="shared" si="10"/>
        <v>406</v>
      </c>
      <c r="D313" s="13">
        <v>1</v>
      </c>
      <c r="E313" s="15"/>
      <c r="F313" s="13"/>
      <c r="G313" s="15" t="s">
        <v>19</v>
      </c>
      <c r="H313" s="13" t="s">
        <v>377</v>
      </c>
      <c r="I313" s="13">
        <v>331</v>
      </c>
      <c r="J313" s="13">
        <v>1111</v>
      </c>
      <c r="K313" s="13" t="s">
        <v>21</v>
      </c>
      <c r="L313" s="13">
        <v>1</v>
      </c>
      <c r="M313" s="16">
        <v>42000</v>
      </c>
      <c r="N313" s="16">
        <f t="shared" si="11"/>
        <v>42000</v>
      </c>
      <c r="O313" s="13" t="s">
        <v>22</v>
      </c>
      <c r="P313" s="2">
        <v>309</v>
      </c>
    </row>
    <row r="314" spans="1:16" x14ac:dyDescent="0.25">
      <c r="A314" s="13" t="s">
        <v>368</v>
      </c>
      <c r="B314" s="14">
        <v>45842</v>
      </c>
      <c r="C314" s="13">
        <f t="shared" si="10"/>
        <v>407</v>
      </c>
      <c r="D314" s="13">
        <v>1</v>
      </c>
      <c r="E314" s="15"/>
      <c r="F314" s="13"/>
      <c r="G314" s="15" t="s">
        <v>25</v>
      </c>
      <c r="H314" s="13" t="s">
        <v>378</v>
      </c>
      <c r="I314" s="13">
        <v>331</v>
      </c>
      <c r="J314" s="13">
        <v>1111</v>
      </c>
      <c r="K314" s="13" t="s">
        <v>21</v>
      </c>
      <c r="L314" s="13">
        <v>1</v>
      </c>
      <c r="M314" s="16">
        <v>219000</v>
      </c>
      <c r="N314" s="16">
        <f t="shared" si="11"/>
        <v>219000</v>
      </c>
      <c r="O314" s="13" t="s">
        <v>22</v>
      </c>
      <c r="P314" s="2">
        <v>310</v>
      </c>
    </row>
    <row r="315" spans="1:16" x14ac:dyDescent="0.25">
      <c r="A315" s="13" t="s">
        <v>368</v>
      </c>
      <c r="B315" s="14">
        <v>45844</v>
      </c>
      <c r="C315" s="13">
        <f t="shared" si="10"/>
        <v>408</v>
      </c>
      <c r="D315" s="13">
        <v>1</v>
      </c>
      <c r="E315" s="15"/>
      <c r="F315" s="13"/>
      <c r="G315" s="15" t="s">
        <v>35</v>
      </c>
      <c r="H315" s="13" t="s">
        <v>379</v>
      </c>
      <c r="I315" s="13">
        <v>331</v>
      </c>
      <c r="J315" s="13">
        <v>1111</v>
      </c>
      <c r="K315" s="13" t="s">
        <v>21</v>
      </c>
      <c r="L315" s="13">
        <v>1</v>
      </c>
      <c r="M315" s="16">
        <v>106000</v>
      </c>
      <c r="N315" s="16">
        <f t="shared" si="11"/>
        <v>106000</v>
      </c>
      <c r="O315" s="13" t="s">
        <v>22</v>
      </c>
      <c r="P315" s="2">
        <v>311</v>
      </c>
    </row>
    <row r="316" spans="1:16" x14ac:dyDescent="0.25">
      <c r="A316" s="13" t="s">
        <v>368</v>
      </c>
      <c r="B316" s="14">
        <v>45844</v>
      </c>
      <c r="C316" s="13">
        <f t="shared" si="10"/>
        <v>409</v>
      </c>
      <c r="D316" s="13">
        <v>1</v>
      </c>
      <c r="E316" s="15"/>
      <c r="F316" s="13"/>
      <c r="G316" s="15" t="s">
        <v>19</v>
      </c>
      <c r="H316" s="13" t="s">
        <v>380</v>
      </c>
      <c r="I316" s="13">
        <v>331</v>
      </c>
      <c r="J316" s="13">
        <v>1111</v>
      </c>
      <c r="K316" s="13" t="s">
        <v>21</v>
      </c>
      <c r="L316" s="13">
        <v>1</v>
      </c>
      <c r="M316" s="16">
        <v>41000</v>
      </c>
      <c r="N316" s="16">
        <f t="shared" si="11"/>
        <v>41000</v>
      </c>
      <c r="O316" s="13" t="s">
        <v>22</v>
      </c>
      <c r="P316" s="2">
        <v>312</v>
      </c>
    </row>
    <row r="317" spans="1:16" x14ac:dyDescent="0.25">
      <c r="A317" s="13" t="s">
        <v>368</v>
      </c>
      <c r="B317" s="14">
        <v>45844</v>
      </c>
      <c r="C317" s="13">
        <f t="shared" si="10"/>
        <v>410</v>
      </c>
      <c r="D317" s="13">
        <v>1</v>
      </c>
      <c r="E317" s="15"/>
      <c r="F317" s="13"/>
      <c r="G317" s="15" t="s">
        <v>19</v>
      </c>
      <c r="H317" s="13" t="s">
        <v>381</v>
      </c>
      <c r="I317" s="13">
        <v>331</v>
      </c>
      <c r="J317" s="13">
        <v>1111</v>
      </c>
      <c r="K317" s="13" t="s">
        <v>21</v>
      </c>
      <c r="L317" s="13">
        <v>1</v>
      </c>
      <c r="M317" s="16">
        <v>95000</v>
      </c>
      <c r="N317" s="16">
        <f t="shared" si="11"/>
        <v>95000</v>
      </c>
      <c r="O317" s="13" t="s">
        <v>22</v>
      </c>
      <c r="P317" s="2">
        <v>313</v>
      </c>
    </row>
    <row r="318" spans="1:16" x14ac:dyDescent="0.25">
      <c r="A318" s="13" t="s">
        <v>368</v>
      </c>
      <c r="B318" s="14">
        <v>45844</v>
      </c>
      <c r="C318" s="13">
        <f t="shared" si="10"/>
        <v>411</v>
      </c>
      <c r="D318" s="13">
        <v>1</v>
      </c>
      <c r="E318" s="15"/>
      <c r="F318" s="13"/>
      <c r="G318" s="15" t="s">
        <v>19</v>
      </c>
      <c r="H318" s="13" t="s">
        <v>382</v>
      </c>
      <c r="I318" s="13">
        <v>331</v>
      </c>
      <c r="J318" s="13">
        <v>1111</v>
      </c>
      <c r="K318" s="13" t="s">
        <v>21</v>
      </c>
      <c r="L318" s="13">
        <v>1</v>
      </c>
      <c r="M318" s="16">
        <v>181000</v>
      </c>
      <c r="N318" s="16">
        <f t="shared" si="11"/>
        <v>181000</v>
      </c>
      <c r="O318" s="13" t="s">
        <v>22</v>
      </c>
      <c r="P318" s="2">
        <v>314</v>
      </c>
    </row>
    <row r="319" spans="1:16" x14ac:dyDescent="0.25">
      <c r="A319" s="13" t="s">
        <v>368</v>
      </c>
      <c r="B319" s="14">
        <v>45844</v>
      </c>
      <c r="C319" s="13">
        <f t="shared" si="10"/>
        <v>412</v>
      </c>
      <c r="D319" s="13">
        <v>1</v>
      </c>
      <c r="E319" s="15"/>
      <c r="F319" s="13"/>
      <c r="G319" s="15" t="s">
        <v>25</v>
      </c>
      <c r="H319" s="13" t="s">
        <v>383</v>
      </c>
      <c r="I319" s="13">
        <v>331</v>
      </c>
      <c r="J319" s="13">
        <v>1111</v>
      </c>
      <c r="K319" s="13" t="s">
        <v>21</v>
      </c>
      <c r="L319" s="13">
        <v>1</v>
      </c>
      <c r="M319" s="16">
        <v>15000</v>
      </c>
      <c r="N319" s="16">
        <f t="shared" si="11"/>
        <v>15000</v>
      </c>
      <c r="O319" s="13" t="s">
        <v>22</v>
      </c>
      <c r="P319" s="2">
        <v>315</v>
      </c>
    </row>
    <row r="320" spans="1:16" x14ac:dyDescent="0.25">
      <c r="A320" s="13" t="s">
        <v>368</v>
      </c>
      <c r="B320" s="14">
        <v>45844</v>
      </c>
      <c r="C320" s="13">
        <f t="shared" si="10"/>
        <v>413</v>
      </c>
      <c r="D320" s="13">
        <v>1</v>
      </c>
      <c r="E320" s="15"/>
      <c r="F320" s="13"/>
      <c r="G320" s="15" t="s">
        <v>46</v>
      </c>
      <c r="H320" s="13" t="s">
        <v>384</v>
      </c>
      <c r="I320" s="13">
        <v>331</v>
      </c>
      <c r="J320" s="13">
        <v>1111</v>
      </c>
      <c r="K320" s="13" t="s">
        <v>21</v>
      </c>
      <c r="L320" s="13">
        <v>1</v>
      </c>
      <c r="M320" s="16">
        <v>1306800</v>
      </c>
      <c r="N320" s="16">
        <f t="shared" si="11"/>
        <v>1306800</v>
      </c>
      <c r="O320" s="13" t="s">
        <v>22</v>
      </c>
      <c r="P320" s="2">
        <v>316</v>
      </c>
    </row>
    <row r="321" spans="1:16" x14ac:dyDescent="0.25">
      <c r="A321" s="13" t="s">
        <v>368</v>
      </c>
      <c r="B321" s="14">
        <v>45845</v>
      </c>
      <c r="C321" s="13">
        <f t="shared" si="10"/>
        <v>414</v>
      </c>
      <c r="D321" s="13">
        <v>1</v>
      </c>
      <c r="E321" s="15"/>
      <c r="F321" s="13"/>
      <c r="G321" s="15" t="s">
        <v>19</v>
      </c>
      <c r="H321" s="13" t="s">
        <v>385</v>
      </c>
      <c r="I321" s="13">
        <v>331</v>
      </c>
      <c r="J321" s="13">
        <v>1111</v>
      </c>
      <c r="K321" s="13" t="s">
        <v>21</v>
      </c>
      <c r="L321" s="13">
        <v>1</v>
      </c>
      <c r="M321" s="16">
        <v>20000</v>
      </c>
      <c r="N321" s="16">
        <f t="shared" si="11"/>
        <v>20000</v>
      </c>
      <c r="O321" s="13" t="s">
        <v>22</v>
      </c>
      <c r="P321" s="2">
        <v>317</v>
      </c>
    </row>
    <row r="322" spans="1:16" x14ac:dyDescent="0.25">
      <c r="A322" s="13" t="s">
        <v>368</v>
      </c>
      <c r="B322" s="14">
        <v>45845</v>
      </c>
      <c r="C322" s="13">
        <f t="shared" si="10"/>
        <v>415</v>
      </c>
      <c r="D322" s="13">
        <v>1</v>
      </c>
      <c r="E322" s="15"/>
      <c r="F322" s="13"/>
      <c r="G322" s="15" t="s">
        <v>19</v>
      </c>
      <c r="H322" s="13" t="s">
        <v>386</v>
      </c>
      <c r="I322" s="13">
        <v>331</v>
      </c>
      <c r="J322" s="13">
        <v>1111</v>
      </c>
      <c r="K322" s="13" t="s">
        <v>21</v>
      </c>
      <c r="L322" s="13">
        <v>1</v>
      </c>
      <c r="M322" s="16">
        <v>29000</v>
      </c>
      <c r="N322" s="16">
        <f t="shared" si="11"/>
        <v>29000</v>
      </c>
      <c r="O322" s="13" t="s">
        <v>22</v>
      </c>
      <c r="P322" s="2">
        <v>318</v>
      </c>
    </row>
    <row r="323" spans="1:16" x14ac:dyDescent="0.25">
      <c r="A323" s="13" t="s">
        <v>368</v>
      </c>
      <c r="B323" s="14">
        <v>45845</v>
      </c>
      <c r="C323" s="13">
        <f t="shared" si="10"/>
        <v>416</v>
      </c>
      <c r="D323" s="13">
        <v>1</v>
      </c>
      <c r="E323" s="15"/>
      <c r="F323" s="13"/>
      <c r="G323" s="15" t="s">
        <v>19</v>
      </c>
      <c r="H323" s="13" t="s">
        <v>387</v>
      </c>
      <c r="I323" s="13">
        <v>331</v>
      </c>
      <c r="J323" s="13">
        <v>1111</v>
      </c>
      <c r="K323" s="13" t="s">
        <v>21</v>
      </c>
      <c r="L323" s="13">
        <v>1</v>
      </c>
      <c r="M323" s="16">
        <v>29000</v>
      </c>
      <c r="N323" s="16">
        <f t="shared" si="11"/>
        <v>29000</v>
      </c>
      <c r="O323" s="13" t="s">
        <v>22</v>
      </c>
      <c r="P323" s="2">
        <v>319</v>
      </c>
    </row>
    <row r="324" spans="1:16" x14ac:dyDescent="0.25">
      <c r="A324" s="13" t="s">
        <v>368</v>
      </c>
      <c r="B324" s="14">
        <v>45845</v>
      </c>
      <c r="C324" s="13">
        <f t="shared" si="10"/>
        <v>417</v>
      </c>
      <c r="D324" s="13">
        <v>1</v>
      </c>
      <c r="E324" s="15"/>
      <c r="F324" s="13"/>
      <c r="G324" s="15" t="s">
        <v>25</v>
      </c>
      <c r="H324" s="13" t="s">
        <v>388</v>
      </c>
      <c r="I324" s="13">
        <v>331</v>
      </c>
      <c r="J324" s="13">
        <v>1111</v>
      </c>
      <c r="K324" s="13" t="s">
        <v>21</v>
      </c>
      <c r="L324" s="13">
        <v>1</v>
      </c>
      <c r="M324" s="16">
        <v>134000</v>
      </c>
      <c r="N324" s="16">
        <f t="shared" si="11"/>
        <v>134000</v>
      </c>
      <c r="O324" s="13" t="s">
        <v>22</v>
      </c>
      <c r="P324" s="2">
        <v>320</v>
      </c>
    </row>
    <row r="325" spans="1:16" x14ac:dyDescent="0.25">
      <c r="A325" s="13" t="s">
        <v>368</v>
      </c>
      <c r="B325" s="14">
        <v>45845</v>
      </c>
      <c r="C325" s="13">
        <f t="shared" si="10"/>
        <v>418</v>
      </c>
      <c r="D325" s="13">
        <v>1</v>
      </c>
      <c r="E325" s="15"/>
      <c r="F325" s="13"/>
      <c r="G325" s="15" t="s">
        <v>52</v>
      </c>
      <c r="H325" s="13" t="s">
        <v>389</v>
      </c>
      <c r="I325" s="13">
        <v>331</v>
      </c>
      <c r="J325" s="13">
        <v>1111</v>
      </c>
      <c r="K325" s="13" t="s">
        <v>21</v>
      </c>
      <c r="L325" s="13">
        <v>1</v>
      </c>
      <c r="M325" s="16">
        <v>1248955</v>
      </c>
      <c r="N325" s="16">
        <f t="shared" si="11"/>
        <v>1248955</v>
      </c>
      <c r="O325" s="13" t="s">
        <v>22</v>
      </c>
      <c r="P325" s="2">
        <v>321</v>
      </c>
    </row>
    <row r="326" spans="1:16" x14ac:dyDescent="0.25">
      <c r="A326" s="13" t="s">
        <v>368</v>
      </c>
      <c r="B326" s="14">
        <v>45846</v>
      </c>
      <c r="C326" s="13">
        <f t="shared" si="10"/>
        <v>419</v>
      </c>
      <c r="D326" s="13">
        <v>1</v>
      </c>
      <c r="E326" s="15"/>
      <c r="F326" s="13"/>
      <c r="G326" s="15" t="s">
        <v>25</v>
      </c>
      <c r="H326" s="13" t="s">
        <v>390</v>
      </c>
      <c r="I326" s="13">
        <v>331</v>
      </c>
      <c r="J326" s="13">
        <v>1111</v>
      </c>
      <c r="K326" s="13" t="s">
        <v>21</v>
      </c>
      <c r="L326" s="13">
        <v>1</v>
      </c>
      <c r="M326" s="16">
        <v>149000</v>
      </c>
      <c r="N326" s="16">
        <f t="shared" si="11"/>
        <v>149000</v>
      </c>
      <c r="O326" s="13" t="s">
        <v>22</v>
      </c>
      <c r="P326" s="2">
        <v>322</v>
      </c>
    </row>
    <row r="327" spans="1:16" x14ac:dyDescent="0.25">
      <c r="A327" s="13" t="s">
        <v>368</v>
      </c>
      <c r="B327" s="14">
        <v>45847</v>
      </c>
      <c r="C327" s="13">
        <f t="shared" si="10"/>
        <v>420</v>
      </c>
      <c r="D327" s="13">
        <v>1</v>
      </c>
      <c r="E327" s="15"/>
      <c r="F327" s="13"/>
      <c r="G327" s="15" t="s">
        <v>19</v>
      </c>
      <c r="H327" s="13" t="s">
        <v>391</v>
      </c>
      <c r="I327" s="13">
        <v>331</v>
      </c>
      <c r="J327" s="13">
        <v>1111</v>
      </c>
      <c r="K327" s="13" t="s">
        <v>21</v>
      </c>
      <c r="L327" s="13">
        <v>1</v>
      </c>
      <c r="M327" s="16">
        <v>109000</v>
      </c>
      <c r="N327" s="16">
        <f t="shared" si="11"/>
        <v>109000</v>
      </c>
      <c r="O327" s="13" t="s">
        <v>22</v>
      </c>
      <c r="P327" s="2">
        <v>323</v>
      </c>
    </row>
    <row r="328" spans="1:16" x14ac:dyDescent="0.25">
      <c r="A328" s="13" t="s">
        <v>368</v>
      </c>
      <c r="B328" s="14">
        <v>45847</v>
      </c>
      <c r="C328" s="13">
        <f t="shared" si="10"/>
        <v>421</v>
      </c>
      <c r="D328" s="13">
        <v>1</v>
      </c>
      <c r="E328" s="15"/>
      <c r="F328" s="13"/>
      <c r="G328" s="15" t="s">
        <v>19</v>
      </c>
      <c r="H328" s="13" t="s">
        <v>392</v>
      </c>
      <c r="I328" s="13">
        <v>331</v>
      </c>
      <c r="J328" s="13">
        <v>1111</v>
      </c>
      <c r="K328" s="13" t="s">
        <v>21</v>
      </c>
      <c r="L328" s="13">
        <v>1</v>
      </c>
      <c r="M328" s="16">
        <v>35000</v>
      </c>
      <c r="N328" s="16">
        <f t="shared" si="11"/>
        <v>35000</v>
      </c>
      <c r="O328" s="13" t="s">
        <v>22</v>
      </c>
      <c r="P328" s="2">
        <v>324</v>
      </c>
    </row>
    <row r="329" spans="1:16" x14ac:dyDescent="0.25">
      <c r="A329" s="13" t="s">
        <v>368</v>
      </c>
      <c r="B329" s="14">
        <v>45847</v>
      </c>
      <c r="C329" s="13">
        <f t="shared" si="10"/>
        <v>422</v>
      </c>
      <c r="D329" s="13">
        <v>1</v>
      </c>
      <c r="E329" s="15"/>
      <c r="F329" s="13"/>
      <c r="G329" s="15" t="s">
        <v>19</v>
      </c>
      <c r="H329" s="13" t="s">
        <v>393</v>
      </c>
      <c r="I329" s="13">
        <v>331</v>
      </c>
      <c r="J329" s="13">
        <v>1111</v>
      </c>
      <c r="K329" s="13" t="s">
        <v>21</v>
      </c>
      <c r="L329" s="13">
        <v>1</v>
      </c>
      <c r="M329" s="16">
        <v>108000</v>
      </c>
      <c r="N329" s="16">
        <f t="shared" si="11"/>
        <v>108000</v>
      </c>
      <c r="O329" s="13" t="s">
        <v>22</v>
      </c>
      <c r="P329" s="2">
        <v>325</v>
      </c>
    </row>
    <row r="330" spans="1:16" x14ac:dyDescent="0.25">
      <c r="A330" s="13" t="s">
        <v>368</v>
      </c>
      <c r="B330" s="14">
        <v>45847</v>
      </c>
      <c r="C330" s="13">
        <f t="shared" si="10"/>
        <v>423</v>
      </c>
      <c r="D330" s="13">
        <v>1</v>
      </c>
      <c r="E330" s="15"/>
      <c r="F330" s="13"/>
      <c r="G330" s="15" t="s">
        <v>19</v>
      </c>
      <c r="H330" s="13" t="s">
        <v>394</v>
      </c>
      <c r="I330" s="13">
        <v>331</v>
      </c>
      <c r="J330" s="13">
        <v>1111</v>
      </c>
      <c r="K330" s="13" t="s">
        <v>21</v>
      </c>
      <c r="L330" s="13">
        <v>1</v>
      </c>
      <c r="M330" s="16">
        <v>128000</v>
      </c>
      <c r="N330" s="16">
        <f t="shared" si="11"/>
        <v>128000</v>
      </c>
      <c r="O330" s="13" t="s">
        <v>22</v>
      </c>
      <c r="P330" s="2">
        <v>326</v>
      </c>
    </row>
    <row r="331" spans="1:16" x14ac:dyDescent="0.25">
      <c r="A331" s="13" t="s">
        <v>368</v>
      </c>
      <c r="B331" s="14">
        <v>45847</v>
      </c>
      <c r="C331" s="13">
        <f t="shared" si="10"/>
        <v>424</v>
      </c>
      <c r="D331" s="13">
        <v>1</v>
      </c>
      <c r="E331" s="15"/>
      <c r="F331" s="13"/>
      <c r="G331" s="15" t="s">
        <v>19</v>
      </c>
      <c r="H331" s="13" t="s">
        <v>395</v>
      </c>
      <c r="I331" s="13">
        <v>331</v>
      </c>
      <c r="J331" s="13">
        <v>1111</v>
      </c>
      <c r="K331" s="13" t="s">
        <v>21</v>
      </c>
      <c r="L331" s="13">
        <v>1</v>
      </c>
      <c r="M331" s="16">
        <v>114000</v>
      </c>
      <c r="N331" s="16">
        <f t="shared" si="11"/>
        <v>114000</v>
      </c>
      <c r="O331" s="13" t="s">
        <v>22</v>
      </c>
      <c r="P331" s="2">
        <v>327</v>
      </c>
    </row>
    <row r="332" spans="1:16" x14ac:dyDescent="0.25">
      <c r="A332" s="13" t="s">
        <v>368</v>
      </c>
      <c r="B332" s="14">
        <v>45847</v>
      </c>
      <c r="C332" s="13">
        <f t="shared" si="10"/>
        <v>425</v>
      </c>
      <c r="D332" s="13">
        <v>1</v>
      </c>
      <c r="E332" s="15"/>
      <c r="F332" s="13"/>
      <c r="G332" s="15" t="s">
        <v>25</v>
      </c>
      <c r="H332" s="13" t="s">
        <v>396</v>
      </c>
      <c r="I332" s="13">
        <v>331</v>
      </c>
      <c r="J332" s="13">
        <v>1111</v>
      </c>
      <c r="K332" s="13" t="s">
        <v>21</v>
      </c>
      <c r="L332" s="13">
        <v>1</v>
      </c>
      <c r="M332" s="16">
        <v>194000</v>
      </c>
      <c r="N332" s="16">
        <f t="shared" si="11"/>
        <v>194000</v>
      </c>
      <c r="O332" s="13" t="s">
        <v>22</v>
      </c>
      <c r="P332" s="2">
        <v>328</v>
      </c>
    </row>
    <row r="333" spans="1:16" x14ac:dyDescent="0.25">
      <c r="A333" s="13" t="s">
        <v>368</v>
      </c>
      <c r="B333" s="14">
        <v>45848</v>
      </c>
      <c r="C333" s="13">
        <f t="shared" si="10"/>
        <v>426</v>
      </c>
      <c r="D333" s="13">
        <v>1</v>
      </c>
      <c r="E333" s="15"/>
      <c r="F333" s="13"/>
      <c r="G333" s="15" t="s">
        <v>25</v>
      </c>
      <c r="H333" s="13" t="s">
        <v>397</v>
      </c>
      <c r="I333" s="13">
        <v>331</v>
      </c>
      <c r="J333" s="13">
        <v>1111</v>
      </c>
      <c r="K333" s="13" t="s">
        <v>21</v>
      </c>
      <c r="L333" s="13">
        <v>1</v>
      </c>
      <c r="M333" s="16">
        <v>154000</v>
      </c>
      <c r="N333" s="16">
        <f t="shared" si="11"/>
        <v>154000</v>
      </c>
      <c r="O333" s="13" t="s">
        <v>22</v>
      </c>
      <c r="P333" s="2">
        <v>329</v>
      </c>
    </row>
    <row r="334" spans="1:16" x14ac:dyDescent="0.25">
      <c r="A334" s="13" t="s">
        <v>368</v>
      </c>
      <c r="B334" s="14">
        <v>45849</v>
      </c>
      <c r="C334" s="13">
        <f t="shared" si="10"/>
        <v>427</v>
      </c>
      <c r="D334" s="13">
        <v>1</v>
      </c>
      <c r="E334" s="15"/>
      <c r="F334" s="13"/>
      <c r="G334" s="15" t="s">
        <v>25</v>
      </c>
      <c r="H334" s="13" t="s">
        <v>398</v>
      </c>
      <c r="I334" s="13">
        <v>331</v>
      </c>
      <c r="J334" s="13">
        <v>1111</v>
      </c>
      <c r="K334" s="13" t="s">
        <v>21</v>
      </c>
      <c r="L334" s="13">
        <v>1</v>
      </c>
      <c r="M334" s="16">
        <v>149000</v>
      </c>
      <c r="N334" s="16">
        <f t="shared" si="11"/>
        <v>149000</v>
      </c>
      <c r="O334" s="13" t="s">
        <v>22</v>
      </c>
      <c r="P334" s="2">
        <v>330</v>
      </c>
    </row>
    <row r="335" spans="1:16" x14ac:dyDescent="0.25">
      <c r="A335" s="13" t="s">
        <v>368</v>
      </c>
      <c r="B335" s="14">
        <v>45850</v>
      </c>
      <c r="C335" s="13">
        <f t="shared" si="10"/>
        <v>428</v>
      </c>
      <c r="D335" s="13">
        <v>1</v>
      </c>
      <c r="E335" s="15"/>
      <c r="F335" s="13"/>
      <c r="G335" s="15" t="s">
        <v>19</v>
      </c>
      <c r="H335" s="13" t="s">
        <v>399</v>
      </c>
      <c r="I335" s="13">
        <v>331</v>
      </c>
      <c r="J335" s="13">
        <v>1111</v>
      </c>
      <c r="K335" s="13" t="s">
        <v>21</v>
      </c>
      <c r="L335" s="13">
        <v>1</v>
      </c>
      <c r="M335" s="16">
        <v>166000</v>
      </c>
      <c r="N335" s="16">
        <f t="shared" si="11"/>
        <v>166000</v>
      </c>
      <c r="O335" s="13" t="s">
        <v>22</v>
      </c>
      <c r="P335" s="2">
        <v>331</v>
      </c>
    </row>
    <row r="336" spans="1:16" x14ac:dyDescent="0.25">
      <c r="A336" s="13" t="s">
        <v>368</v>
      </c>
      <c r="B336" s="14">
        <v>45850</v>
      </c>
      <c r="C336" s="13">
        <f t="shared" si="10"/>
        <v>429</v>
      </c>
      <c r="D336" s="13">
        <v>1</v>
      </c>
      <c r="E336" s="15"/>
      <c r="F336" s="13"/>
      <c r="G336" s="15" t="s">
        <v>19</v>
      </c>
      <c r="H336" s="13" t="s">
        <v>400</v>
      </c>
      <c r="I336" s="13">
        <v>331</v>
      </c>
      <c r="J336" s="13">
        <v>1111</v>
      </c>
      <c r="K336" s="13" t="s">
        <v>21</v>
      </c>
      <c r="L336" s="13">
        <v>1</v>
      </c>
      <c r="M336" s="16">
        <v>26000</v>
      </c>
      <c r="N336" s="16">
        <f t="shared" si="11"/>
        <v>26000</v>
      </c>
      <c r="O336" s="13" t="s">
        <v>22</v>
      </c>
      <c r="P336" s="2">
        <v>332</v>
      </c>
    </row>
    <row r="337" spans="1:16" x14ac:dyDescent="0.25">
      <c r="A337" s="13" t="s">
        <v>368</v>
      </c>
      <c r="B337" s="14">
        <v>45850</v>
      </c>
      <c r="C337" s="13">
        <f t="shared" si="10"/>
        <v>430</v>
      </c>
      <c r="D337" s="13">
        <v>1</v>
      </c>
      <c r="E337" s="15"/>
      <c r="F337" s="13"/>
      <c r="G337" s="15" t="s">
        <v>19</v>
      </c>
      <c r="H337" s="13" t="s">
        <v>401</v>
      </c>
      <c r="I337" s="13">
        <v>331</v>
      </c>
      <c r="J337" s="13">
        <v>1111</v>
      </c>
      <c r="K337" s="13" t="s">
        <v>21</v>
      </c>
      <c r="L337" s="13">
        <v>1</v>
      </c>
      <c r="M337" s="16">
        <v>171000</v>
      </c>
      <c r="N337" s="16">
        <f t="shared" si="11"/>
        <v>171000</v>
      </c>
      <c r="O337" s="13" t="s">
        <v>22</v>
      </c>
      <c r="P337" s="2">
        <v>333</v>
      </c>
    </row>
    <row r="338" spans="1:16" x14ac:dyDescent="0.25">
      <c r="A338" s="13" t="s">
        <v>368</v>
      </c>
      <c r="B338" s="14">
        <v>45851</v>
      </c>
      <c r="C338" s="13">
        <f t="shared" si="10"/>
        <v>431</v>
      </c>
      <c r="D338" s="13">
        <v>1</v>
      </c>
      <c r="E338" s="15"/>
      <c r="F338" s="13"/>
      <c r="G338" s="15" t="s">
        <v>19</v>
      </c>
      <c r="H338" s="13" t="s">
        <v>402</v>
      </c>
      <c r="I338" s="13">
        <v>331</v>
      </c>
      <c r="J338" s="13">
        <v>1111</v>
      </c>
      <c r="K338" s="13" t="s">
        <v>21</v>
      </c>
      <c r="L338" s="13">
        <v>1</v>
      </c>
      <c r="M338" s="16">
        <v>75000</v>
      </c>
      <c r="N338" s="16">
        <f t="shared" si="11"/>
        <v>75000</v>
      </c>
      <c r="O338" s="13" t="s">
        <v>22</v>
      </c>
      <c r="P338" s="2">
        <v>334</v>
      </c>
    </row>
    <row r="339" spans="1:16" x14ac:dyDescent="0.25">
      <c r="A339" s="13" t="s">
        <v>368</v>
      </c>
      <c r="B339" s="14">
        <v>45851</v>
      </c>
      <c r="C339" s="13">
        <f t="shared" si="10"/>
        <v>432</v>
      </c>
      <c r="D339" s="13">
        <v>1</v>
      </c>
      <c r="E339" s="15"/>
      <c r="F339" s="13"/>
      <c r="G339" s="15" t="s">
        <v>19</v>
      </c>
      <c r="H339" s="13" t="s">
        <v>403</v>
      </c>
      <c r="I339" s="13">
        <v>331</v>
      </c>
      <c r="J339" s="13">
        <v>1111</v>
      </c>
      <c r="K339" s="13" t="s">
        <v>21</v>
      </c>
      <c r="L339" s="13">
        <v>1</v>
      </c>
      <c r="M339" s="16">
        <v>40000</v>
      </c>
      <c r="N339" s="16">
        <f t="shared" si="11"/>
        <v>40000</v>
      </c>
      <c r="O339" s="13" t="s">
        <v>22</v>
      </c>
      <c r="P339" s="2">
        <v>335</v>
      </c>
    </row>
    <row r="340" spans="1:16" x14ac:dyDescent="0.25">
      <c r="A340" s="13" t="s">
        <v>368</v>
      </c>
      <c r="B340" s="14">
        <v>45851</v>
      </c>
      <c r="C340" s="13">
        <f t="shared" si="10"/>
        <v>433</v>
      </c>
      <c r="D340" s="13">
        <v>1</v>
      </c>
      <c r="E340" s="15"/>
      <c r="F340" s="13"/>
      <c r="G340" s="15" t="s">
        <v>19</v>
      </c>
      <c r="H340" s="13" t="s">
        <v>404</v>
      </c>
      <c r="I340" s="13">
        <v>331</v>
      </c>
      <c r="J340" s="13">
        <v>1111</v>
      </c>
      <c r="K340" s="13" t="s">
        <v>21</v>
      </c>
      <c r="L340" s="13">
        <v>1</v>
      </c>
      <c r="M340" s="16">
        <v>45000</v>
      </c>
      <c r="N340" s="16">
        <f t="shared" si="11"/>
        <v>45000</v>
      </c>
      <c r="O340" s="13" t="s">
        <v>22</v>
      </c>
      <c r="P340" s="2">
        <v>336</v>
      </c>
    </row>
    <row r="341" spans="1:16" x14ac:dyDescent="0.25">
      <c r="A341" s="13" t="s">
        <v>368</v>
      </c>
      <c r="B341" s="14">
        <v>45851</v>
      </c>
      <c r="C341" s="13">
        <f t="shared" si="10"/>
        <v>434</v>
      </c>
      <c r="D341" s="13">
        <v>1</v>
      </c>
      <c r="E341" s="15"/>
      <c r="F341" s="13"/>
      <c r="G341" s="15" t="s">
        <v>19</v>
      </c>
      <c r="H341" s="13" t="s">
        <v>405</v>
      </c>
      <c r="I341" s="13">
        <v>331</v>
      </c>
      <c r="J341" s="13">
        <v>1111</v>
      </c>
      <c r="K341" s="13" t="s">
        <v>21</v>
      </c>
      <c r="L341" s="13">
        <v>1</v>
      </c>
      <c r="M341" s="16">
        <v>243000</v>
      </c>
      <c r="N341" s="16">
        <f t="shared" si="11"/>
        <v>243000</v>
      </c>
      <c r="O341" s="13" t="s">
        <v>22</v>
      </c>
      <c r="P341" s="2">
        <v>337</v>
      </c>
    </row>
    <row r="342" spans="1:16" x14ac:dyDescent="0.25">
      <c r="A342" s="13" t="s">
        <v>368</v>
      </c>
      <c r="B342" s="14">
        <v>45851</v>
      </c>
      <c r="C342" s="13">
        <f t="shared" si="10"/>
        <v>435</v>
      </c>
      <c r="D342" s="13">
        <v>1</v>
      </c>
      <c r="E342" s="15"/>
      <c r="F342" s="13"/>
      <c r="G342" s="15" t="s">
        <v>72</v>
      </c>
      <c r="H342" s="13" t="s">
        <v>406</v>
      </c>
      <c r="I342" s="13">
        <v>331</v>
      </c>
      <c r="J342" s="13">
        <v>1111</v>
      </c>
      <c r="K342" s="13" t="s">
        <v>21</v>
      </c>
      <c r="L342" s="13">
        <v>1</v>
      </c>
      <c r="M342" s="16">
        <v>758000</v>
      </c>
      <c r="N342" s="16">
        <f t="shared" si="11"/>
        <v>758000</v>
      </c>
      <c r="O342" s="13" t="s">
        <v>22</v>
      </c>
      <c r="P342" s="2">
        <v>338</v>
      </c>
    </row>
    <row r="343" spans="1:16" x14ac:dyDescent="0.25">
      <c r="A343" s="13" t="s">
        <v>368</v>
      </c>
      <c r="B343" s="14">
        <v>45851</v>
      </c>
      <c r="C343" s="13">
        <f t="shared" si="10"/>
        <v>436</v>
      </c>
      <c r="D343" s="13">
        <v>1</v>
      </c>
      <c r="E343" s="15"/>
      <c r="F343" s="13"/>
      <c r="G343" s="15" t="s">
        <v>25</v>
      </c>
      <c r="H343" s="13" t="s">
        <v>407</v>
      </c>
      <c r="I343" s="13">
        <v>331</v>
      </c>
      <c r="J343" s="13">
        <v>1111</v>
      </c>
      <c r="K343" s="13" t="s">
        <v>21</v>
      </c>
      <c r="L343" s="13">
        <v>1</v>
      </c>
      <c r="M343" s="16">
        <v>149000</v>
      </c>
      <c r="N343" s="16">
        <f t="shared" si="11"/>
        <v>149000</v>
      </c>
      <c r="O343" s="13" t="s">
        <v>22</v>
      </c>
      <c r="P343" s="2">
        <v>339</v>
      </c>
    </row>
    <row r="344" spans="1:16" x14ac:dyDescent="0.25">
      <c r="A344" s="13" t="s">
        <v>368</v>
      </c>
      <c r="B344" s="14">
        <v>45852</v>
      </c>
      <c r="C344" s="13">
        <f t="shared" si="10"/>
        <v>437</v>
      </c>
      <c r="D344" s="13">
        <v>1</v>
      </c>
      <c r="E344" s="15"/>
      <c r="F344" s="13"/>
      <c r="G344" s="15" t="s">
        <v>25</v>
      </c>
      <c r="H344" s="13" t="s">
        <v>408</v>
      </c>
      <c r="I344" s="13">
        <v>331</v>
      </c>
      <c r="J344" s="13">
        <v>1111</v>
      </c>
      <c r="K344" s="13" t="s">
        <v>21</v>
      </c>
      <c r="L344" s="13">
        <v>1</v>
      </c>
      <c r="M344" s="16">
        <v>82000</v>
      </c>
      <c r="N344" s="16">
        <f t="shared" si="11"/>
        <v>82000</v>
      </c>
      <c r="O344" s="13" t="s">
        <v>22</v>
      </c>
      <c r="P344" s="2">
        <v>340</v>
      </c>
    </row>
    <row r="345" spans="1:16" x14ac:dyDescent="0.25">
      <c r="A345" s="13" t="s">
        <v>368</v>
      </c>
      <c r="B345" s="14">
        <v>45853</v>
      </c>
      <c r="C345" s="13">
        <f t="shared" si="10"/>
        <v>438</v>
      </c>
      <c r="D345" s="13">
        <v>1</v>
      </c>
      <c r="E345" s="15"/>
      <c r="F345" s="13"/>
      <c r="G345" s="15" t="s">
        <v>76</v>
      </c>
      <c r="H345" s="13" t="s">
        <v>409</v>
      </c>
      <c r="I345" s="13">
        <v>331</v>
      </c>
      <c r="J345" s="13">
        <v>1111</v>
      </c>
      <c r="K345" s="13" t="s">
        <v>21</v>
      </c>
      <c r="L345" s="13">
        <v>1</v>
      </c>
      <c r="M345" s="16">
        <v>190000</v>
      </c>
      <c r="N345" s="16">
        <f t="shared" si="11"/>
        <v>190000</v>
      </c>
      <c r="O345" s="13" t="s">
        <v>22</v>
      </c>
      <c r="P345" s="2">
        <v>341</v>
      </c>
    </row>
    <row r="346" spans="1:16" x14ac:dyDescent="0.25">
      <c r="A346" s="13" t="s">
        <v>368</v>
      </c>
      <c r="B346" s="14">
        <v>45853</v>
      </c>
      <c r="C346" s="13">
        <f t="shared" si="10"/>
        <v>439</v>
      </c>
      <c r="D346" s="13">
        <v>1</v>
      </c>
      <c r="E346" s="15"/>
      <c r="F346" s="13"/>
      <c r="G346" s="15" t="s">
        <v>78</v>
      </c>
      <c r="H346" s="13" t="s">
        <v>410</v>
      </c>
      <c r="I346" s="13">
        <v>331</v>
      </c>
      <c r="J346" s="13">
        <v>1111</v>
      </c>
      <c r="K346" s="13" t="s">
        <v>21</v>
      </c>
      <c r="L346" s="13">
        <v>1</v>
      </c>
      <c r="M346" s="16">
        <v>162000</v>
      </c>
      <c r="N346" s="16">
        <f t="shared" si="11"/>
        <v>162000</v>
      </c>
      <c r="O346" s="13" t="s">
        <v>22</v>
      </c>
      <c r="P346" s="2">
        <v>342</v>
      </c>
    </row>
    <row r="347" spans="1:16" x14ac:dyDescent="0.25">
      <c r="A347" s="13" t="s">
        <v>368</v>
      </c>
      <c r="B347" s="14">
        <v>45854</v>
      </c>
      <c r="C347" s="13">
        <f t="shared" si="10"/>
        <v>440</v>
      </c>
      <c r="D347" s="13">
        <v>1</v>
      </c>
      <c r="E347" s="15"/>
      <c r="F347" s="13"/>
      <c r="G347" s="15" t="s">
        <v>80</v>
      </c>
      <c r="H347" s="13" t="s">
        <v>411</v>
      </c>
      <c r="I347" s="13">
        <v>331</v>
      </c>
      <c r="J347" s="13">
        <v>1111</v>
      </c>
      <c r="K347" s="13" t="s">
        <v>21</v>
      </c>
      <c r="L347" s="13">
        <v>1</v>
      </c>
      <c r="M347" s="16">
        <v>440000</v>
      </c>
      <c r="N347" s="16">
        <f t="shared" si="11"/>
        <v>440000</v>
      </c>
      <c r="O347" s="13" t="s">
        <v>22</v>
      </c>
      <c r="P347" s="2">
        <v>343</v>
      </c>
    </row>
    <row r="348" spans="1:16" x14ac:dyDescent="0.25">
      <c r="A348" s="13" t="s">
        <v>368</v>
      </c>
      <c r="B348" s="14">
        <v>45855</v>
      </c>
      <c r="C348" s="13">
        <f t="shared" si="10"/>
        <v>441</v>
      </c>
      <c r="D348" s="13">
        <v>1</v>
      </c>
      <c r="E348" s="15"/>
      <c r="F348" s="13"/>
      <c r="G348" s="15" t="s">
        <v>19</v>
      </c>
      <c r="H348" s="13" t="s">
        <v>412</v>
      </c>
      <c r="I348" s="13">
        <v>331</v>
      </c>
      <c r="J348" s="13">
        <v>1111</v>
      </c>
      <c r="K348" s="13" t="s">
        <v>21</v>
      </c>
      <c r="L348" s="13">
        <v>1</v>
      </c>
      <c r="M348" s="16">
        <v>113000</v>
      </c>
      <c r="N348" s="16">
        <f t="shared" si="11"/>
        <v>113000</v>
      </c>
      <c r="O348" s="13" t="s">
        <v>22</v>
      </c>
      <c r="P348" s="2">
        <v>344</v>
      </c>
    </row>
    <row r="349" spans="1:16" x14ac:dyDescent="0.25">
      <c r="A349" s="13" t="s">
        <v>368</v>
      </c>
      <c r="B349" s="14">
        <v>45855</v>
      </c>
      <c r="C349" s="13">
        <f t="shared" si="10"/>
        <v>442</v>
      </c>
      <c r="D349" s="13">
        <v>1</v>
      </c>
      <c r="E349" s="15"/>
      <c r="F349" s="13"/>
      <c r="G349" s="15" t="s">
        <v>19</v>
      </c>
      <c r="H349" s="13" t="s">
        <v>413</v>
      </c>
      <c r="I349" s="13">
        <v>331</v>
      </c>
      <c r="J349" s="13">
        <v>1111</v>
      </c>
      <c r="K349" s="13" t="s">
        <v>21</v>
      </c>
      <c r="L349" s="13">
        <v>1</v>
      </c>
      <c r="M349" s="16">
        <v>69000</v>
      </c>
      <c r="N349" s="16">
        <f t="shared" si="11"/>
        <v>69000</v>
      </c>
      <c r="O349" s="13" t="s">
        <v>22</v>
      </c>
      <c r="P349" s="2">
        <v>345</v>
      </c>
    </row>
    <row r="350" spans="1:16" x14ac:dyDescent="0.25">
      <c r="A350" s="13" t="s">
        <v>368</v>
      </c>
      <c r="B350" s="14">
        <v>45855</v>
      </c>
      <c r="C350" s="13">
        <f t="shared" si="10"/>
        <v>443</v>
      </c>
      <c r="D350" s="13">
        <v>1</v>
      </c>
      <c r="E350" s="15"/>
      <c r="F350" s="13"/>
      <c r="G350" s="15" t="s">
        <v>19</v>
      </c>
      <c r="H350" s="13" t="s">
        <v>414</v>
      </c>
      <c r="I350" s="13">
        <v>331</v>
      </c>
      <c r="J350" s="13">
        <v>1111</v>
      </c>
      <c r="K350" s="13" t="s">
        <v>21</v>
      </c>
      <c r="L350" s="13">
        <v>1</v>
      </c>
      <c r="M350" s="16">
        <v>103000</v>
      </c>
      <c r="N350" s="16">
        <f t="shared" si="11"/>
        <v>103000</v>
      </c>
      <c r="O350" s="13" t="s">
        <v>22</v>
      </c>
      <c r="P350" s="2">
        <v>346</v>
      </c>
    </row>
    <row r="351" spans="1:16" x14ac:dyDescent="0.25">
      <c r="A351" s="13" t="s">
        <v>368</v>
      </c>
      <c r="B351" s="14">
        <v>45855</v>
      </c>
      <c r="C351" s="13">
        <f t="shared" si="10"/>
        <v>444</v>
      </c>
      <c r="D351" s="13">
        <v>1</v>
      </c>
      <c r="E351" s="15"/>
      <c r="F351" s="13"/>
      <c r="G351" s="15" t="s">
        <v>85</v>
      </c>
      <c r="H351" s="13" t="s">
        <v>415</v>
      </c>
      <c r="I351" s="13">
        <v>331</v>
      </c>
      <c r="J351" s="13">
        <v>1111</v>
      </c>
      <c r="K351" s="13" t="s">
        <v>21</v>
      </c>
      <c r="L351" s="13">
        <v>1</v>
      </c>
      <c r="M351" s="16">
        <v>776628</v>
      </c>
      <c r="N351" s="16">
        <f t="shared" si="11"/>
        <v>776628</v>
      </c>
      <c r="O351" s="13" t="s">
        <v>22</v>
      </c>
      <c r="P351" s="2">
        <v>347</v>
      </c>
    </row>
    <row r="352" spans="1:16" x14ac:dyDescent="0.25">
      <c r="A352" s="13" t="s">
        <v>368</v>
      </c>
      <c r="B352" s="14">
        <v>45856</v>
      </c>
      <c r="C352" s="13">
        <f t="shared" si="10"/>
        <v>445</v>
      </c>
      <c r="D352" s="13">
        <v>1</v>
      </c>
      <c r="E352" s="15"/>
      <c r="F352" s="13"/>
      <c r="G352" s="15" t="s">
        <v>92</v>
      </c>
      <c r="H352" s="13" t="s">
        <v>416</v>
      </c>
      <c r="I352" s="13">
        <v>331</v>
      </c>
      <c r="J352" s="13">
        <v>1111</v>
      </c>
      <c r="K352" s="13" t="s">
        <v>21</v>
      </c>
      <c r="L352" s="13">
        <v>1</v>
      </c>
      <c r="M352" s="16">
        <v>1120000</v>
      </c>
      <c r="N352" s="16">
        <f t="shared" si="11"/>
        <v>1120000</v>
      </c>
      <c r="O352" s="13" t="s">
        <v>22</v>
      </c>
      <c r="P352" s="2">
        <v>348</v>
      </c>
    </row>
    <row r="353" spans="1:16" x14ac:dyDescent="0.25">
      <c r="A353" s="13" t="s">
        <v>368</v>
      </c>
      <c r="B353" s="14">
        <v>45856</v>
      </c>
      <c r="C353" s="13">
        <f t="shared" si="10"/>
        <v>446</v>
      </c>
      <c r="D353" s="13">
        <v>1</v>
      </c>
      <c r="E353" s="15"/>
      <c r="F353" s="13"/>
      <c r="G353" s="15" t="s">
        <v>25</v>
      </c>
      <c r="H353" s="13" t="s">
        <v>417</v>
      </c>
      <c r="I353" s="13">
        <v>331</v>
      </c>
      <c r="J353" s="13">
        <v>1111</v>
      </c>
      <c r="K353" s="13" t="s">
        <v>21</v>
      </c>
      <c r="L353" s="13">
        <v>1</v>
      </c>
      <c r="M353" s="16">
        <v>149000</v>
      </c>
      <c r="N353" s="16">
        <f t="shared" si="11"/>
        <v>149000</v>
      </c>
      <c r="O353" s="13" t="s">
        <v>22</v>
      </c>
      <c r="P353" s="2">
        <v>349</v>
      </c>
    </row>
    <row r="354" spans="1:16" x14ac:dyDescent="0.25">
      <c r="A354" s="13" t="s">
        <v>368</v>
      </c>
      <c r="B354" s="14">
        <v>45856</v>
      </c>
      <c r="C354" s="13">
        <f t="shared" si="10"/>
        <v>447</v>
      </c>
      <c r="D354" s="13">
        <v>1</v>
      </c>
      <c r="E354" s="15"/>
      <c r="F354" s="13"/>
      <c r="G354" s="15" t="s">
        <v>25</v>
      </c>
      <c r="H354" s="13" t="s">
        <v>418</v>
      </c>
      <c r="I354" s="13">
        <v>331</v>
      </c>
      <c r="J354" s="13">
        <v>1111</v>
      </c>
      <c r="K354" s="13" t="s">
        <v>21</v>
      </c>
      <c r="L354" s="13">
        <v>1</v>
      </c>
      <c r="M354" s="16">
        <v>129000</v>
      </c>
      <c r="N354" s="16">
        <f t="shared" si="11"/>
        <v>129000</v>
      </c>
      <c r="O354" s="13" t="s">
        <v>22</v>
      </c>
      <c r="P354" s="2">
        <v>350</v>
      </c>
    </row>
    <row r="355" spans="1:16" x14ac:dyDescent="0.25">
      <c r="A355" s="13" t="s">
        <v>368</v>
      </c>
      <c r="B355" s="14">
        <v>45858</v>
      </c>
      <c r="C355" s="13">
        <f t="shared" si="10"/>
        <v>448</v>
      </c>
      <c r="D355" s="13">
        <v>1</v>
      </c>
      <c r="E355" s="15"/>
      <c r="F355" s="13"/>
      <c r="G355" s="15" t="s">
        <v>85</v>
      </c>
      <c r="H355" s="13" t="s">
        <v>419</v>
      </c>
      <c r="I355" s="13">
        <v>331</v>
      </c>
      <c r="J355" s="13">
        <v>1111</v>
      </c>
      <c r="K355" s="13" t="s">
        <v>21</v>
      </c>
      <c r="L355" s="13">
        <v>1</v>
      </c>
      <c r="M355" s="16">
        <v>760320</v>
      </c>
      <c r="N355" s="16">
        <f t="shared" si="11"/>
        <v>760320</v>
      </c>
      <c r="O355" s="13" t="s">
        <v>22</v>
      </c>
      <c r="P355" s="2">
        <v>351</v>
      </c>
    </row>
    <row r="356" spans="1:16" x14ac:dyDescent="0.25">
      <c r="A356" s="13" t="s">
        <v>368</v>
      </c>
      <c r="B356" s="14">
        <v>45858</v>
      </c>
      <c r="C356" s="13">
        <f t="shared" si="10"/>
        <v>449</v>
      </c>
      <c r="D356" s="13">
        <v>1</v>
      </c>
      <c r="E356" s="15"/>
      <c r="F356" s="13"/>
      <c r="G356" s="15" t="s">
        <v>25</v>
      </c>
      <c r="H356" s="13" t="s">
        <v>420</v>
      </c>
      <c r="I356" s="13">
        <v>331</v>
      </c>
      <c r="J356" s="13">
        <v>1111</v>
      </c>
      <c r="K356" s="13" t="s">
        <v>21</v>
      </c>
      <c r="L356" s="13">
        <v>1</v>
      </c>
      <c r="M356" s="16">
        <v>162000</v>
      </c>
      <c r="N356" s="16">
        <f t="shared" si="11"/>
        <v>162000</v>
      </c>
      <c r="O356" s="13" t="s">
        <v>22</v>
      </c>
      <c r="P356" s="2">
        <v>352</v>
      </c>
    </row>
    <row r="357" spans="1:16" x14ac:dyDescent="0.25">
      <c r="A357" s="13" t="s">
        <v>368</v>
      </c>
      <c r="B357" s="14">
        <v>45859</v>
      </c>
      <c r="C357" s="13">
        <f t="shared" si="10"/>
        <v>450</v>
      </c>
      <c r="D357" s="13">
        <v>1</v>
      </c>
      <c r="E357" s="15"/>
      <c r="F357" s="13"/>
      <c r="G357" s="15" t="s">
        <v>25</v>
      </c>
      <c r="H357" s="13" t="s">
        <v>421</v>
      </c>
      <c r="I357" s="13">
        <v>331</v>
      </c>
      <c r="J357" s="13">
        <v>1111</v>
      </c>
      <c r="K357" s="13" t="s">
        <v>21</v>
      </c>
      <c r="L357" s="13">
        <v>1</v>
      </c>
      <c r="M357" s="16">
        <v>130000</v>
      </c>
      <c r="N357" s="16">
        <f t="shared" si="11"/>
        <v>130000</v>
      </c>
      <c r="O357" s="13" t="s">
        <v>22</v>
      </c>
      <c r="P357" s="2">
        <v>353</v>
      </c>
    </row>
    <row r="358" spans="1:16" x14ac:dyDescent="0.25">
      <c r="A358" s="13" t="s">
        <v>368</v>
      </c>
      <c r="B358" s="14">
        <v>45859</v>
      </c>
      <c r="C358" s="13">
        <f t="shared" si="10"/>
        <v>451</v>
      </c>
      <c r="D358" s="13">
        <v>1</v>
      </c>
      <c r="E358" s="15"/>
      <c r="F358" s="13"/>
      <c r="G358" s="15" t="s">
        <v>101</v>
      </c>
      <c r="H358" s="13" t="s">
        <v>422</v>
      </c>
      <c r="I358" s="13">
        <v>331</v>
      </c>
      <c r="J358" s="13">
        <v>1111</v>
      </c>
      <c r="K358" s="13" t="s">
        <v>21</v>
      </c>
      <c r="L358" s="13">
        <v>1</v>
      </c>
      <c r="M358" s="16">
        <v>699000</v>
      </c>
      <c r="N358" s="16">
        <f t="shared" si="11"/>
        <v>699000</v>
      </c>
      <c r="O358" s="13" t="s">
        <v>22</v>
      </c>
      <c r="P358" s="2">
        <v>354</v>
      </c>
    </row>
    <row r="359" spans="1:16" x14ac:dyDescent="0.25">
      <c r="A359" s="13" t="s">
        <v>368</v>
      </c>
      <c r="B359" s="14">
        <v>45860</v>
      </c>
      <c r="C359" s="13">
        <f t="shared" si="10"/>
        <v>452</v>
      </c>
      <c r="D359" s="13">
        <v>1</v>
      </c>
      <c r="E359" s="15"/>
      <c r="F359" s="13"/>
      <c r="G359" s="15" t="s">
        <v>25</v>
      </c>
      <c r="H359" s="13" t="s">
        <v>423</v>
      </c>
      <c r="I359" s="13">
        <v>331</v>
      </c>
      <c r="J359" s="13">
        <v>1111</v>
      </c>
      <c r="K359" s="13" t="s">
        <v>21</v>
      </c>
      <c r="L359" s="13">
        <v>1</v>
      </c>
      <c r="M359" s="16">
        <v>154000</v>
      </c>
      <c r="N359" s="16">
        <f t="shared" si="11"/>
        <v>154000</v>
      </c>
      <c r="O359" s="13" t="s">
        <v>22</v>
      </c>
      <c r="P359" s="2">
        <v>355</v>
      </c>
    </row>
    <row r="360" spans="1:16" x14ac:dyDescent="0.25">
      <c r="A360" s="13" t="s">
        <v>368</v>
      </c>
      <c r="B360" s="14">
        <v>45860</v>
      </c>
      <c r="C360" s="13">
        <f t="shared" si="10"/>
        <v>453</v>
      </c>
      <c r="D360" s="13">
        <v>1</v>
      </c>
      <c r="E360" s="15"/>
      <c r="F360" s="13"/>
      <c r="G360" s="15" t="s">
        <v>25</v>
      </c>
      <c r="H360" s="13" t="s">
        <v>424</v>
      </c>
      <c r="I360" s="13">
        <v>331</v>
      </c>
      <c r="J360" s="13">
        <v>1111</v>
      </c>
      <c r="K360" s="13" t="s">
        <v>21</v>
      </c>
      <c r="L360" s="13">
        <v>1</v>
      </c>
      <c r="M360" s="16">
        <v>114000</v>
      </c>
      <c r="N360" s="16">
        <f t="shared" si="11"/>
        <v>114000</v>
      </c>
      <c r="O360" s="13" t="s">
        <v>22</v>
      </c>
      <c r="P360" s="2">
        <v>356</v>
      </c>
    </row>
    <row r="361" spans="1:16" x14ac:dyDescent="0.25">
      <c r="A361" s="13" t="s">
        <v>368</v>
      </c>
      <c r="B361" s="14">
        <v>45861</v>
      </c>
      <c r="C361" s="13">
        <f t="shared" si="10"/>
        <v>454</v>
      </c>
      <c r="D361" s="13">
        <v>1</v>
      </c>
      <c r="E361" s="15"/>
      <c r="F361" s="13"/>
      <c r="G361" s="15" t="s">
        <v>25</v>
      </c>
      <c r="H361" s="13" t="s">
        <v>425</v>
      </c>
      <c r="I361" s="13">
        <v>331</v>
      </c>
      <c r="J361" s="13">
        <v>1111</v>
      </c>
      <c r="K361" s="13" t="s">
        <v>21</v>
      </c>
      <c r="L361" s="13">
        <v>1</v>
      </c>
      <c r="M361" s="16">
        <v>130000</v>
      </c>
      <c r="N361" s="16">
        <f t="shared" si="11"/>
        <v>130000</v>
      </c>
      <c r="O361" s="13" t="s">
        <v>22</v>
      </c>
      <c r="P361" s="2">
        <v>357</v>
      </c>
    </row>
    <row r="362" spans="1:16" x14ac:dyDescent="0.25">
      <c r="A362" s="13" t="s">
        <v>368</v>
      </c>
      <c r="B362" s="14">
        <v>45862</v>
      </c>
      <c r="C362" s="13">
        <f t="shared" si="10"/>
        <v>455</v>
      </c>
      <c r="D362" s="13">
        <v>1</v>
      </c>
      <c r="E362" s="15"/>
      <c r="F362" s="13"/>
      <c r="G362" s="15" t="s">
        <v>113</v>
      </c>
      <c r="H362" s="13" t="s">
        <v>426</v>
      </c>
      <c r="I362" s="13">
        <v>331</v>
      </c>
      <c r="J362" s="13">
        <v>1111</v>
      </c>
      <c r="K362" s="13" t="s">
        <v>21</v>
      </c>
      <c r="L362" s="13">
        <v>1</v>
      </c>
      <c r="M362" s="16">
        <v>277000</v>
      </c>
      <c r="N362" s="16">
        <f t="shared" si="11"/>
        <v>277000</v>
      </c>
      <c r="O362" s="13" t="s">
        <v>22</v>
      </c>
      <c r="P362" s="2">
        <v>358</v>
      </c>
    </row>
    <row r="363" spans="1:16" x14ac:dyDescent="0.25">
      <c r="A363" s="13" t="s">
        <v>368</v>
      </c>
      <c r="B363" s="14">
        <v>45862</v>
      </c>
      <c r="C363" s="13">
        <f t="shared" si="10"/>
        <v>456</v>
      </c>
      <c r="D363" s="13">
        <v>1</v>
      </c>
      <c r="E363" s="15"/>
      <c r="F363" s="13"/>
      <c r="G363" s="15" t="s">
        <v>25</v>
      </c>
      <c r="H363" s="13" t="s">
        <v>427</v>
      </c>
      <c r="I363" s="13">
        <v>331</v>
      </c>
      <c r="J363" s="13">
        <v>1111</v>
      </c>
      <c r="K363" s="13" t="s">
        <v>21</v>
      </c>
      <c r="L363" s="13">
        <v>1</v>
      </c>
      <c r="M363" s="16">
        <v>130000</v>
      </c>
      <c r="N363" s="16">
        <f t="shared" si="11"/>
        <v>130000</v>
      </c>
      <c r="O363" s="13" t="s">
        <v>22</v>
      </c>
      <c r="P363" s="2">
        <v>359</v>
      </c>
    </row>
    <row r="364" spans="1:16" x14ac:dyDescent="0.25">
      <c r="A364" s="13" t="s">
        <v>368</v>
      </c>
      <c r="B364" s="14">
        <v>45862</v>
      </c>
      <c r="C364" s="13">
        <f t="shared" si="10"/>
        <v>457</v>
      </c>
      <c r="D364" s="13">
        <v>1</v>
      </c>
      <c r="E364" s="15"/>
      <c r="F364" s="13"/>
      <c r="G364" s="15" t="s">
        <v>25</v>
      </c>
      <c r="H364" s="13" t="s">
        <v>428</v>
      </c>
      <c r="I364" s="13">
        <v>331</v>
      </c>
      <c r="J364" s="13">
        <v>1111</v>
      </c>
      <c r="K364" s="13" t="s">
        <v>21</v>
      </c>
      <c r="L364" s="13">
        <v>1</v>
      </c>
      <c r="M364" s="16">
        <v>149000</v>
      </c>
      <c r="N364" s="16">
        <f t="shared" si="11"/>
        <v>149000</v>
      </c>
      <c r="O364" s="13" t="s">
        <v>22</v>
      </c>
      <c r="P364" s="2">
        <v>360</v>
      </c>
    </row>
    <row r="365" spans="1:16" x14ac:dyDescent="0.25">
      <c r="A365" s="13" t="s">
        <v>368</v>
      </c>
      <c r="B365" s="14">
        <v>45862</v>
      </c>
      <c r="C365" s="13">
        <f t="shared" si="10"/>
        <v>458</v>
      </c>
      <c r="D365" s="13">
        <v>1</v>
      </c>
      <c r="E365" s="15"/>
      <c r="F365" s="13"/>
      <c r="G365" s="15" t="s">
        <v>117</v>
      </c>
      <c r="H365" s="13" t="s">
        <v>429</v>
      </c>
      <c r="I365" s="13">
        <v>331</v>
      </c>
      <c r="J365" s="13">
        <v>1111</v>
      </c>
      <c r="K365" s="13" t="s">
        <v>21</v>
      </c>
      <c r="L365" s="13">
        <v>1</v>
      </c>
      <c r="M365" s="16">
        <v>1549000</v>
      </c>
      <c r="N365" s="16">
        <f t="shared" si="11"/>
        <v>1549000</v>
      </c>
      <c r="O365" s="13" t="s">
        <v>22</v>
      </c>
      <c r="P365" s="2">
        <v>361</v>
      </c>
    </row>
    <row r="366" spans="1:16" x14ac:dyDescent="0.25">
      <c r="A366" s="13" t="s">
        <v>368</v>
      </c>
      <c r="B366" s="14">
        <v>45862</v>
      </c>
      <c r="C366" s="13">
        <f t="shared" si="10"/>
        <v>459</v>
      </c>
      <c r="D366" s="13">
        <v>1</v>
      </c>
      <c r="E366" s="15"/>
      <c r="F366" s="13"/>
      <c r="G366" s="15" t="s">
        <v>46</v>
      </c>
      <c r="H366" s="13" t="s">
        <v>430</v>
      </c>
      <c r="I366" s="13">
        <v>331</v>
      </c>
      <c r="J366" s="13">
        <v>1111</v>
      </c>
      <c r="K366" s="13" t="s">
        <v>21</v>
      </c>
      <c r="L366" s="13">
        <v>1</v>
      </c>
      <c r="M366" s="16">
        <v>1102680</v>
      </c>
      <c r="N366" s="16">
        <f t="shared" si="11"/>
        <v>1102680</v>
      </c>
      <c r="O366" s="13" t="s">
        <v>22</v>
      </c>
      <c r="P366" s="2">
        <v>362</v>
      </c>
    </row>
    <row r="367" spans="1:16" x14ac:dyDescent="0.25">
      <c r="A367" s="13" t="s">
        <v>368</v>
      </c>
      <c r="B367" s="14">
        <v>45863</v>
      </c>
      <c r="C367" s="13">
        <f t="shared" ref="C367:C430" si="12">C366+D367</f>
        <v>460</v>
      </c>
      <c r="D367" s="13">
        <v>1</v>
      </c>
      <c r="E367" s="15"/>
      <c r="F367" s="13"/>
      <c r="G367" s="15" t="s">
        <v>19</v>
      </c>
      <c r="H367" s="13" t="s">
        <v>431</v>
      </c>
      <c r="I367" s="13">
        <v>331</v>
      </c>
      <c r="J367" s="13">
        <v>1111</v>
      </c>
      <c r="K367" s="13" t="s">
        <v>21</v>
      </c>
      <c r="L367" s="13">
        <v>1</v>
      </c>
      <c r="M367" s="16">
        <v>171000</v>
      </c>
      <c r="N367" s="16">
        <f t="shared" si="11"/>
        <v>171000</v>
      </c>
      <c r="O367" s="13" t="s">
        <v>22</v>
      </c>
      <c r="P367" s="2">
        <v>363</v>
      </c>
    </row>
    <row r="368" spans="1:16" x14ac:dyDescent="0.25">
      <c r="A368" s="13" t="s">
        <v>368</v>
      </c>
      <c r="B368" s="14">
        <v>45864</v>
      </c>
      <c r="C368" s="13">
        <f t="shared" si="12"/>
        <v>461</v>
      </c>
      <c r="D368" s="13">
        <v>1</v>
      </c>
      <c r="E368" s="15"/>
      <c r="F368" s="13"/>
      <c r="G368" s="15" t="s">
        <v>35</v>
      </c>
      <c r="H368" s="13" t="s">
        <v>432</v>
      </c>
      <c r="I368" s="13">
        <v>331</v>
      </c>
      <c r="J368" s="13">
        <v>1111</v>
      </c>
      <c r="K368" s="13" t="s">
        <v>21</v>
      </c>
      <c r="L368" s="13">
        <v>1</v>
      </c>
      <c r="M368" s="16">
        <v>29000</v>
      </c>
      <c r="N368" s="16">
        <f t="shared" si="11"/>
        <v>29000</v>
      </c>
      <c r="O368" s="13" t="s">
        <v>22</v>
      </c>
      <c r="P368" s="2">
        <v>364</v>
      </c>
    </row>
    <row r="369" spans="1:16" x14ac:dyDescent="0.25">
      <c r="A369" s="13" t="s">
        <v>368</v>
      </c>
      <c r="B369" s="14">
        <v>45864</v>
      </c>
      <c r="C369" s="13">
        <f t="shared" si="12"/>
        <v>462</v>
      </c>
      <c r="D369" s="13">
        <v>1</v>
      </c>
      <c r="E369" s="15"/>
      <c r="F369" s="13"/>
      <c r="G369" s="15" t="s">
        <v>35</v>
      </c>
      <c r="H369" s="13" t="s">
        <v>433</v>
      </c>
      <c r="I369" s="13">
        <v>331</v>
      </c>
      <c r="J369" s="13">
        <v>1111</v>
      </c>
      <c r="K369" s="13" t="s">
        <v>21</v>
      </c>
      <c r="L369" s="13">
        <v>1</v>
      </c>
      <c r="M369" s="16">
        <v>126000</v>
      </c>
      <c r="N369" s="16">
        <f t="shared" ref="N369:N432" si="13">M369*L369</f>
        <v>126000</v>
      </c>
      <c r="O369" s="13" t="s">
        <v>22</v>
      </c>
      <c r="P369" s="2">
        <v>365</v>
      </c>
    </row>
    <row r="370" spans="1:16" x14ac:dyDescent="0.25">
      <c r="A370" s="13" t="s">
        <v>368</v>
      </c>
      <c r="B370" s="14">
        <v>45864</v>
      </c>
      <c r="C370" s="13">
        <f t="shared" si="12"/>
        <v>463</v>
      </c>
      <c r="D370" s="13">
        <v>1</v>
      </c>
      <c r="E370" s="15"/>
      <c r="F370" s="13"/>
      <c r="G370" s="15" t="s">
        <v>19</v>
      </c>
      <c r="H370" s="13" t="s">
        <v>434</v>
      </c>
      <c r="I370" s="13">
        <v>331</v>
      </c>
      <c r="J370" s="13">
        <v>1111</v>
      </c>
      <c r="K370" s="13" t="s">
        <v>21</v>
      </c>
      <c r="L370" s="13">
        <v>1</v>
      </c>
      <c r="M370" s="16">
        <v>83000</v>
      </c>
      <c r="N370" s="16">
        <f t="shared" si="13"/>
        <v>83000</v>
      </c>
      <c r="O370" s="13" t="s">
        <v>22</v>
      </c>
      <c r="P370" s="2">
        <v>366</v>
      </c>
    </row>
    <row r="371" spans="1:16" x14ac:dyDescent="0.25">
      <c r="A371" s="13" t="s">
        <v>368</v>
      </c>
      <c r="B371" s="14">
        <v>45864</v>
      </c>
      <c r="C371" s="13">
        <f t="shared" si="12"/>
        <v>464</v>
      </c>
      <c r="D371" s="13">
        <v>1</v>
      </c>
      <c r="E371" s="15"/>
      <c r="F371" s="13"/>
      <c r="G371" s="15" t="s">
        <v>25</v>
      </c>
      <c r="H371" s="13" t="s">
        <v>435</v>
      </c>
      <c r="I371" s="13">
        <v>331</v>
      </c>
      <c r="J371" s="13">
        <v>1111</v>
      </c>
      <c r="K371" s="13" t="s">
        <v>21</v>
      </c>
      <c r="L371" s="13">
        <v>1</v>
      </c>
      <c r="M371" s="16">
        <v>124000</v>
      </c>
      <c r="N371" s="16">
        <f t="shared" si="13"/>
        <v>124000</v>
      </c>
      <c r="O371" s="13" t="s">
        <v>22</v>
      </c>
      <c r="P371" s="2">
        <v>367</v>
      </c>
    </row>
    <row r="372" spans="1:16" x14ac:dyDescent="0.25">
      <c r="A372" s="13" t="s">
        <v>368</v>
      </c>
      <c r="B372" s="14">
        <v>45865</v>
      </c>
      <c r="C372" s="13">
        <f t="shared" si="12"/>
        <v>465</v>
      </c>
      <c r="D372" s="13">
        <v>1</v>
      </c>
      <c r="E372" s="15"/>
      <c r="F372" s="13"/>
      <c r="G372" s="15" t="s">
        <v>23</v>
      </c>
      <c r="H372" s="13" t="s">
        <v>436</v>
      </c>
      <c r="I372" s="13">
        <v>331</v>
      </c>
      <c r="J372" s="13">
        <v>1111</v>
      </c>
      <c r="K372" s="13" t="s">
        <v>21</v>
      </c>
      <c r="L372" s="13">
        <v>1</v>
      </c>
      <c r="M372" s="16">
        <v>772200</v>
      </c>
      <c r="N372" s="16">
        <f t="shared" si="13"/>
        <v>772200</v>
      </c>
      <c r="O372" s="13" t="s">
        <v>22</v>
      </c>
      <c r="P372" s="2">
        <v>368</v>
      </c>
    </row>
    <row r="373" spans="1:16" x14ac:dyDescent="0.25">
      <c r="A373" s="13" t="s">
        <v>368</v>
      </c>
      <c r="B373" s="14">
        <v>45865</v>
      </c>
      <c r="C373" s="13">
        <f t="shared" si="12"/>
        <v>466</v>
      </c>
      <c r="D373" s="13">
        <v>1</v>
      </c>
      <c r="E373" s="15"/>
      <c r="F373" s="13"/>
      <c r="G373" s="15" t="s">
        <v>25</v>
      </c>
      <c r="H373" s="13" t="s">
        <v>437</v>
      </c>
      <c r="I373" s="13">
        <v>331</v>
      </c>
      <c r="J373" s="13">
        <v>1111</v>
      </c>
      <c r="K373" s="13" t="s">
        <v>21</v>
      </c>
      <c r="L373" s="13">
        <v>1</v>
      </c>
      <c r="M373" s="16">
        <v>82000</v>
      </c>
      <c r="N373" s="16">
        <f t="shared" si="13"/>
        <v>82000</v>
      </c>
      <c r="O373" s="13" t="s">
        <v>22</v>
      </c>
      <c r="P373" s="2">
        <v>369</v>
      </c>
    </row>
    <row r="374" spans="1:16" x14ac:dyDescent="0.25">
      <c r="A374" s="13" t="s">
        <v>368</v>
      </c>
      <c r="B374" s="14">
        <v>45866</v>
      </c>
      <c r="C374" s="13">
        <f t="shared" si="12"/>
        <v>467</v>
      </c>
      <c r="D374" s="13">
        <v>1</v>
      </c>
      <c r="E374" s="15"/>
      <c r="F374" s="13"/>
      <c r="G374" s="15" t="s">
        <v>25</v>
      </c>
      <c r="H374" s="13" t="s">
        <v>438</v>
      </c>
      <c r="I374" s="13">
        <v>331</v>
      </c>
      <c r="J374" s="13">
        <v>1111</v>
      </c>
      <c r="K374" s="13" t="s">
        <v>21</v>
      </c>
      <c r="L374" s="13">
        <v>1</v>
      </c>
      <c r="M374" s="16">
        <v>159000</v>
      </c>
      <c r="N374" s="16">
        <f t="shared" si="13"/>
        <v>159000</v>
      </c>
      <c r="O374" s="13" t="s">
        <v>22</v>
      </c>
      <c r="P374" s="2">
        <v>370</v>
      </c>
    </row>
    <row r="375" spans="1:16" x14ac:dyDescent="0.25">
      <c r="A375" s="13" t="s">
        <v>368</v>
      </c>
      <c r="B375" s="14">
        <v>45866</v>
      </c>
      <c r="C375" s="13">
        <f t="shared" si="12"/>
        <v>468</v>
      </c>
      <c r="D375" s="13">
        <v>1</v>
      </c>
      <c r="E375" s="15"/>
      <c r="F375" s="13"/>
      <c r="G375" s="15" t="s">
        <v>25</v>
      </c>
      <c r="H375" s="13" t="s">
        <v>439</v>
      </c>
      <c r="I375" s="13">
        <v>331</v>
      </c>
      <c r="J375" s="13">
        <v>1111</v>
      </c>
      <c r="K375" s="13" t="s">
        <v>21</v>
      </c>
      <c r="L375" s="13">
        <v>1</v>
      </c>
      <c r="M375" s="16">
        <v>139000</v>
      </c>
      <c r="N375" s="16">
        <f t="shared" si="13"/>
        <v>139000</v>
      </c>
      <c r="O375" s="13" t="s">
        <v>22</v>
      </c>
      <c r="P375" s="2">
        <v>371</v>
      </c>
    </row>
    <row r="376" spans="1:16" x14ac:dyDescent="0.25">
      <c r="A376" s="13" t="s">
        <v>368</v>
      </c>
      <c r="B376" s="14">
        <v>45867</v>
      </c>
      <c r="C376" s="13">
        <f t="shared" si="12"/>
        <v>469</v>
      </c>
      <c r="D376" s="13">
        <v>1</v>
      </c>
      <c r="E376" s="15"/>
      <c r="F376" s="13"/>
      <c r="G376" s="15" t="s">
        <v>25</v>
      </c>
      <c r="H376" s="13" t="s">
        <v>440</v>
      </c>
      <c r="I376" s="13">
        <v>331</v>
      </c>
      <c r="J376" s="13">
        <v>1111</v>
      </c>
      <c r="K376" s="13" t="s">
        <v>21</v>
      </c>
      <c r="L376" s="13">
        <v>1</v>
      </c>
      <c r="M376" s="16">
        <v>110000</v>
      </c>
      <c r="N376" s="16">
        <f t="shared" si="13"/>
        <v>110000</v>
      </c>
      <c r="O376" s="13" t="s">
        <v>22</v>
      </c>
      <c r="P376" s="2">
        <v>372</v>
      </c>
    </row>
    <row r="377" spans="1:16" x14ac:dyDescent="0.25">
      <c r="A377" s="13" t="s">
        <v>368</v>
      </c>
      <c r="B377" s="14">
        <v>45867</v>
      </c>
      <c r="C377" s="13">
        <f t="shared" si="12"/>
        <v>470</v>
      </c>
      <c r="D377" s="13">
        <v>1</v>
      </c>
      <c r="E377" s="15"/>
      <c r="F377" s="13"/>
      <c r="G377" s="15" t="s">
        <v>25</v>
      </c>
      <c r="H377" s="13" t="s">
        <v>441</v>
      </c>
      <c r="I377" s="13">
        <v>331</v>
      </c>
      <c r="J377" s="13">
        <v>1111</v>
      </c>
      <c r="K377" s="13" t="s">
        <v>21</v>
      </c>
      <c r="L377" s="13">
        <v>1</v>
      </c>
      <c r="M377" s="16">
        <v>149000</v>
      </c>
      <c r="N377" s="16">
        <f t="shared" si="13"/>
        <v>149000</v>
      </c>
      <c r="O377" s="13" t="s">
        <v>22</v>
      </c>
      <c r="P377" s="2">
        <v>373</v>
      </c>
    </row>
    <row r="378" spans="1:16" x14ac:dyDescent="0.25">
      <c r="A378" s="13" t="s">
        <v>368</v>
      </c>
      <c r="B378" s="14">
        <v>45867</v>
      </c>
      <c r="C378" s="13">
        <f t="shared" si="12"/>
        <v>471</v>
      </c>
      <c r="D378" s="13">
        <v>1</v>
      </c>
      <c r="E378" s="15"/>
      <c r="F378" s="13"/>
      <c r="G378" s="15" t="s">
        <v>136</v>
      </c>
      <c r="H378" s="13" t="s">
        <v>442</v>
      </c>
      <c r="I378" s="13">
        <v>331</v>
      </c>
      <c r="J378" s="13">
        <v>1111</v>
      </c>
      <c r="K378" s="13" t="s">
        <v>21</v>
      </c>
      <c r="L378" s="13">
        <v>1</v>
      </c>
      <c r="M378" s="16">
        <v>1695266</v>
      </c>
      <c r="N378" s="16">
        <f t="shared" si="13"/>
        <v>1695266</v>
      </c>
      <c r="O378" s="13" t="s">
        <v>22</v>
      </c>
      <c r="P378" s="2">
        <v>374</v>
      </c>
    </row>
    <row r="379" spans="1:16" x14ac:dyDescent="0.25">
      <c r="A379" s="13" t="s">
        <v>368</v>
      </c>
      <c r="B379" s="14">
        <v>45868</v>
      </c>
      <c r="C379" s="13">
        <f t="shared" si="12"/>
        <v>472</v>
      </c>
      <c r="D379" s="13">
        <v>1</v>
      </c>
      <c r="E379" s="15"/>
      <c r="F379" s="13"/>
      <c r="G379" s="15" t="s">
        <v>35</v>
      </c>
      <c r="H379" s="13" t="s">
        <v>443</v>
      </c>
      <c r="I379" s="13">
        <v>331</v>
      </c>
      <c r="J379" s="13">
        <v>1111</v>
      </c>
      <c r="K379" s="13" t="s">
        <v>21</v>
      </c>
      <c r="L379" s="13">
        <v>1</v>
      </c>
      <c r="M379" s="16">
        <v>48000</v>
      </c>
      <c r="N379" s="16">
        <f t="shared" si="13"/>
        <v>48000</v>
      </c>
      <c r="O379" s="13" t="s">
        <v>22</v>
      </c>
      <c r="P379" s="2">
        <v>375</v>
      </c>
    </row>
    <row r="380" spans="1:16" x14ac:dyDescent="0.25">
      <c r="A380" s="13" t="s">
        <v>368</v>
      </c>
      <c r="B380" s="14">
        <v>45868</v>
      </c>
      <c r="C380" s="13">
        <f t="shared" si="12"/>
        <v>473</v>
      </c>
      <c r="D380" s="13">
        <v>1</v>
      </c>
      <c r="E380" s="15"/>
      <c r="F380" s="13"/>
      <c r="G380" s="15" t="s">
        <v>19</v>
      </c>
      <c r="H380" s="13" t="s">
        <v>444</v>
      </c>
      <c r="I380" s="13">
        <v>331</v>
      </c>
      <c r="J380" s="13">
        <v>1111</v>
      </c>
      <c r="K380" s="13" t="s">
        <v>21</v>
      </c>
      <c r="L380" s="13">
        <v>1</v>
      </c>
      <c r="M380" s="16">
        <v>43000</v>
      </c>
      <c r="N380" s="16">
        <f t="shared" si="13"/>
        <v>43000</v>
      </c>
      <c r="O380" s="13" t="s">
        <v>22</v>
      </c>
      <c r="P380" s="2">
        <v>376</v>
      </c>
    </row>
    <row r="381" spans="1:16" x14ac:dyDescent="0.25">
      <c r="A381" s="13" t="s">
        <v>368</v>
      </c>
      <c r="B381" s="14">
        <v>45868</v>
      </c>
      <c r="C381" s="13">
        <f t="shared" si="12"/>
        <v>474</v>
      </c>
      <c r="D381" s="13">
        <v>1</v>
      </c>
      <c r="E381" s="15"/>
      <c r="F381" s="13"/>
      <c r="G381" s="15" t="s">
        <v>25</v>
      </c>
      <c r="H381" s="13" t="s">
        <v>445</v>
      </c>
      <c r="I381" s="13">
        <v>331</v>
      </c>
      <c r="J381" s="13">
        <v>1111</v>
      </c>
      <c r="K381" s="13" t="s">
        <v>21</v>
      </c>
      <c r="L381" s="13">
        <v>1</v>
      </c>
      <c r="M381" s="16">
        <v>139000</v>
      </c>
      <c r="N381" s="16">
        <f t="shared" si="13"/>
        <v>139000</v>
      </c>
      <c r="O381" s="13" t="s">
        <v>22</v>
      </c>
      <c r="P381" s="2">
        <v>377</v>
      </c>
    </row>
    <row r="382" spans="1:16" x14ac:dyDescent="0.25">
      <c r="A382" s="13" t="s">
        <v>368</v>
      </c>
      <c r="B382" s="14">
        <v>45868</v>
      </c>
      <c r="C382" s="13">
        <f t="shared" si="12"/>
        <v>475</v>
      </c>
      <c r="D382" s="13">
        <v>1</v>
      </c>
      <c r="E382" s="15"/>
      <c r="F382" s="13"/>
      <c r="G382" s="15" t="s">
        <v>141</v>
      </c>
      <c r="H382" s="13" t="s">
        <v>446</v>
      </c>
      <c r="I382" s="13">
        <v>331</v>
      </c>
      <c r="J382" s="13">
        <v>1111</v>
      </c>
      <c r="K382" s="13" t="s">
        <v>21</v>
      </c>
      <c r="L382" s="13">
        <v>1</v>
      </c>
      <c r="M382" s="16">
        <v>1220000</v>
      </c>
      <c r="N382" s="16">
        <f t="shared" si="13"/>
        <v>1220000</v>
      </c>
      <c r="O382" s="13" t="s">
        <v>22</v>
      </c>
      <c r="P382" s="2">
        <v>378</v>
      </c>
    </row>
    <row r="383" spans="1:16" x14ac:dyDescent="0.25">
      <c r="A383" s="13" t="s">
        <v>368</v>
      </c>
      <c r="B383" s="14">
        <v>45869</v>
      </c>
      <c r="C383" s="13">
        <f t="shared" si="12"/>
        <v>476</v>
      </c>
      <c r="D383" s="13">
        <v>1</v>
      </c>
      <c r="E383" s="15"/>
      <c r="F383" s="13"/>
      <c r="G383" s="15" t="s">
        <v>143</v>
      </c>
      <c r="H383" s="13" t="s">
        <v>447</v>
      </c>
      <c r="I383" s="13">
        <v>331</v>
      </c>
      <c r="J383" s="13">
        <v>1111</v>
      </c>
      <c r="K383" s="13" t="s">
        <v>21</v>
      </c>
      <c r="L383" s="13">
        <v>1</v>
      </c>
      <c r="M383" s="16">
        <v>2030994</v>
      </c>
      <c r="N383" s="16">
        <f t="shared" si="13"/>
        <v>2030994</v>
      </c>
      <c r="O383" s="13" t="s">
        <v>22</v>
      </c>
      <c r="P383" s="2">
        <v>379</v>
      </c>
    </row>
    <row r="384" spans="1:16" x14ac:dyDescent="0.25">
      <c r="A384" s="13" t="s">
        <v>368</v>
      </c>
      <c r="B384" s="14">
        <v>45869</v>
      </c>
      <c r="C384" s="13">
        <f t="shared" si="12"/>
        <v>477</v>
      </c>
      <c r="D384" s="13">
        <v>1</v>
      </c>
      <c r="E384" s="15"/>
      <c r="F384" s="13"/>
      <c r="G384" s="15" t="s">
        <v>25</v>
      </c>
      <c r="H384" s="13" t="s">
        <v>448</v>
      </c>
      <c r="I384" s="13">
        <v>331</v>
      </c>
      <c r="J384" s="13">
        <v>1111</v>
      </c>
      <c r="K384" s="13" t="s">
        <v>21</v>
      </c>
      <c r="L384" s="13">
        <v>1</v>
      </c>
      <c r="M384" s="16">
        <v>110000</v>
      </c>
      <c r="N384" s="16">
        <f t="shared" si="13"/>
        <v>110000</v>
      </c>
      <c r="O384" s="13" t="s">
        <v>22</v>
      </c>
      <c r="P384" s="2">
        <v>380</v>
      </c>
    </row>
    <row r="385" spans="1:16" x14ac:dyDescent="0.25">
      <c r="A385" s="13" t="s">
        <v>368</v>
      </c>
      <c r="B385" s="14">
        <v>45870</v>
      </c>
      <c r="C385" s="13">
        <f t="shared" si="12"/>
        <v>478</v>
      </c>
      <c r="D385" s="13">
        <v>1</v>
      </c>
      <c r="E385" s="15"/>
      <c r="F385" s="13"/>
      <c r="G385" s="15" t="s">
        <v>25</v>
      </c>
      <c r="H385" s="13" t="s">
        <v>449</v>
      </c>
      <c r="I385" s="13">
        <v>331</v>
      </c>
      <c r="J385" s="13">
        <v>1111</v>
      </c>
      <c r="K385" s="13" t="s">
        <v>21</v>
      </c>
      <c r="L385" s="13">
        <v>1</v>
      </c>
      <c r="M385" s="16">
        <v>110000</v>
      </c>
      <c r="N385" s="16">
        <f t="shared" si="13"/>
        <v>110000</v>
      </c>
      <c r="O385" s="13" t="s">
        <v>22</v>
      </c>
      <c r="P385" s="2">
        <v>381</v>
      </c>
    </row>
    <row r="386" spans="1:16" x14ac:dyDescent="0.25">
      <c r="A386" s="13" t="s">
        <v>368</v>
      </c>
      <c r="B386" s="14">
        <v>45871</v>
      </c>
      <c r="C386" s="13">
        <f t="shared" si="12"/>
        <v>479</v>
      </c>
      <c r="D386" s="13">
        <v>1</v>
      </c>
      <c r="E386" s="15"/>
      <c r="F386" s="13"/>
      <c r="G386" s="15" t="s">
        <v>19</v>
      </c>
      <c r="H386" s="13" t="s">
        <v>450</v>
      </c>
      <c r="I386" s="13">
        <v>331</v>
      </c>
      <c r="J386" s="13">
        <v>1111</v>
      </c>
      <c r="K386" s="13" t="s">
        <v>21</v>
      </c>
      <c r="L386" s="13">
        <v>1</v>
      </c>
      <c r="M386" s="16">
        <v>80000</v>
      </c>
      <c r="N386" s="16">
        <f t="shared" si="13"/>
        <v>80000</v>
      </c>
      <c r="O386" s="13" t="s">
        <v>22</v>
      </c>
      <c r="P386" s="2">
        <v>382</v>
      </c>
    </row>
    <row r="387" spans="1:16" x14ac:dyDescent="0.25">
      <c r="A387" s="13" t="s">
        <v>368</v>
      </c>
      <c r="B387" s="14">
        <v>45871</v>
      </c>
      <c r="C387" s="13">
        <f t="shared" si="12"/>
        <v>480</v>
      </c>
      <c r="D387" s="13">
        <v>1</v>
      </c>
      <c r="E387" s="15"/>
      <c r="F387" s="13"/>
      <c r="G387" s="15" t="s">
        <v>19</v>
      </c>
      <c r="H387" s="13" t="s">
        <v>451</v>
      </c>
      <c r="I387" s="13">
        <v>331</v>
      </c>
      <c r="J387" s="13">
        <v>1111</v>
      </c>
      <c r="K387" s="13" t="s">
        <v>21</v>
      </c>
      <c r="L387" s="13">
        <v>1</v>
      </c>
      <c r="M387" s="16">
        <v>95000</v>
      </c>
      <c r="N387" s="16">
        <f t="shared" si="13"/>
        <v>95000</v>
      </c>
      <c r="O387" s="13" t="s">
        <v>22</v>
      </c>
      <c r="P387" s="2">
        <v>383</v>
      </c>
    </row>
    <row r="388" spans="1:16" x14ac:dyDescent="0.25">
      <c r="A388" s="13" t="s">
        <v>368</v>
      </c>
      <c r="B388" s="14">
        <v>45871</v>
      </c>
      <c r="C388" s="13">
        <f t="shared" si="12"/>
        <v>481</v>
      </c>
      <c r="D388" s="13">
        <v>1</v>
      </c>
      <c r="E388" s="15"/>
      <c r="F388" s="13"/>
      <c r="G388" s="15" t="s">
        <v>152</v>
      </c>
      <c r="H388" s="13" t="s">
        <v>452</v>
      </c>
      <c r="I388" s="13">
        <v>331</v>
      </c>
      <c r="J388" s="13">
        <v>1111</v>
      </c>
      <c r="K388" s="13" t="s">
        <v>21</v>
      </c>
      <c r="L388" s="13">
        <v>1</v>
      </c>
      <c r="M388" s="16">
        <v>495201</v>
      </c>
      <c r="N388" s="16">
        <f t="shared" si="13"/>
        <v>495201</v>
      </c>
      <c r="O388" s="13" t="s">
        <v>22</v>
      </c>
      <c r="P388" s="2">
        <v>384</v>
      </c>
    </row>
    <row r="389" spans="1:16" x14ac:dyDescent="0.25">
      <c r="A389" s="13" t="s">
        <v>368</v>
      </c>
      <c r="B389" s="14">
        <v>45871</v>
      </c>
      <c r="C389" s="13">
        <f t="shared" si="12"/>
        <v>482</v>
      </c>
      <c r="D389" s="13">
        <v>1</v>
      </c>
      <c r="E389" s="15"/>
      <c r="F389" s="13"/>
      <c r="G389" s="15" t="s">
        <v>154</v>
      </c>
      <c r="H389" s="13" t="s">
        <v>453</v>
      </c>
      <c r="I389" s="13">
        <v>331</v>
      </c>
      <c r="J389" s="13">
        <v>1111</v>
      </c>
      <c r="K389" s="13" t="s">
        <v>21</v>
      </c>
      <c r="L389" s="13">
        <v>1</v>
      </c>
      <c r="M389" s="16">
        <v>275000</v>
      </c>
      <c r="N389" s="16">
        <f t="shared" si="13"/>
        <v>275000</v>
      </c>
      <c r="O389" s="13" t="s">
        <v>22</v>
      </c>
      <c r="P389" s="2">
        <v>385</v>
      </c>
    </row>
    <row r="390" spans="1:16" x14ac:dyDescent="0.25">
      <c r="A390" s="13" t="s">
        <v>368</v>
      </c>
      <c r="B390" s="14">
        <v>45872</v>
      </c>
      <c r="C390" s="13">
        <f t="shared" si="12"/>
        <v>483</v>
      </c>
      <c r="D390" s="13">
        <v>1</v>
      </c>
      <c r="E390" s="15"/>
      <c r="F390" s="13"/>
      <c r="G390" s="15" t="s">
        <v>25</v>
      </c>
      <c r="H390" s="13" t="s">
        <v>454</v>
      </c>
      <c r="I390" s="13">
        <v>331</v>
      </c>
      <c r="J390" s="13">
        <v>1111</v>
      </c>
      <c r="K390" s="13" t="s">
        <v>21</v>
      </c>
      <c r="L390" s="13">
        <v>1</v>
      </c>
      <c r="M390" s="16">
        <v>154000</v>
      </c>
      <c r="N390" s="16">
        <f t="shared" si="13"/>
        <v>154000</v>
      </c>
      <c r="O390" s="13" t="s">
        <v>22</v>
      </c>
      <c r="P390" s="2">
        <v>386</v>
      </c>
    </row>
    <row r="391" spans="1:16" x14ac:dyDescent="0.25">
      <c r="A391" s="13" t="s">
        <v>368</v>
      </c>
      <c r="B391" s="14">
        <v>45872</v>
      </c>
      <c r="C391" s="13">
        <f t="shared" si="12"/>
        <v>484</v>
      </c>
      <c r="D391" s="13">
        <v>1</v>
      </c>
      <c r="E391" s="15"/>
      <c r="F391" s="13"/>
      <c r="G391" s="15" t="s">
        <v>25</v>
      </c>
      <c r="H391" s="13" t="s">
        <v>455</v>
      </c>
      <c r="I391" s="13">
        <v>331</v>
      </c>
      <c r="J391" s="13">
        <v>1111</v>
      </c>
      <c r="K391" s="13" t="s">
        <v>21</v>
      </c>
      <c r="L391" s="13">
        <v>1</v>
      </c>
      <c r="M391" s="16">
        <v>82000</v>
      </c>
      <c r="N391" s="16">
        <f t="shared" si="13"/>
        <v>82000</v>
      </c>
      <c r="O391" s="13" t="s">
        <v>22</v>
      </c>
      <c r="P391" s="2">
        <v>387</v>
      </c>
    </row>
    <row r="392" spans="1:16" x14ac:dyDescent="0.25">
      <c r="A392" s="13" t="s">
        <v>368</v>
      </c>
      <c r="B392" s="14">
        <v>45873</v>
      </c>
      <c r="C392" s="13">
        <f t="shared" si="12"/>
        <v>485</v>
      </c>
      <c r="D392" s="13">
        <v>1</v>
      </c>
      <c r="E392" s="15"/>
      <c r="F392" s="13"/>
      <c r="G392" s="15" t="s">
        <v>158</v>
      </c>
      <c r="H392" s="13" t="s">
        <v>456</v>
      </c>
      <c r="I392" s="13">
        <v>331</v>
      </c>
      <c r="J392" s="13">
        <v>1111</v>
      </c>
      <c r="K392" s="13" t="s">
        <v>21</v>
      </c>
      <c r="L392" s="13">
        <v>1</v>
      </c>
      <c r="M392" s="16">
        <v>3240000</v>
      </c>
      <c r="N392" s="16">
        <f t="shared" si="13"/>
        <v>3240000</v>
      </c>
      <c r="O392" s="13" t="s">
        <v>22</v>
      </c>
      <c r="P392" s="2">
        <v>388</v>
      </c>
    </row>
    <row r="393" spans="1:16" x14ac:dyDescent="0.25">
      <c r="A393" s="13" t="s">
        <v>368</v>
      </c>
      <c r="B393" s="14">
        <v>45873</v>
      </c>
      <c r="C393" s="13">
        <f t="shared" si="12"/>
        <v>486</v>
      </c>
      <c r="D393" s="13">
        <v>1</v>
      </c>
      <c r="E393" s="15"/>
      <c r="F393" s="13"/>
      <c r="G393" s="15" t="s">
        <v>25</v>
      </c>
      <c r="H393" s="13" t="s">
        <v>457</v>
      </c>
      <c r="I393" s="13">
        <v>331</v>
      </c>
      <c r="J393" s="13">
        <v>1111</v>
      </c>
      <c r="K393" s="13" t="s">
        <v>21</v>
      </c>
      <c r="L393" s="13">
        <v>1</v>
      </c>
      <c r="M393" s="16">
        <v>149000</v>
      </c>
      <c r="N393" s="16">
        <f t="shared" si="13"/>
        <v>149000</v>
      </c>
      <c r="O393" s="13" t="s">
        <v>22</v>
      </c>
      <c r="P393" s="2">
        <v>389</v>
      </c>
    </row>
    <row r="394" spans="1:16" x14ac:dyDescent="0.25">
      <c r="A394" s="13" t="s">
        <v>368</v>
      </c>
      <c r="B394" s="14">
        <v>45873</v>
      </c>
      <c r="C394" s="13">
        <f t="shared" si="12"/>
        <v>487</v>
      </c>
      <c r="D394" s="13">
        <v>1</v>
      </c>
      <c r="E394" s="15"/>
      <c r="F394" s="13"/>
      <c r="G394" s="15" t="s">
        <v>25</v>
      </c>
      <c r="H394" s="13" t="s">
        <v>458</v>
      </c>
      <c r="I394" s="13">
        <v>331</v>
      </c>
      <c r="J394" s="13">
        <v>1111</v>
      </c>
      <c r="K394" s="13" t="s">
        <v>21</v>
      </c>
      <c r="L394" s="13">
        <v>1</v>
      </c>
      <c r="M394" s="16">
        <v>110000</v>
      </c>
      <c r="N394" s="16">
        <f t="shared" si="13"/>
        <v>110000</v>
      </c>
      <c r="O394" s="13" t="s">
        <v>22</v>
      </c>
      <c r="P394" s="2">
        <v>390</v>
      </c>
    </row>
    <row r="395" spans="1:16" x14ac:dyDescent="0.25">
      <c r="A395" s="13" t="s">
        <v>368</v>
      </c>
      <c r="B395" s="14">
        <v>45874</v>
      </c>
      <c r="C395" s="13">
        <f t="shared" si="12"/>
        <v>488</v>
      </c>
      <c r="D395" s="13">
        <v>1</v>
      </c>
      <c r="E395" s="15"/>
      <c r="F395" s="13"/>
      <c r="G395" s="15" t="s">
        <v>163</v>
      </c>
      <c r="H395" s="13" t="s">
        <v>459</v>
      </c>
      <c r="I395" s="13">
        <v>331</v>
      </c>
      <c r="J395" s="13">
        <v>1111</v>
      </c>
      <c r="K395" s="13" t="s">
        <v>21</v>
      </c>
      <c r="L395" s="13">
        <v>1</v>
      </c>
      <c r="M395" s="16">
        <v>1098360</v>
      </c>
      <c r="N395" s="16">
        <f t="shared" si="13"/>
        <v>1098360</v>
      </c>
      <c r="O395" s="13" t="s">
        <v>22</v>
      </c>
      <c r="P395" s="2">
        <v>391</v>
      </c>
    </row>
    <row r="396" spans="1:16" x14ac:dyDescent="0.25">
      <c r="A396" s="13" t="s">
        <v>368</v>
      </c>
      <c r="B396" s="14">
        <v>45874</v>
      </c>
      <c r="C396" s="13">
        <f t="shared" si="12"/>
        <v>489</v>
      </c>
      <c r="D396" s="13">
        <v>1</v>
      </c>
      <c r="E396" s="15"/>
      <c r="F396" s="13"/>
      <c r="G396" s="15" t="s">
        <v>25</v>
      </c>
      <c r="H396" s="13" t="s">
        <v>460</v>
      </c>
      <c r="I396" s="13">
        <v>331</v>
      </c>
      <c r="J396" s="13">
        <v>1111</v>
      </c>
      <c r="K396" s="13" t="s">
        <v>21</v>
      </c>
      <c r="L396" s="13">
        <v>1</v>
      </c>
      <c r="M396" s="16">
        <v>110000</v>
      </c>
      <c r="N396" s="16">
        <f t="shared" si="13"/>
        <v>110000</v>
      </c>
      <c r="O396" s="13" t="s">
        <v>22</v>
      </c>
      <c r="P396" s="2">
        <v>392</v>
      </c>
    </row>
    <row r="397" spans="1:16" x14ac:dyDescent="0.25">
      <c r="A397" s="13" t="s">
        <v>368</v>
      </c>
      <c r="B397" s="14">
        <v>45875</v>
      </c>
      <c r="C397" s="13">
        <f t="shared" si="12"/>
        <v>490</v>
      </c>
      <c r="D397" s="13">
        <v>1</v>
      </c>
      <c r="E397" s="15"/>
      <c r="F397" s="13"/>
      <c r="G397" s="15" t="s">
        <v>25</v>
      </c>
      <c r="H397" s="13" t="s">
        <v>461</v>
      </c>
      <c r="I397" s="13">
        <v>331</v>
      </c>
      <c r="J397" s="13">
        <v>1111</v>
      </c>
      <c r="K397" s="13" t="s">
        <v>21</v>
      </c>
      <c r="L397" s="13">
        <v>1</v>
      </c>
      <c r="M397" s="16">
        <v>110000</v>
      </c>
      <c r="N397" s="16">
        <f t="shared" si="13"/>
        <v>110000</v>
      </c>
      <c r="O397" s="13" t="s">
        <v>22</v>
      </c>
      <c r="P397" s="2">
        <v>393</v>
      </c>
    </row>
    <row r="398" spans="1:16" x14ac:dyDescent="0.25">
      <c r="A398" s="13" t="s">
        <v>368</v>
      </c>
      <c r="B398" s="14">
        <v>45876</v>
      </c>
      <c r="C398" s="13">
        <f t="shared" si="12"/>
        <v>491</v>
      </c>
      <c r="D398" s="13">
        <v>1</v>
      </c>
      <c r="E398" s="15"/>
      <c r="F398" s="13"/>
      <c r="G398" s="15" t="s">
        <v>174</v>
      </c>
      <c r="H398" s="13" t="s">
        <v>462</v>
      </c>
      <c r="I398" s="13">
        <v>331</v>
      </c>
      <c r="J398" s="13">
        <v>1111</v>
      </c>
      <c r="K398" s="13" t="s">
        <v>21</v>
      </c>
      <c r="L398" s="13">
        <v>1</v>
      </c>
      <c r="M398" s="16">
        <v>637200</v>
      </c>
      <c r="N398" s="16">
        <f t="shared" si="13"/>
        <v>637200</v>
      </c>
      <c r="O398" s="13" t="s">
        <v>22</v>
      </c>
      <c r="P398" s="2">
        <v>394</v>
      </c>
    </row>
    <row r="399" spans="1:16" x14ac:dyDescent="0.25">
      <c r="A399" s="13" t="s">
        <v>368</v>
      </c>
      <c r="B399" s="14">
        <v>45876</v>
      </c>
      <c r="C399" s="13">
        <f t="shared" si="12"/>
        <v>492</v>
      </c>
      <c r="D399" s="13">
        <v>1</v>
      </c>
      <c r="E399" s="15"/>
      <c r="F399" s="13"/>
      <c r="G399" s="15" t="s">
        <v>25</v>
      </c>
      <c r="H399" s="13" t="s">
        <v>463</v>
      </c>
      <c r="I399" s="13">
        <v>331</v>
      </c>
      <c r="J399" s="13">
        <v>1111</v>
      </c>
      <c r="K399" s="13" t="s">
        <v>21</v>
      </c>
      <c r="L399" s="13">
        <v>1</v>
      </c>
      <c r="M399" s="16">
        <v>110000</v>
      </c>
      <c r="N399" s="16">
        <f t="shared" si="13"/>
        <v>110000</v>
      </c>
      <c r="O399" s="13" t="s">
        <v>22</v>
      </c>
      <c r="P399" s="2">
        <v>395</v>
      </c>
    </row>
    <row r="400" spans="1:16" x14ac:dyDescent="0.25">
      <c r="A400" s="13" t="s">
        <v>368</v>
      </c>
      <c r="B400" s="14">
        <v>45876</v>
      </c>
      <c r="C400" s="13">
        <f t="shared" si="12"/>
        <v>493</v>
      </c>
      <c r="D400" s="13">
        <v>1</v>
      </c>
      <c r="E400" s="15"/>
      <c r="F400" s="13"/>
      <c r="G400" s="15" t="s">
        <v>25</v>
      </c>
      <c r="H400" s="13" t="s">
        <v>464</v>
      </c>
      <c r="I400" s="13">
        <v>331</v>
      </c>
      <c r="J400" s="13">
        <v>1111</v>
      </c>
      <c r="K400" s="13" t="s">
        <v>21</v>
      </c>
      <c r="L400" s="13">
        <v>1</v>
      </c>
      <c r="M400" s="16">
        <v>124000</v>
      </c>
      <c r="N400" s="16">
        <f t="shared" si="13"/>
        <v>124000</v>
      </c>
      <c r="O400" s="13" t="s">
        <v>22</v>
      </c>
      <c r="P400" s="2">
        <v>396</v>
      </c>
    </row>
    <row r="401" spans="1:16" x14ac:dyDescent="0.25">
      <c r="A401" s="13" t="s">
        <v>368</v>
      </c>
      <c r="B401" s="14">
        <v>45877</v>
      </c>
      <c r="C401" s="13">
        <f t="shared" si="12"/>
        <v>494</v>
      </c>
      <c r="D401" s="13">
        <v>1</v>
      </c>
      <c r="E401" s="15"/>
      <c r="F401" s="13"/>
      <c r="G401" s="15" t="s">
        <v>35</v>
      </c>
      <c r="H401" s="13" t="s">
        <v>465</v>
      </c>
      <c r="I401" s="13">
        <v>331</v>
      </c>
      <c r="J401" s="13">
        <v>1111</v>
      </c>
      <c r="K401" s="13" t="s">
        <v>21</v>
      </c>
      <c r="L401" s="13">
        <v>1</v>
      </c>
      <c r="M401" s="16">
        <v>301000</v>
      </c>
      <c r="N401" s="16">
        <f t="shared" si="13"/>
        <v>301000</v>
      </c>
      <c r="O401" s="13" t="s">
        <v>22</v>
      </c>
      <c r="P401" s="2">
        <v>397</v>
      </c>
    </row>
    <row r="402" spans="1:16" x14ac:dyDescent="0.25">
      <c r="A402" s="13" t="s">
        <v>368</v>
      </c>
      <c r="B402" s="14">
        <v>45877</v>
      </c>
      <c r="C402" s="13">
        <f t="shared" si="12"/>
        <v>495</v>
      </c>
      <c r="D402" s="13">
        <v>1</v>
      </c>
      <c r="E402" s="15"/>
      <c r="F402" s="13"/>
      <c r="G402" s="15" t="s">
        <v>19</v>
      </c>
      <c r="H402" s="13" t="s">
        <v>466</v>
      </c>
      <c r="I402" s="13">
        <v>331</v>
      </c>
      <c r="J402" s="13">
        <v>1111</v>
      </c>
      <c r="K402" s="13" t="s">
        <v>21</v>
      </c>
      <c r="L402" s="13">
        <v>1</v>
      </c>
      <c r="M402" s="16">
        <v>146000</v>
      </c>
      <c r="N402" s="16">
        <f t="shared" si="13"/>
        <v>146000</v>
      </c>
      <c r="O402" s="13" t="s">
        <v>22</v>
      </c>
      <c r="P402" s="2">
        <v>398</v>
      </c>
    </row>
    <row r="403" spans="1:16" x14ac:dyDescent="0.25">
      <c r="A403" s="13" t="s">
        <v>368</v>
      </c>
      <c r="B403" s="14">
        <v>45877</v>
      </c>
      <c r="C403" s="13">
        <f t="shared" si="12"/>
        <v>496</v>
      </c>
      <c r="D403" s="13">
        <v>1</v>
      </c>
      <c r="E403" s="15"/>
      <c r="F403" s="13"/>
      <c r="G403" s="15" t="s">
        <v>80</v>
      </c>
      <c r="H403" s="13" t="s">
        <v>467</v>
      </c>
      <c r="I403" s="13">
        <v>331</v>
      </c>
      <c r="J403" s="13">
        <v>1111</v>
      </c>
      <c r="K403" s="13" t="s">
        <v>21</v>
      </c>
      <c r="L403" s="13">
        <v>1</v>
      </c>
      <c r="M403" s="16">
        <v>415000</v>
      </c>
      <c r="N403" s="16">
        <f t="shared" si="13"/>
        <v>415000</v>
      </c>
      <c r="O403" s="13" t="s">
        <v>22</v>
      </c>
      <c r="P403" s="2">
        <v>399</v>
      </c>
    </row>
    <row r="404" spans="1:16" x14ac:dyDescent="0.25">
      <c r="A404" s="13" t="s">
        <v>368</v>
      </c>
      <c r="B404" s="14">
        <v>45877</v>
      </c>
      <c r="C404" s="13">
        <f t="shared" si="12"/>
        <v>497</v>
      </c>
      <c r="D404" s="13">
        <v>1</v>
      </c>
      <c r="E404" s="15"/>
      <c r="F404" s="13"/>
      <c r="G404" s="15" t="s">
        <v>25</v>
      </c>
      <c r="H404" s="13" t="s">
        <v>468</v>
      </c>
      <c r="I404" s="13">
        <v>331</v>
      </c>
      <c r="J404" s="13">
        <v>1111</v>
      </c>
      <c r="K404" s="13" t="s">
        <v>21</v>
      </c>
      <c r="L404" s="13">
        <v>1</v>
      </c>
      <c r="M404" s="16">
        <v>257000</v>
      </c>
      <c r="N404" s="16">
        <f t="shared" si="13"/>
        <v>257000</v>
      </c>
      <c r="O404" s="13" t="s">
        <v>22</v>
      </c>
      <c r="P404" s="2">
        <v>400</v>
      </c>
    </row>
    <row r="405" spans="1:16" x14ac:dyDescent="0.25">
      <c r="A405" s="13" t="s">
        <v>368</v>
      </c>
      <c r="B405" s="14">
        <v>45878</v>
      </c>
      <c r="C405" s="13">
        <f t="shared" si="12"/>
        <v>498</v>
      </c>
      <c r="D405" s="13">
        <v>1</v>
      </c>
      <c r="E405" s="15"/>
      <c r="F405" s="13"/>
      <c r="G405" s="15" t="s">
        <v>19</v>
      </c>
      <c r="H405" s="13" t="s">
        <v>469</v>
      </c>
      <c r="I405" s="13">
        <v>331</v>
      </c>
      <c r="J405" s="13">
        <v>1111</v>
      </c>
      <c r="K405" s="13" t="s">
        <v>21</v>
      </c>
      <c r="L405" s="13">
        <v>1</v>
      </c>
      <c r="M405" s="16">
        <v>36000</v>
      </c>
      <c r="N405" s="16">
        <f t="shared" si="13"/>
        <v>36000</v>
      </c>
      <c r="O405" s="13" t="s">
        <v>22</v>
      </c>
      <c r="P405" s="2">
        <v>401</v>
      </c>
    </row>
    <row r="406" spans="1:16" x14ac:dyDescent="0.25">
      <c r="A406" s="13" t="s">
        <v>368</v>
      </c>
      <c r="B406" s="14">
        <v>45878</v>
      </c>
      <c r="C406" s="13">
        <f t="shared" si="12"/>
        <v>499</v>
      </c>
      <c r="D406" s="13">
        <v>1</v>
      </c>
      <c r="E406" s="15"/>
      <c r="F406" s="13"/>
      <c r="G406" s="15" t="s">
        <v>25</v>
      </c>
      <c r="H406" s="13" t="s">
        <v>470</v>
      </c>
      <c r="I406" s="13">
        <v>331</v>
      </c>
      <c r="J406" s="13">
        <v>1111</v>
      </c>
      <c r="K406" s="13" t="s">
        <v>21</v>
      </c>
      <c r="L406" s="13">
        <v>1</v>
      </c>
      <c r="M406" s="16">
        <v>149000</v>
      </c>
      <c r="N406" s="16">
        <f t="shared" si="13"/>
        <v>149000</v>
      </c>
      <c r="O406" s="13" t="s">
        <v>22</v>
      </c>
      <c r="P406" s="2">
        <v>402</v>
      </c>
    </row>
    <row r="407" spans="1:16" x14ac:dyDescent="0.25">
      <c r="A407" s="13" t="s">
        <v>368</v>
      </c>
      <c r="B407" s="14">
        <v>45879</v>
      </c>
      <c r="C407" s="13">
        <f t="shared" si="12"/>
        <v>500</v>
      </c>
      <c r="D407" s="13">
        <v>1</v>
      </c>
      <c r="E407" s="15"/>
      <c r="F407" s="13"/>
      <c r="G407" s="15" t="s">
        <v>19</v>
      </c>
      <c r="H407" s="13" t="s">
        <v>471</v>
      </c>
      <c r="I407" s="13">
        <v>331</v>
      </c>
      <c r="J407" s="13">
        <v>1111</v>
      </c>
      <c r="K407" s="13" t="s">
        <v>21</v>
      </c>
      <c r="L407" s="13">
        <v>1</v>
      </c>
      <c r="M407" s="16">
        <v>72000</v>
      </c>
      <c r="N407" s="16">
        <f t="shared" si="13"/>
        <v>72000</v>
      </c>
      <c r="O407" s="13" t="s">
        <v>22</v>
      </c>
      <c r="P407" s="2">
        <v>403</v>
      </c>
    </row>
    <row r="408" spans="1:16" x14ac:dyDescent="0.25">
      <c r="A408" s="13" t="s">
        <v>368</v>
      </c>
      <c r="B408" s="14">
        <v>45879</v>
      </c>
      <c r="C408" s="13">
        <f t="shared" si="12"/>
        <v>501</v>
      </c>
      <c r="D408" s="13">
        <v>1</v>
      </c>
      <c r="E408" s="15"/>
      <c r="F408" s="13"/>
      <c r="G408" s="15" t="s">
        <v>19</v>
      </c>
      <c r="H408" s="13" t="s">
        <v>472</v>
      </c>
      <c r="I408" s="13">
        <v>331</v>
      </c>
      <c r="J408" s="13">
        <v>1111</v>
      </c>
      <c r="K408" s="13" t="s">
        <v>21</v>
      </c>
      <c r="L408" s="13">
        <v>1</v>
      </c>
      <c r="M408" s="16">
        <v>131000</v>
      </c>
      <c r="N408" s="16">
        <f t="shared" si="13"/>
        <v>131000</v>
      </c>
      <c r="O408" s="13" t="s">
        <v>22</v>
      </c>
      <c r="P408" s="2">
        <v>404</v>
      </c>
    </row>
    <row r="409" spans="1:16" x14ac:dyDescent="0.25">
      <c r="A409" s="13" t="s">
        <v>368</v>
      </c>
      <c r="B409" s="14">
        <v>45879</v>
      </c>
      <c r="C409" s="13">
        <f t="shared" si="12"/>
        <v>502</v>
      </c>
      <c r="D409" s="13">
        <v>1</v>
      </c>
      <c r="E409" s="15"/>
      <c r="F409" s="13"/>
      <c r="G409" s="15" t="s">
        <v>25</v>
      </c>
      <c r="H409" s="13" t="s">
        <v>473</v>
      </c>
      <c r="I409" s="13">
        <v>331</v>
      </c>
      <c r="J409" s="13">
        <v>1111</v>
      </c>
      <c r="K409" s="13" t="s">
        <v>21</v>
      </c>
      <c r="L409" s="13">
        <v>1</v>
      </c>
      <c r="M409" s="16">
        <v>149000</v>
      </c>
      <c r="N409" s="16">
        <f t="shared" si="13"/>
        <v>149000</v>
      </c>
      <c r="O409" s="13" t="s">
        <v>22</v>
      </c>
      <c r="P409" s="2">
        <v>405</v>
      </c>
    </row>
    <row r="410" spans="1:16" x14ac:dyDescent="0.25">
      <c r="A410" s="13" t="s">
        <v>368</v>
      </c>
      <c r="B410" s="14">
        <v>45880</v>
      </c>
      <c r="C410" s="13">
        <f t="shared" si="12"/>
        <v>503</v>
      </c>
      <c r="D410" s="13">
        <v>1</v>
      </c>
      <c r="E410" s="15"/>
      <c r="F410" s="13"/>
      <c r="G410" s="15" t="s">
        <v>78</v>
      </c>
      <c r="H410" s="13" t="s">
        <v>474</v>
      </c>
      <c r="I410" s="13">
        <v>331</v>
      </c>
      <c r="J410" s="13">
        <v>1111</v>
      </c>
      <c r="K410" s="13" t="s">
        <v>21</v>
      </c>
      <c r="L410" s="13">
        <v>1</v>
      </c>
      <c r="M410" s="16">
        <v>311040</v>
      </c>
      <c r="N410" s="16">
        <f t="shared" si="13"/>
        <v>311040</v>
      </c>
      <c r="O410" s="13" t="s">
        <v>22</v>
      </c>
      <c r="P410" s="2">
        <v>406</v>
      </c>
    </row>
    <row r="411" spans="1:16" x14ac:dyDescent="0.25">
      <c r="A411" s="13" t="s">
        <v>368</v>
      </c>
      <c r="B411" s="14">
        <v>45880</v>
      </c>
      <c r="C411" s="13">
        <f t="shared" si="12"/>
        <v>504</v>
      </c>
      <c r="D411" s="13">
        <v>1</v>
      </c>
      <c r="E411" s="15"/>
      <c r="F411" s="13"/>
      <c r="G411" s="15" t="s">
        <v>25</v>
      </c>
      <c r="H411" s="13" t="s">
        <v>475</v>
      </c>
      <c r="I411" s="13">
        <v>331</v>
      </c>
      <c r="J411" s="13">
        <v>1111</v>
      </c>
      <c r="K411" s="13" t="s">
        <v>21</v>
      </c>
      <c r="L411" s="13">
        <v>1</v>
      </c>
      <c r="M411" s="16">
        <v>110000</v>
      </c>
      <c r="N411" s="16">
        <f t="shared" si="13"/>
        <v>110000</v>
      </c>
      <c r="O411" s="13" t="s">
        <v>22</v>
      </c>
      <c r="P411" s="2">
        <v>407</v>
      </c>
    </row>
    <row r="412" spans="1:16" x14ac:dyDescent="0.25">
      <c r="A412" s="13" t="s">
        <v>368</v>
      </c>
      <c r="B412" s="14">
        <v>45880</v>
      </c>
      <c r="C412" s="13">
        <f t="shared" si="12"/>
        <v>505</v>
      </c>
      <c r="D412" s="13">
        <v>1</v>
      </c>
      <c r="E412" s="15"/>
      <c r="F412" s="13"/>
      <c r="G412" s="15" t="s">
        <v>25</v>
      </c>
      <c r="H412" s="13" t="s">
        <v>476</v>
      </c>
      <c r="I412" s="13">
        <v>331</v>
      </c>
      <c r="J412" s="13">
        <v>1111</v>
      </c>
      <c r="K412" s="13" t="s">
        <v>21</v>
      </c>
      <c r="L412" s="13">
        <v>1</v>
      </c>
      <c r="M412" s="16">
        <v>149000</v>
      </c>
      <c r="N412" s="16">
        <f t="shared" si="13"/>
        <v>149000</v>
      </c>
      <c r="O412" s="13" t="s">
        <v>22</v>
      </c>
      <c r="P412" s="2">
        <v>408</v>
      </c>
    </row>
    <row r="413" spans="1:16" x14ac:dyDescent="0.25">
      <c r="A413" s="13" t="s">
        <v>368</v>
      </c>
      <c r="B413" s="14">
        <v>45881</v>
      </c>
      <c r="C413" s="13">
        <f t="shared" si="12"/>
        <v>506</v>
      </c>
      <c r="D413" s="13">
        <v>1</v>
      </c>
      <c r="E413" s="15"/>
      <c r="F413" s="13"/>
      <c r="G413" s="15" t="s">
        <v>25</v>
      </c>
      <c r="H413" s="13" t="s">
        <v>477</v>
      </c>
      <c r="I413" s="13">
        <v>331</v>
      </c>
      <c r="J413" s="13">
        <v>1111</v>
      </c>
      <c r="K413" s="13" t="s">
        <v>21</v>
      </c>
      <c r="L413" s="13">
        <v>1</v>
      </c>
      <c r="M413" s="16">
        <v>149000</v>
      </c>
      <c r="N413" s="16">
        <f t="shared" si="13"/>
        <v>149000</v>
      </c>
      <c r="O413" s="13" t="s">
        <v>22</v>
      </c>
      <c r="P413" s="2">
        <v>409</v>
      </c>
    </row>
    <row r="414" spans="1:16" x14ac:dyDescent="0.25">
      <c r="A414" s="13" t="s">
        <v>368</v>
      </c>
      <c r="B414" s="14">
        <v>45881</v>
      </c>
      <c r="C414" s="13">
        <f t="shared" si="12"/>
        <v>507</v>
      </c>
      <c r="D414" s="13">
        <v>1</v>
      </c>
      <c r="E414" s="15"/>
      <c r="F414" s="13"/>
      <c r="G414" s="15" t="s">
        <v>199</v>
      </c>
      <c r="H414" s="13" t="s">
        <v>478</v>
      </c>
      <c r="I414" s="13">
        <v>331</v>
      </c>
      <c r="J414" s="13">
        <v>1111</v>
      </c>
      <c r="K414" s="13" t="s">
        <v>21</v>
      </c>
      <c r="L414" s="13">
        <v>1</v>
      </c>
      <c r="M414" s="16">
        <v>621000</v>
      </c>
      <c r="N414" s="16">
        <f t="shared" si="13"/>
        <v>621000</v>
      </c>
      <c r="O414" s="13" t="s">
        <v>22</v>
      </c>
      <c r="P414" s="2">
        <v>410</v>
      </c>
    </row>
    <row r="415" spans="1:16" x14ac:dyDescent="0.25">
      <c r="A415" s="13" t="s">
        <v>368</v>
      </c>
      <c r="B415" s="14">
        <v>45881</v>
      </c>
      <c r="C415" s="13">
        <f t="shared" si="12"/>
        <v>508</v>
      </c>
      <c r="D415" s="13">
        <v>1</v>
      </c>
      <c r="E415" s="15"/>
      <c r="F415" s="13"/>
      <c r="G415" s="15" t="s">
        <v>25</v>
      </c>
      <c r="H415" s="13" t="s">
        <v>479</v>
      </c>
      <c r="I415" s="13">
        <v>331</v>
      </c>
      <c r="J415" s="13">
        <v>1111</v>
      </c>
      <c r="K415" s="13" t="s">
        <v>21</v>
      </c>
      <c r="L415" s="13">
        <v>1</v>
      </c>
      <c r="M415" s="16">
        <v>110000</v>
      </c>
      <c r="N415" s="16">
        <f t="shared" si="13"/>
        <v>110000</v>
      </c>
      <c r="O415" s="13" t="s">
        <v>22</v>
      </c>
      <c r="P415" s="2">
        <v>411</v>
      </c>
    </row>
    <row r="416" spans="1:16" x14ac:dyDescent="0.25">
      <c r="A416" s="13" t="s">
        <v>368</v>
      </c>
      <c r="B416" s="14">
        <v>45882</v>
      </c>
      <c r="C416" s="13">
        <f t="shared" si="12"/>
        <v>509</v>
      </c>
      <c r="D416" s="13">
        <v>1</v>
      </c>
      <c r="E416" s="15"/>
      <c r="F416" s="13"/>
      <c r="G416" s="15" t="s">
        <v>80</v>
      </c>
      <c r="H416" s="13" t="s">
        <v>480</v>
      </c>
      <c r="I416" s="13">
        <v>331</v>
      </c>
      <c r="J416" s="13">
        <v>1111</v>
      </c>
      <c r="K416" s="13" t="s">
        <v>21</v>
      </c>
      <c r="L416" s="13">
        <v>1</v>
      </c>
      <c r="M416" s="16">
        <v>360000</v>
      </c>
      <c r="N416" s="16">
        <f t="shared" si="13"/>
        <v>360000</v>
      </c>
      <c r="O416" s="13" t="s">
        <v>22</v>
      </c>
      <c r="P416" s="2">
        <v>412</v>
      </c>
    </row>
    <row r="417" spans="1:16" x14ac:dyDescent="0.25">
      <c r="A417" s="13" t="s">
        <v>368</v>
      </c>
      <c r="B417" s="14">
        <v>45882</v>
      </c>
      <c r="C417" s="13">
        <f t="shared" si="12"/>
        <v>510</v>
      </c>
      <c r="D417" s="13">
        <v>1</v>
      </c>
      <c r="E417" s="15"/>
      <c r="F417" s="13"/>
      <c r="G417" s="15" t="s">
        <v>25</v>
      </c>
      <c r="H417" s="13" t="s">
        <v>481</v>
      </c>
      <c r="I417" s="13">
        <v>331</v>
      </c>
      <c r="J417" s="13">
        <v>1111</v>
      </c>
      <c r="K417" s="13" t="s">
        <v>21</v>
      </c>
      <c r="L417" s="13">
        <v>1</v>
      </c>
      <c r="M417" s="16">
        <v>110000</v>
      </c>
      <c r="N417" s="16">
        <f t="shared" si="13"/>
        <v>110000</v>
      </c>
      <c r="O417" s="13" t="s">
        <v>22</v>
      </c>
      <c r="P417" s="2">
        <v>413</v>
      </c>
    </row>
    <row r="418" spans="1:16" x14ac:dyDescent="0.25">
      <c r="A418" s="13" t="s">
        <v>368</v>
      </c>
      <c r="B418" s="14">
        <v>45882</v>
      </c>
      <c r="C418" s="13">
        <f t="shared" si="12"/>
        <v>511</v>
      </c>
      <c r="D418" s="13">
        <v>1</v>
      </c>
      <c r="E418" s="15"/>
      <c r="F418" s="13"/>
      <c r="G418" s="15" t="s">
        <v>136</v>
      </c>
      <c r="H418" s="13" t="s">
        <v>482</v>
      </c>
      <c r="I418" s="13">
        <v>331</v>
      </c>
      <c r="J418" s="13">
        <v>1111</v>
      </c>
      <c r="K418" s="13" t="s">
        <v>21</v>
      </c>
      <c r="L418" s="13">
        <v>1</v>
      </c>
      <c r="M418" s="16">
        <v>1589528</v>
      </c>
      <c r="N418" s="16">
        <f t="shared" si="13"/>
        <v>1589528</v>
      </c>
      <c r="O418" s="13" t="s">
        <v>22</v>
      </c>
      <c r="P418" s="2">
        <v>414</v>
      </c>
    </row>
    <row r="419" spans="1:16" x14ac:dyDescent="0.25">
      <c r="A419" s="13" t="s">
        <v>368</v>
      </c>
      <c r="B419" s="14">
        <v>45883</v>
      </c>
      <c r="C419" s="13">
        <f t="shared" si="12"/>
        <v>512</v>
      </c>
      <c r="D419" s="13">
        <v>1</v>
      </c>
      <c r="E419" s="15"/>
      <c r="F419" s="13"/>
      <c r="G419" s="15" t="s">
        <v>25</v>
      </c>
      <c r="H419" s="13" t="s">
        <v>483</v>
      </c>
      <c r="I419" s="13">
        <v>331</v>
      </c>
      <c r="J419" s="13">
        <v>1111</v>
      </c>
      <c r="K419" s="13" t="s">
        <v>21</v>
      </c>
      <c r="L419" s="13">
        <v>1</v>
      </c>
      <c r="M419" s="16">
        <v>110000</v>
      </c>
      <c r="N419" s="16">
        <f t="shared" si="13"/>
        <v>110000</v>
      </c>
      <c r="O419" s="13" t="s">
        <v>22</v>
      </c>
      <c r="P419" s="2">
        <v>415</v>
      </c>
    </row>
    <row r="420" spans="1:16" x14ac:dyDescent="0.25">
      <c r="A420" s="13" t="s">
        <v>368</v>
      </c>
      <c r="B420" s="14">
        <v>45883</v>
      </c>
      <c r="C420" s="13">
        <f t="shared" si="12"/>
        <v>513</v>
      </c>
      <c r="D420" s="13">
        <v>1</v>
      </c>
      <c r="E420" s="15"/>
      <c r="F420" s="13"/>
      <c r="G420" s="15" t="s">
        <v>25</v>
      </c>
      <c r="H420" s="13" t="s">
        <v>484</v>
      </c>
      <c r="I420" s="13">
        <v>331</v>
      </c>
      <c r="J420" s="13">
        <v>1111</v>
      </c>
      <c r="K420" s="13" t="s">
        <v>21</v>
      </c>
      <c r="L420" s="13">
        <v>1</v>
      </c>
      <c r="M420" s="16">
        <v>139000</v>
      </c>
      <c r="N420" s="16">
        <f t="shared" si="13"/>
        <v>139000</v>
      </c>
      <c r="O420" s="13" t="s">
        <v>22</v>
      </c>
      <c r="P420" s="2">
        <v>416</v>
      </c>
    </row>
    <row r="421" spans="1:16" x14ac:dyDescent="0.25">
      <c r="A421" s="13" t="s">
        <v>368</v>
      </c>
      <c r="B421" s="14">
        <v>45884</v>
      </c>
      <c r="C421" s="13">
        <f t="shared" si="12"/>
        <v>514</v>
      </c>
      <c r="D421" s="13">
        <v>1</v>
      </c>
      <c r="E421" s="15"/>
      <c r="F421" s="13"/>
      <c r="G421" s="15" t="s">
        <v>209</v>
      </c>
      <c r="H421" s="13" t="s">
        <v>485</v>
      </c>
      <c r="I421" s="13">
        <v>331</v>
      </c>
      <c r="J421" s="13">
        <v>1111</v>
      </c>
      <c r="K421" s="13" t="s">
        <v>21</v>
      </c>
      <c r="L421" s="13">
        <v>1</v>
      </c>
      <c r="M421" s="16">
        <v>1709000</v>
      </c>
      <c r="N421" s="16">
        <f t="shared" si="13"/>
        <v>1709000</v>
      </c>
      <c r="O421" s="13" t="s">
        <v>22</v>
      </c>
      <c r="P421" s="2">
        <v>417</v>
      </c>
    </row>
    <row r="422" spans="1:16" x14ac:dyDescent="0.25">
      <c r="A422" s="13" t="s">
        <v>368</v>
      </c>
      <c r="B422" s="14">
        <v>45884</v>
      </c>
      <c r="C422" s="13">
        <f t="shared" si="12"/>
        <v>515</v>
      </c>
      <c r="D422" s="13">
        <v>1</v>
      </c>
      <c r="E422" s="15"/>
      <c r="F422" s="13"/>
      <c r="G422" s="15" t="s">
        <v>25</v>
      </c>
      <c r="H422" s="13" t="s">
        <v>486</v>
      </c>
      <c r="I422" s="13">
        <v>331</v>
      </c>
      <c r="J422" s="13">
        <v>1111</v>
      </c>
      <c r="K422" s="13" t="s">
        <v>21</v>
      </c>
      <c r="L422" s="13">
        <v>1</v>
      </c>
      <c r="M422" s="16">
        <v>110000</v>
      </c>
      <c r="N422" s="16">
        <f t="shared" si="13"/>
        <v>110000</v>
      </c>
      <c r="O422" s="13" t="s">
        <v>22</v>
      </c>
      <c r="P422" s="2">
        <v>418</v>
      </c>
    </row>
    <row r="423" spans="1:16" x14ac:dyDescent="0.25">
      <c r="A423" s="13" t="s">
        <v>368</v>
      </c>
      <c r="B423" s="14">
        <v>45884</v>
      </c>
      <c r="C423" s="13">
        <f t="shared" si="12"/>
        <v>516</v>
      </c>
      <c r="D423" s="13">
        <v>1</v>
      </c>
      <c r="E423" s="15"/>
      <c r="F423" s="13"/>
      <c r="G423" s="15" t="s">
        <v>25</v>
      </c>
      <c r="H423" s="13" t="s">
        <v>487</v>
      </c>
      <c r="I423" s="13">
        <v>331</v>
      </c>
      <c r="J423" s="13">
        <v>1111</v>
      </c>
      <c r="K423" s="13" t="s">
        <v>21</v>
      </c>
      <c r="L423" s="13">
        <v>1</v>
      </c>
      <c r="M423" s="16">
        <v>139000</v>
      </c>
      <c r="N423" s="16">
        <f t="shared" si="13"/>
        <v>139000</v>
      </c>
      <c r="O423" s="13" t="s">
        <v>22</v>
      </c>
      <c r="P423" s="2">
        <v>419</v>
      </c>
    </row>
    <row r="424" spans="1:16" x14ac:dyDescent="0.25">
      <c r="A424" s="13" t="s">
        <v>368</v>
      </c>
      <c r="B424" s="14">
        <v>45885</v>
      </c>
      <c r="C424" s="13">
        <f t="shared" si="12"/>
        <v>517</v>
      </c>
      <c r="D424" s="13">
        <v>1</v>
      </c>
      <c r="E424" s="15"/>
      <c r="F424" s="13"/>
      <c r="G424" s="15" t="s">
        <v>19</v>
      </c>
      <c r="H424" s="13" t="s">
        <v>488</v>
      </c>
      <c r="I424" s="13">
        <v>331</v>
      </c>
      <c r="J424" s="13">
        <v>1111</v>
      </c>
      <c r="K424" s="13" t="s">
        <v>21</v>
      </c>
      <c r="L424" s="13">
        <v>1</v>
      </c>
      <c r="M424" s="16">
        <v>211000</v>
      </c>
      <c r="N424" s="16">
        <f t="shared" si="13"/>
        <v>211000</v>
      </c>
      <c r="O424" s="13" t="s">
        <v>22</v>
      </c>
      <c r="P424" s="2">
        <v>420</v>
      </c>
    </row>
    <row r="425" spans="1:16" x14ac:dyDescent="0.25">
      <c r="A425" s="13" t="s">
        <v>368</v>
      </c>
      <c r="B425" s="14">
        <v>45885</v>
      </c>
      <c r="C425" s="13">
        <f t="shared" si="12"/>
        <v>518</v>
      </c>
      <c r="D425" s="13">
        <v>1</v>
      </c>
      <c r="E425" s="15"/>
      <c r="F425" s="13"/>
      <c r="G425" s="15" t="s">
        <v>143</v>
      </c>
      <c r="H425" s="13" t="s">
        <v>489</v>
      </c>
      <c r="I425" s="13">
        <v>331</v>
      </c>
      <c r="J425" s="13">
        <v>1111</v>
      </c>
      <c r="K425" s="13" t="s">
        <v>21</v>
      </c>
      <c r="L425" s="13">
        <v>1</v>
      </c>
      <c r="M425" s="16">
        <v>3735900</v>
      </c>
      <c r="N425" s="16">
        <f t="shared" si="13"/>
        <v>3735900</v>
      </c>
      <c r="O425" s="13" t="s">
        <v>22</v>
      </c>
      <c r="P425" s="2">
        <v>421</v>
      </c>
    </row>
    <row r="426" spans="1:16" x14ac:dyDescent="0.25">
      <c r="A426" s="13" t="s">
        <v>368</v>
      </c>
      <c r="B426" s="14">
        <v>45885</v>
      </c>
      <c r="C426" s="13">
        <f t="shared" si="12"/>
        <v>519</v>
      </c>
      <c r="D426" s="13">
        <v>1</v>
      </c>
      <c r="E426" s="15"/>
      <c r="F426" s="13"/>
      <c r="G426" s="15" t="s">
        <v>25</v>
      </c>
      <c r="H426" s="13" t="s">
        <v>490</v>
      </c>
      <c r="I426" s="13">
        <v>331</v>
      </c>
      <c r="J426" s="13">
        <v>1111</v>
      </c>
      <c r="K426" s="13" t="s">
        <v>21</v>
      </c>
      <c r="L426" s="13">
        <v>1</v>
      </c>
      <c r="M426" s="16">
        <v>149000</v>
      </c>
      <c r="N426" s="16">
        <f t="shared" si="13"/>
        <v>149000</v>
      </c>
      <c r="O426" s="13" t="s">
        <v>22</v>
      </c>
      <c r="P426" s="2">
        <v>422</v>
      </c>
    </row>
    <row r="427" spans="1:16" x14ac:dyDescent="0.25">
      <c r="A427" s="13" t="s">
        <v>368</v>
      </c>
      <c r="B427" s="14">
        <v>45886</v>
      </c>
      <c r="C427" s="13">
        <f t="shared" si="12"/>
        <v>520</v>
      </c>
      <c r="D427" s="13">
        <v>1</v>
      </c>
      <c r="E427" s="15"/>
      <c r="F427" s="13"/>
      <c r="G427" s="15" t="s">
        <v>25</v>
      </c>
      <c r="H427" s="13" t="s">
        <v>491</v>
      </c>
      <c r="I427" s="13">
        <v>331</v>
      </c>
      <c r="J427" s="13">
        <v>1111</v>
      </c>
      <c r="K427" s="13" t="s">
        <v>21</v>
      </c>
      <c r="L427" s="13">
        <v>1</v>
      </c>
      <c r="M427" s="16">
        <v>169000</v>
      </c>
      <c r="N427" s="16">
        <f t="shared" si="13"/>
        <v>169000</v>
      </c>
      <c r="O427" s="13" t="s">
        <v>22</v>
      </c>
      <c r="P427" s="2">
        <v>423</v>
      </c>
    </row>
    <row r="428" spans="1:16" x14ac:dyDescent="0.25">
      <c r="A428" s="13" t="s">
        <v>368</v>
      </c>
      <c r="B428" s="14">
        <v>45887</v>
      </c>
      <c r="C428" s="13">
        <f t="shared" si="12"/>
        <v>521</v>
      </c>
      <c r="D428" s="13">
        <v>1</v>
      </c>
      <c r="E428" s="15"/>
      <c r="F428" s="13"/>
      <c r="G428" s="15" t="s">
        <v>19</v>
      </c>
      <c r="H428" s="13" t="s">
        <v>492</v>
      </c>
      <c r="I428" s="13">
        <v>331</v>
      </c>
      <c r="J428" s="13">
        <v>1111</v>
      </c>
      <c r="K428" s="13" t="s">
        <v>21</v>
      </c>
      <c r="L428" s="13">
        <v>1</v>
      </c>
      <c r="M428" s="16">
        <v>92000</v>
      </c>
      <c r="N428" s="16">
        <f t="shared" si="13"/>
        <v>92000</v>
      </c>
      <c r="O428" s="13" t="s">
        <v>22</v>
      </c>
      <c r="P428" s="2">
        <v>424</v>
      </c>
    </row>
    <row r="429" spans="1:16" x14ac:dyDescent="0.25">
      <c r="A429" s="13" t="s">
        <v>368</v>
      </c>
      <c r="B429" s="14">
        <v>45887</v>
      </c>
      <c r="C429" s="13">
        <f t="shared" si="12"/>
        <v>522</v>
      </c>
      <c r="D429" s="13">
        <v>1</v>
      </c>
      <c r="E429" s="15"/>
      <c r="F429" s="13"/>
      <c r="G429" s="15" t="s">
        <v>25</v>
      </c>
      <c r="H429" s="13" t="s">
        <v>493</v>
      </c>
      <c r="I429" s="13">
        <v>331</v>
      </c>
      <c r="J429" s="13">
        <v>1111</v>
      </c>
      <c r="K429" s="13" t="s">
        <v>21</v>
      </c>
      <c r="L429" s="13">
        <v>1</v>
      </c>
      <c r="M429" s="16">
        <v>110000</v>
      </c>
      <c r="N429" s="16">
        <f t="shared" si="13"/>
        <v>110000</v>
      </c>
      <c r="O429" s="13" t="s">
        <v>22</v>
      </c>
      <c r="P429" s="2">
        <v>425</v>
      </c>
    </row>
    <row r="430" spans="1:16" x14ac:dyDescent="0.25">
      <c r="A430" s="13" t="s">
        <v>368</v>
      </c>
      <c r="B430" s="14">
        <v>45887</v>
      </c>
      <c r="C430" s="13">
        <f t="shared" si="12"/>
        <v>523</v>
      </c>
      <c r="D430" s="13">
        <v>1</v>
      </c>
      <c r="E430" s="15"/>
      <c r="F430" s="13"/>
      <c r="G430" s="15" t="s">
        <v>25</v>
      </c>
      <c r="H430" s="13" t="s">
        <v>494</v>
      </c>
      <c r="I430" s="13">
        <v>331</v>
      </c>
      <c r="J430" s="13">
        <v>1111</v>
      </c>
      <c r="K430" s="13" t="s">
        <v>21</v>
      </c>
      <c r="L430" s="13">
        <v>1</v>
      </c>
      <c r="M430" s="16">
        <v>149000</v>
      </c>
      <c r="N430" s="16">
        <f t="shared" si="13"/>
        <v>149000</v>
      </c>
      <c r="O430" s="13" t="s">
        <v>22</v>
      </c>
      <c r="P430" s="2">
        <v>426</v>
      </c>
    </row>
    <row r="431" spans="1:16" x14ac:dyDescent="0.25">
      <c r="A431" s="13" t="s">
        <v>368</v>
      </c>
      <c r="B431" s="14">
        <v>45887</v>
      </c>
      <c r="C431" s="13">
        <f t="shared" ref="C431:C494" si="14">C430+D431</f>
        <v>524</v>
      </c>
      <c r="D431" s="13">
        <v>1</v>
      </c>
      <c r="E431" s="15"/>
      <c r="F431" s="13"/>
      <c r="G431" s="15" t="s">
        <v>25</v>
      </c>
      <c r="H431" s="13" t="s">
        <v>495</v>
      </c>
      <c r="I431" s="13">
        <v>331</v>
      </c>
      <c r="J431" s="13">
        <v>1111</v>
      </c>
      <c r="K431" s="13" t="s">
        <v>21</v>
      </c>
      <c r="L431" s="13">
        <v>1</v>
      </c>
      <c r="M431" s="16">
        <v>65000</v>
      </c>
      <c r="N431" s="16">
        <f t="shared" si="13"/>
        <v>65000</v>
      </c>
      <c r="O431" s="13" t="s">
        <v>22</v>
      </c>
      <c r="P431" s="2">
        <v>427</v>
      </c>
    </row>
    <row r="432" spans="1:16" x14ac:dyDescent="0.25">
      <c r="A432" s="13" t="s">
        <v>368</v>
      </c>
      <c r="B432" s="14">
        <v>45888</v>
      </c>
      <c r="C432" s="13">
        <f t="shared" si="14"/>
        <v>525</v>
      </c>
      <c r="D432" s="13">
        <v>1</v>
      </c>
      <c r="E432" s="15"/>
      <c r="F432" s="13"/>
      <c r="G432" s="15" t="s">
        <v>19</v>
      </c>
      <c r="H432" s="13" t="s">
        <v>496</v>
      </c>
      <c r="I432" s="13">
        <v>331</v>
      </c>
      <c r="J432" s="13">
        <v>1111</v>
      </c>
      <c r="K432" s="13" t="s">
        <v>21</v>
      </c>
      <c r="L432" s="13">
        <v>1</v>
      </c>
      <c r="M432" s="16">
        <v>36000</v>
      </c>
      <c r="N432" s="16">
        <f t="shared" si="13"/>
        <v>36000</v>
      </c>
      <c r="O432" s="13" t="s">
        <v>22</v>
      </c>
      <c r="P432" s="2">
        <v>428</v>
      </c>
    </row>
    <row r="433" spans="1:16" x14ac:dyDescent="0.25">
      <c r="A433" s="13" t="s">
        <v>368</v>
      </c>
      <c r="B433" s="14">
        <v>45888</v>
      </c>
      <c r="C433" s="13">
        <f t="shared" si="14"/>
        <v>526</v>
      </c>
      <c r="D433" s="13">
        <v>1</v>
      </c>
      <c r="E433" s="15"/>
      <c r="F433" s="13"/>
      <c r="G433" s="15" t="s">
        <v>25</v>
      </c>
      <c r="H433" s="13" t="s">
        <v>497</v>
      </c>
      <c r="I433" s="13">
        <v>331</v>
      </c>
      <c r="J433" s="13">
        <v>1111</v>
      </c>
      <c r="K433" s="13" t="s">
        <v>21</v>
      </c>
      <c r="L433" s="13">
        <v>1</v>
      </c>
      <c r="M433" s="16">
        <v>110000</v>
      </c>
      <c r="N433" s="16">
        <f t="shared" ref="N433:N496" si="15">M433*L433</f>
        <v>110000</v>
      </c>
      <c r="O433" s="13" t="s">
        <v>22</v>
      </c>
      <c r="P433" s="2">
        <v>429</v>
      </c>
    </row>
    <row r="434" spans="1:16" x14ac:dyDescent="0.25">
      <c r="A434" s="13" t="s">
        <v>368</v>
      </c>
      <c r="B434" s="14">
        <v>45888</v>
      </c>
      <c r="C434" s="13">
        <f t="shared" si="14"/>
        <v>527</v>
      </c>
      <c r="D434" s="13">
        <v>1</v>
      </c>
      <c r="E434" s="15"/>
      <c r="F434" s="13"/>
      <c r="G434" s="15" t="s">
        <v>25</v>
      </c>
      <c r="H434" s="13" t="s">
        <v>498</v>
      </c>
      <c r="I434" s="13">
        <v>331</v>
      </c>
      <c r="J434" s="13">
        <v>1111</v>
      </c>
      <c r="K434" s="13" t="s">
        <v>21</v>
      </c>
      <c r="L434" s="13">
        <v>1</v>
      </c>
      <c r="M434" s="16">
        <v>143100</v>
      </c>
      <c r="N434" s="16">
        <f t="shared" si="15"/>
        <v>143100</v>
      </c>
      <c r="O434" s="13" t="s">
        <v>22</v>
      </c>
      <c r="P434" s="2">
        <v>430</v>
      </c>
    </row>
    <row r="435" spans="1:16" x14ac:dyDescent="0.25">
      <c r="A435" s="13" t="s">
        <v>368</v>
      </c>
      <c r="B435" s="14">
        <v>45888</v>
      </c>
      <c r="C435" s="13">
        <f t="shared" si="14"/>
        <v>528</v>
      </c>
      <c r="D435" s="13">
        <v>1</v>
      </c>
      <c r="E435" s="15"/>
      <c r="F435" s="13"/>
      <c r="G435" s="15" t="s">
        <v>25</v>
      </c>
      <c r="H435" s="13" t="s">
        <v>499</v>
      </c>
      <c r="I435" s="13">
        <v>331</v>
      </c>
      <c r="J435" s="13">
        <v>1111</v>
      </c>
      <c r="K435" s="13" t="s">
        <v>21</v>
      </c>
      <c r="L435" s="13">
        <v>1</v>
      </c>
      <c r="M435" s="16">
        <v>144000</v>
      </c>
      <c r="N435" s="16">
        <f t="shared" si="15"/>
        <v>144000</v>
      </c>
      <c r="O435" s="13" t="s">
        <v>22</v>
      </c>
      <c r="P435" s="2">
        <v>431</v>
      </c>
    </row>
    <row r="436" spans="1:16" x14ac:dyDescent="0.25">
      <c r="A436" s="13" t="s">
        <v>368</v>
      </c>
      <c r="B436" s="14">
        <v>45888</v>
      </c>
      <c r="C436" s="13">
        <f t="shared" si="14"/>
        <v>529</v>
      </c>
      <c r="D436" s="13">
        <v>1</v>
      </c>
      <c r="E436" s="15"/>
      <c r="F436" s="13"/>
      <c r="G436" s="15" t="s">
        <v>154</v>
      </c>
      <c r="H436" s="13" t="s">
        <v>500</v>
      </c>
      <c r="I436" s="13">
        <v>331</v>
      </c>
      <c r="J436" s="13">
        <v>1111</v>
      </c>
      <c r="K436" s="13" t="s">
        <v>21</v>
      </c>
      <c r="L436" s="13">
        <v>1</v>
      </c>
      <c r="M436" s="16">
        <v>1405000</v>
      </c>
      <c r="N436" s="16">
        <f t="shared" si="15"/>
        <v>1405000</v>
      </c>
      <c r="O436" s="13" t="s">
        <v>22</v>
      </c>
      <c r="P436" s="2">
        <v>432</v>
      </c>
    </row>
    <row r="437" spans="1:16" x14ac:dyDescent="0.25">
      <c r="A437" s="13" t="s">
        <v>368</v>
      </c>
      <c r="B437" s="14">
        <v>45889</v>
      </c>
      <c r="C437" s="13">
        <f t="shared" si="14"/>
        <v>530</v>
      </c>
      <c r="D437" s="13">
        <v>1</v>
      </c>
      <c r="E437" s="15"/>
      <c r="F437" s="13"/>
      <c r="G437" s="15" t="s">
        <v>19</v>
      </c>
      <c r="H437" s="13" t="s">
        <v>501</v>
      </c>
      <c r="I437" s="13">
        <v>331</v>
      </c>
      <c r="J437" s="13">
        <v>1111</v>
      </c>
      <c r="K437" s="13" t="s">
        <v>21</v>
      </c>
      <c r="L437" s="13">
        <v>1</v>
      </c>
      <c r="M437" s="16">
        <v>52000</v>
      </c>
      <c r="N437" s="16">
        <f t="shared" si="15"/>
        <v>52000</v>
      </c>
      <c r="O437" s="13" t="s">
        <v>22</v>
      </c>
      <c r="P437" s="2">
        <v>433</v>
      </c>
    </row>
    <row r="438" spans="1:16" x14ac:dyDescent="0.25">
      <c r="A438" s="13" t="s">
        <v>368</v>
      </c>
      <c r="B438" s="14">
        <v>45889</v>
      </c>
      <c r="C438" s="13">
        <f t="shared" si="14"/>
        <v>531</v>
      </c>
      <c r="D438" s="13">
        <v>1</v>
      </c>
      <c r="E438" s="15"/>
      <c r="F438" s="13"/>
      <c r="G438" s="15" t="s">
        <v>19</v>
      </c>
      <c r="H438" s="13" t="s">
        <v>502</v>
      </c>
      <c r="I438" s="13">
        <v>331</v>
      </c>
      <c r="J438" s="13">
        <v>1111</v>
      </c>
      <c r="K438" s="13" t="s">
        <v>21</v>
      </c>
      <c r="L438" s="13">
        <v>1</v>
      </c>
      <c r="M438" s="16">
        <v>39000</v>
      </c>
      <c r="N438" s="16">
        <f t="shared" si="15"/>
        <v>39000</v>
      </c>
      <c r="O438" s="13" t="s">
        <v>22</v>
      </c>
      <c r="P438" s="2">
        <v>434</v>
      </c>
    </row>
    <row r="439" spans="1:16" x14ac:dyDescent="0.25">
      <c r="A439" s="13" t="s">
        <v>368</v>
      </c>
      <c r="B439" s="14">
        <v>45889</v>
      </c>
      <c r="C439" s="13">
        <f t="shared" si="14"/>
        <v>532</v>
      </c>
      <c r="D439" s="13">
        <v>1</v>
      </c>
      <c r="E439" s="15"/>
      <c r="F439" s="13"/>
      <c r="G439" s="15" t="s">
        <v>25</v>
      </c>
      <c r="H439" s="13" t="s">
        <v>503</v>
      </c>
      <c r="I439" s="13">
        <v>331</v>
      </c>
      <c r="J439" s="13">
        <v>1111</v>
      </c>
      <c r="K439" s="13" t="s">
        <v>21</v>
      </c>
      <c r="L439" s="13">
        <v>1</v>
      </c>
      <c r="M439" s="16">
        <v>110000</v>
      </c>
      <c r="N439" s="16">
        <f t="shared" si="15"/>
        <v>110000</v>
      </c>
      <c r="O439" s="13" t="s">
        <v>22</v>
      </c>
      <c r="P439" s="2">
        <v>435</v>
      </c>
    </row>
    <row r="440" spans="1:16" x14ac:dyDescent="0.25">
      <c r="A440" s="13" t="s">
        <v>368</v>
      </c>
      <c r="B440" s="14">
        <v>45889</v>
      </c>
      <c r="C440" s="13">
        <f t="shared" si="14"/>
        <v>533</v>
      </c>
      <c r="D440" s="13">
        <v>1</v>
      </c>
      <c r="E440" s="15"/>
      <c r="F440" s="13"/>
      <c r="G440" s="15" t="s">
        <v>25</v>
      </c>
      <c r="H440" s="13" t="s">
        <v>504</v>
      </c>
      <c r="I440" s="13">
        <v>331</v>
      </c>
      <c r="J440" s="13">
        <v>1111</v>
      </c>
      <c r="K440" s="13" t="s">
        <v>21</v>
      </c>
      <c r="L440" s="13">
        <v>1</v>
      </c>
      <c r="M440" s="16">
        <v>149000</v>
      </c>
      <c r="N440" s="16">
        <f t="shared" si="15"/>
        <v>149000</v>
      </c>
      <c r="O440" s="13" t="s">
        <v>22</v>
      </c>
      <c r="P440" s="2">
        <v>436</v>
      </c>
    </row>
    <row r="441" spans="1:16" x14ac:dyDescent="0.25">
      <c r="A441" s="13" t="s">
        <v>368</v>
      </c>
      <c r="B441" s="14">
        <v>45890</v>
      </c>
      <c r="C441" s="13">
        <f t="shared" si="14"/>
        <v>534</v>
      </c>
      <c r="D441" s="13">
        <v>1</v>
      </c>
      <c r="E441" s="15"/>
      <c r="F441" s="13"/>
      <c r="G441" s="15" t="s">
        <v>25</v>
      </c>
      <c r="H441" s="13" t="s">
        <v>505</v>
      </c>
      <c r="I441" s="13">
        <v>331</v>
      </c>
      <c r="J441" s="13">
        <v>1111</v>
      </c>
      <c r="K441" s="13" t="s">
        <v>21</v>
      </c>
      <c r="L441" s="13">
        <v>1</v>
      </c>
      <c r="M441" s="16">
        <v>77000</v>
      </c>
      <c r="N441" s="16">
        <f t="shared" si="15"/>
        <v>77000</v>
      </c>
      <c r="O441" s="13" t="s">
        <v>22</v>
      </c>
      <c r="P441" s="2">
        <v>437</v>
      </c>
    </row>
    <row r="442" spans="1:16" x14ac:dyDescent="0.25">
      <c r="A442" s="13" t="s">
        <v>368</v>
      </c>
      <c r="B442" s="14">
        <v>45890</v>
      </c>
      <c r="C442" s="13">
        <f t="shared" si="14"/>
        <v>535</v>
      </c>
      <c r="D442" s="13">
        <v>1</v>
      </c>
      <c r="E442" s="15"/>
      <c r="F442" s="13"/>
      <c r="G442" s="15" t="s">
        <v>25</v>
      </c>
      <c r="H442" s="13" t="s">
        <v>506</v>
      </c>
      <c r="I442" s="13">
        <v>331</v>
      </c>
      <c r="J442" s="13">
        <v>1111</v>
      </c>
      <c r="K442" s="13" t="s">
        <v>21</v>
      </c>
      <c r="L442" s="13">
        <v>1</v>
      </c>
      <c r="M442" s="16">
        <v>114000</v>
      </c>
      <c r="N442" s="16">
        <f t="shared" si="15"/>
        <v>114000</v>
      </c>
      <c r="O442" s="13" t="s">
        <v>22</v>
      </c>
      <c r="P442" s="2">
        <v>438</v>
      </c>
    </row>
    <row r="443" spans="1:16" x14ac:dyDescent="0.25">
      <c r="A443" s="13" t="s">
        <v>368</v>
      </c>
      <c r="B443" s="14">
        <v>45890</v>
      </c>
      <c r="C443" s="13">
        <f t="shared" si="14"/>
        <v>536</v>
      </c>
      <c r="D443" s="13">
        <v>1</v>
      </c>
      <c r="E443" s="15"/>
      <c r="F443" s="13"/>
      <c r="G443" s="15" t="s">
        <v>237</v>
      </c>
      <c r="H443" s="13" t="s">
        <v>507</v>
      </c>
      <c r="I443" s="13">
        <v>331</v>
      </c>
      <c r="J443" s="13">
        <v>1111</v>
      </c>
      <c r="K443" s="13" t="s">
        <v>21</v>
      </c>
      <c r="L443" s="13">
        <v>1</v>
      </c>
      <c r="M443" s="16">
        <v>465000</v>
      </c>
      <c r="N443" s="16">
        <f t="shared" si="15"/>
        <v>465000</v>
      </c>
      <c r="O443" s="13" t="s">
        <v>22</v>
      </c>
      <c r="P443" s="2">
        <v>439</v>
      </c>
    </row>
    <row r="444" spans="1:16" x14ac:dyDescent="0.25">
      <c r="A444" s="13" t="s">
        <v>368</v>
      </c>
      <c r="B444" s="14">
        <v>45891</v>
      </c>
      <c r="C444" s="13">
        <f t="shared" si="14"/>
        <v>537</v>
      </c>
      <c r="D444" s="13">
        <v>1</v>
      </c>
      <c r="E444" s="15"/>
      <c r="F444" s="13"/>
      <c r="G444" s="15" t="s">
        <v>25</v>
      </c>
      <c r="H444" s="13" t="s">
        <v>508</v>
      </c>
      <c r="I444" s="13">
        <v>331</v>
      </c>
      <c r="J444" s="13">
        <v>1111</v>
      </c>
      <c r="K444" s="13" t="s">
        <v>21</v>
      </c>
      <c r="L444" s="13">
        <v>1</v>
      </c>
      <c r="M444" s="16">
        <v>55000</v>
      </c>
      <c r="N444" s="16">
        <f t="shared" si="15"/>
        <v>55000</v>
      </c>
      <c r="O444" s="13" t="s">
        <v>22</v>
      </c>
      <c r="P444" s="2">
        <v>440</v>
      </c>
    </row>
    <row r="445" spans="1:16" x14ac:dyDescent="0.25">
      <c r="A445" s="13" t="s">
        <v>368</v>
      </c>
      <c r="B445" s="14">
        <v>45891</v>
      </c>
      <c r="C445" s="13">
        <f t="shared" si="14"/>
        <v>538</v>
      </c>
      <c r="D445" s="13">
        <v>1</v>
      </c>
      <c r="E445" s="15"/>
      <c r="F445" s="13"/>
      <c r="G445" s="15" t="s">
        <v>25</v>
      </c>
      <c r="H445" s="13" t="s">
        <v>509</v>
      </c>
      <c r="I445" s="13">
        <v>331</v>
      </c>
      <c r="J445" s="13">
        <v>1111</v>
      </c>
      <c r="K445" s="13" t="s">
        <v>21</v>
      </c>
      <c r="L445" s="13">
        <v>1</v>
      </c>
      <c r="M445" s="16">
        <v>154000</v>
      </c>
      <c r="N445" s="16">
        <f t="shared" si="15"/>
        <v>154000</v>
      </c>
      <c r="O445" s="13" t="s">
        <v>22</v>
      </c>
      <c r="P445" s="2">
        <v>441</v>
      </c>
    </row>
    <row r="446" spans="1:16" x14ac:dyDescent="0.25">
      <c r="A446" s="13" t="s">
        <v>368</v>
      </c>
      <c r="B446" s="14">
        <v>45892</v>
      </c>
      <c r="C446" s="13">
        <f t="shared" si="14"/>
        <v>539</v>
      </c>
      <c r="D446" s="13">
        <v>1</v>
      </c>
      <c r="E446" s="15"/>
      <c r="F446" s="13"/>
      <c r="G446" s="15" t="s">
        <v>19</v>
      </c>
      <c r="H446" s="13" t="s">
        <v>510</v>
      </c>
      <c r="I446" s="13">
        <v>331</v>
      </c>
      <c r="J446" s="13">
        <v>1111</v>
      </c>
      <c r="K446" s="13" t="s">
        <v>21</v>
      </c>
      <c r="L446" s="13">
        <v>1</v>
      </c>
      <c r="M446" s="16">
        <v>46000</v>
      </c>
      <c r="N446" s="16">
        <f t="shared" si="15"/>
        <v>46000</v>
      </c>
      <c r="O446" s="13" t="s">
        <v>22</v>
      </c>
      <c r="P446" s="2">
        <v>442</v>
      </c>
    </row>
    <row r="447" spans="1:16" x14ac:dyDescent="0.25">
      <c r="A447" s="13" t="s">
        <v>368</v>
      </c>
      <c r="B447" s="14">
        <v>45892</v>
      </c>
      <c r="C447" s="13">
        <f t="shared" si="14"/>
        <v>540</v>
      </c>
      <c r="D447" s="13">
        <v>1</v>
      </c>
      <c r="E447" s="15"/>
      <c r="F447" s="13"/>
      <c r="G447" s="15" t="s">
        <v>25</v>
      </c>
      <c r="H447" s="13" t="s">
        <v>511</v>
      </c>
      <c r="I447" s="13">
        <v>331</v>
      </c>
      <c r="J447" s="13">
        <v>1111</v>
      </c>
      <c r="K447" s="13" t="s">
        <v>21</v>
      </c>
      <c r="L447" s="13">
        <v>1</v>
      </c>
      <c r="M447" s="16">
        <v>280000</v>
      </c>
      <c r="N447" s="16">
        <f t="shared" si="15"/>
        <v>280000</v>
      </c>
      <c r="O447" s="13" t="s">
        <v>22</v>
      </c>
      <c r="P447" s="2">
        <v>443</v>
      </c>
    </row>
    <row r="448" spans="1:16" x14ac:dyDescent="0.25">
      <c r="A448" s="13" t="s">
        <v>368</v>
      </c>
      <c r="B448" s="14">
        <v>45892</v>
      </c>
      <c r="C448" s="13">
        <f t="shared" si="14"/>
        <v>541</v>
      </c>
      <c r="D448" s="13">
        <v>1</v>
      </c>
      <c r="E448" s="15"/>
      <c r="F448" s="13"/>
      <c r="G448" s="15" t="s">
        <v>25</v>
      </c>
      <c r="H448" s="13" t="s">
        <v>512</v>
      </c>
      <c r="I448" s="13">
        <v>331</v>
      </c>
      <c r="J448" s="13">
        <v>1111</v>
      </c>
      <c r="K448" s="13" t="s">
        <v>21</v>
      </c>
      <c r="L448" s="13">
        <v>1</v>
      </c>
      <c r="M448" s="16">
        <v>67000</v>
      </c>
      <c r="N448" s="16">
        <f t="shared" si="15"/>
        <v>67000</v>
      </c>
      <c r="O448" s="13" t="s">
        <v>22</v>
      </c>
      <c r="P448" s="2">
        <v>444</v>
      </c>
    </row>
    <row r="449" spans="1:16" x14ac:dyDescent="0.25">
      <c r="A449" s="13" t="s">
        <v>368</v>
      </c>
      <c r="B449" s="14">
        <v>45893</v>
      </c>
      <c r="C449" s="13">
        <f t="shared" si="14"/>
        <v>542</v>
      </c>
      <c r="D449" s="13">
        <v>1</v>
      </c>
      <c r="E449" s="15"/>
      <c r="F449" s="13"/>
      <c r="G449" s="15" t="s">
        <v>25</v>
      </c>
      <c r="H449" s="13" t="s">
        <v>513</v>
      </c>
      <c r="I449" s="13">
        <v>331</v>
      </c>
      <c r="J449" s="13">
        <v>1111</v>
      </c>
      <c r="K449" s="13" t="s">
        <v>21</v>
      </c>
      <c r="L449" s="13">
        <v>1</v>
      </c>
      <c r="M449" s="16">
        <v>57000</v>
      </c>
      <c r="N449" s="16">
        <f t="shared" si="15"/>
        <v>57000</v>
      </c>
      <c r="O449" s="13" t="s">
        <v>22</v>
      </c>
      <c r="P449" s="2">
        <v>445</v>
      </c>
    </row>
    <row r="450" spans="1:16" x14ac:dyDescent="0.25">
      <c r="A450" s="13" t="s">
        <v>368</v>
      </c>
      <c r="B450" s="14">
        <v>45894</v>
      </c>
      <c r="C450" s="13">
        <f t="shared" si="14"/>
        <v>543</v>
      </c>
      <c r="D450" s="13">
        <v>1</v>
      </c>
      <c r="E450" s="15"/>
      <c r="F450" s="13"/>
      <c r="G450" s="15" t="s">
        <v>25</v>
      </c>
      <c r="H450" s="13" t="s">
        <v>514</v>
      </c>
      <c r="I450" s="13">
        <v>331</v>
      </c>
      <c r="J450" s="13">
        <v>1111</v>
      </c>
      <c r="K450" s="13" t="s">
        <v>21</v>
      </c>
      <c r="L450" s="13">
        <v>1</v>
      </c>
      <c r="M450" s="16">
        <v>110000</v>
      </c>
      <c r="N450" s="16">
        <f t="shared" si="15"/>
        <v>110000</v>
      </c>
      <c r="O450" s="13" t="s">
        <v>22</v>
      </c>
      <c r="P450" s="2">
        <v>446</v>
      </c>
    </row>
    <row r="451" spans="1:16" x14ac:dyDescent="0.25">
      <c r="A451" s="13" t="s">
        <v>368</v>
      </c>
      <c r="B451" s="14">
        <v>45895</v>
      </c>
      <c r="C451" s="13">
        <f t="shared" si="14"/>
        <v>544</v>
      </c>
      <c r="D451" s="13">
        <v>1</v>
      </c>
      <c r="E451" s="15"/>
      <c r="F451" s="13"/>
      <c r="G451" s="15" t="s">
        <v>252</v>
      </c>
      <c r="H451" s="13" t="s">
        <v>515</v>
      </c>
      <c r="I451" s="13">
        <v>331</v>
      </c>
      <c r="J451" s="13">
        <v>1111</v>
      </c>
      <c r="K451" s="13" t="s">
        <v>21</v>
      </c>
      <c r="L451" s="13">
        <v>1</v>
      </c>
      <c r="M451" s="16">
        <v>161298</v>
      </c>
      <c r="N451" s="16">
        <f t="shared" si="15"/>
        <v>161298</v>
      </c>
      <c r="O451" s="13" t="s">
        <v>22</v>
      </c>
      <c r="P451" s="2">
        <v>447</v>
      </c>
    </row>
    <row r="452" spans="1:16" x14ac:dyDescent="0.25">
      <c r="A452" s="13" t="s">
        <v>368</v>
      </c>
      <c r="B452" s="14">
        <v>45895</v>
      </c>
      <c r="C452" s="13">
        <f t="shared" si="14"/>
        <v>545</v>
      </c>
      <c r="D452" s="13">
        <v>1</v>
      </c>
      <c r="E452" s="15"/>
      <c r="F452" s="13"/>
      <c r="G452" s="15" t="s">
        <v>252</v>
      </c>
      <c r="H452" s="13" t="s">
        <v>516</v>
      </c>
      <c r="I452" s="13">
        <v>331</v>
      </c>
      <c r="J452" s="13">
        <v>1111</v>
      </c>
      <c r="K452" s="13" t="s">
        <v>21</v>
      </c>
      <c r="L452" s="13">
        <v>1</v>
      </c>
      <c r="M452" s="16">
        <v>87368</v>
      </c>
      <c r="N452" s="16">
        <f t="shared" si="15"/>
        <v>87368</v>
      </c>
      <c r="O452" s="13" t="s">
        <v>22</v>
      </c>
      <c r="P452" s="2">
        <v>448</v>
      </c>
    </row>
    <row r="453" spans="1:16" x14ac:dyDescent="0.25">
      <c r="A453" s="13" t="s">
        <v>368</v>
      </c>
      <c r="B453" s="14">
        <v>45895</v>
      </c>
      <c r="C453" s="13">
        <f t="shared" si="14"/>
        <v>546</v>
      </c>
      <c r="D453" s="13">
        <v>1</v>
      </c>
      <c r="E453" s="15"/>
      <c r="F453" s="13"/>
      <c r="G453" s="15" t="s">
        <v>25</v>
      </c>
      <c r="H453" s="13" t="s">
        <v>517</v>
      </c>
      <c r="I453" s="13">
        <v>331</v>
      </c>
      <c r="J453" s="13">
        <v>1111</v>
      </c>
      <c r="K453" s="13" t="s">
        <v>21</v>
      </c>
      <c r="L453" s="13">
        <v>1</v>
      </c>
      <c r="M453" s="16">
        <v>130000</v>
      </c>
      <c r="N453" s="16">
        <f t="shared" si="15"/>
        <v>130000</v>
      </c>
      <c r="O453" s="13" t="s">
        <v>22</v>
      </c>
      <c r="P453" s="2">
        <v>449</v>
      </c>
    </row>
    <row r="454" spans="1:16" x14ac:dyDescent="0.25">
      <c r="A454" s="13" t="s">
        <v>368</v>
      </c>
      <c r="B454" s="14">
        <v>45896</v>
      </c>
      <c r="C454" s="13">
        <f t="shared" si="14"/>
        <v>547</v>
      </c>
      <c r="D454" s="13">
        <v>1</v>
      </c>
      <c r="E454" s="15"/>
      <c r="F454" s="13"/>
      <c r="G454" s="15" t="s">
        <v>259</v>
      </c>
      <c r="H454" s="13" t="s">
        <v>518</v>
      </c>
      <c r="I454" s="13">
        <v>331</v>
      </c>
      <c r="J454" s="13">
        <v>1111</v>
      </c>
      <c r="K454" s="13" t="s">
        <v>21</v>
      </c>
      <c r="L454" s="13">
        <v>1</v>
      </c>
      <c r="M454" s="16">
        <v>1004600</v>
      </c>
      <c r="N454" s="16">
        <f t="shared" si="15"/>
        <v>1004600</v>
      </c>
      <c r="O454" s="13" t="s">
        <v>22</v>
      </c>
      <c r="P454" s="2">
        <v>450</v>
      </c>
    </row>
    <row r="455" spans="1:16" x14ac:dyDescent="0.25">
      <c r="A455" s="13" t="s">
        <v>368</v>
      </c>
      <c r="B455" s="14">
        <v>45896</v>
      </c>
      <c r="C455" s="13">
        <f t="shared" si="14"/>
        <v>548</v>
      </c>
      <c r="D455" s="13">
        <v>1</v>
      </c>
      <c r="E455" s="15"/>
      <c r="F455" s="13"/>
      <c r="G455" s="15" t="s">
        <v>259</v>
      </c>
      <c r="H455" s="13" t="s">
        <v>519</v>
      </c>
      <c r="I455" s="13">
        <v>331</v>
      </c>
      <c r="J455" s="13">
        <v>1111</v>
      </c>
      <c r="K455" s="13" t="s">
        <v>21</v>
      </c>
      <c r="L455" s="13">
        <v>1</v>
      </c>
      <c r="M455" s="16">
        <v>1067240</v>
      </c>
      <c r="N455" s="16">
        <f t="shared" si="15"/>
        <v>1067240</v>
      </c>
      <c r="O455" s="13" t="s">
        <v>22</v>
      </c>
      <c r="P455" s="2">
        <v>451</v>
      </c>
    </row>
    <row r="456" spans="1:16" x14ac:dyDescent="0.25">
      <c r="A456" s="13" t="s">
        <v>368</v>
      </c>
      <c r="B456" s="14">
        <v>45896</v>
      </c>
      <c r="C456" s="13">
        <f t="shared" si="14"/>
        <v>549</v>
      </c>
      <c r="D456" s="13">
        <v>1</v>
      </c>
      <c r="E456" s="15"/>
      <c r="F456" s="13"/>
      <c r="G456" s="15" t="s">
        <v>259</v>
      </c>
      <c r="H456" s="13" t="s">
        <v>520</v>
      </c>
      <c r="I456" s="13">
        <v>331</v>
      </c>
      <c r="J456" s="13">
        <v>1111</v>
      </c>
      <c r="K456" s="13" t="s">
        <v>21</v>
      </c>
      <c r="L456" s="13">
        <v>1</v>
      </c>
      <c r="M456" s="16">
        <v>788600</v>
      </c>
      <c r="N456" s="16">
        <f t="shared" si="15"/>
        <v>788600</v>
      </c>
      <c r="O456" s="13" t="s">
        <v>22</v>
      </c>
      <c r="P456" s="2">
        <v>452</v>
      </c>
    </row>
    <row r="457" spans="1:16" x14ac:dyDescent="0.25">
      <c r="A457" s="13" t="s">
        <v>368</v>
      </c>
      <c r="B457" s="14">
        <v>45896</v>
      </c>
      <c r="C457" s="13">
        <f t="shared" si="14"/>
        <v>550</v>
      </c>
      <c r="D457" s="13">
        <v>1</v>
      </c>
      <c r="E457" s="15"/>
      <c r="F457" s="13"/>
      <c r="G457" s="15" t="s">
        <v>259</v>
      </c>
      <c r="H457" s="13" t="s">
        <v>521</v>
      </c>
      <c r="I457" s="13">
        <v>331</v>
      </c>
      <c r="J457" s="13">
        <v>1111</v>
      </c>
      <c r="K457" s="13" t="s">
        <v>21</v>
      </c>
      <c r="L457" s="13">
        <v>1</v>
      </c>
      <c r="M457" s="16">
        <v>862040</v>
      </c>
      <c r="N457" s="16">
        <f t="shared" si="15"/>
        <v>862040</v>
      </c>
      <c r="O457" s="13" t="s">
        <v>22</v>
      </c>
      <c r="P457" s="2">
        <v>453</v>
      </c>
    </row>
    <row r="458" spans="1:16" x14ac:dyDescent="0.25">
      <c r="A458" s="13" t="s">
        <v>368</v>
      </c>
      <c r="B458" s="14">
        <v>45896</v>
      </c>
      <c r="C458" s="13">
        <f t="shared" si="14"/>
        <v>551</v>
      </c>
      <c r="D458" s="13">
        <v>1</v>
      </c>
      <c r="E458" s="15"/>
      <c r="F458" s="13"/>
      <c r="G458" s="15" t="s">
        <v>25</v>
      </c>
      <c r="H458" s="13" t="s">
        <v>522</v>
      </c>
      <c r="I458" s="13">
        <v>331</v>
      </c>
      <c r="J458" s="13">
        <v>1111</v>
      </c>
      <c r="K458" s="13" t="s">
        <v>21</v>
      </c>
      <c r="L458" s="13">
        <v>1</v>
      </c>
      <c r="M458" s="16">
        <v>140000</v>
      </c>
      <c r="N458" s="16">
        <f t="shared" si="15"/>
        <v>140000</v>
      </c>
      <c r="O458" s="13" t="s">
        <v>22</v>
      </c>
      <c r="P458" s="2">
        <v>454</v>
      </c>
    </row>
    <row r="459" spans="1:16" x14ac:dyDescent="0.25">
      <c r="A459" s="13" t="s">
        <v>368</v>
      </c>
      <c r="B459" s="14">
        <v>45896</v>
      </c>
      <c r="C459" s="13">
        <f t="shared" si="14"/>
        <v>552</v>
      </c>
      <c r="D459" s="13">
        <v>1</v>
      </c>
      <c r="E459" s="15"/>
      <c r="F459" s="13"/>
      <c r="G459" s="15" t="s">
        <v>25</v>
      </c>
      <c r="H459" s="13" t="s">
        <v>523</v>
      </c>
      <c r="I459" s="13">
        <v>331</v>
      </c>
      <c r="J459" s="13">
        <v>1111</v>
      </c>
      <c r="K459" s="13" t="s">
        <v>21</v>
      </c>
      <c r="L459" s="13">
        <v>1</v>
      </c>
      <c r="M459" s="16">
        <v>149000</v>
      </c>
      <c r="N459" s="16">
        <f t="shared" si="15"/>
        <v>149000</v>
      </c>
      <c r="O459" s="13" t="s">
        <v>22</v>
      </c>
      <c r="P459" s="2">
        <v>455</v>
      </c>
    </row>
    <row r="460" spans="1:16" x14ac:dyDescent="0.25">
      <c r="A460" s="13" t="s">
        <v>368</v>
      </c>
      <c r="B460" s="14">
        <v>45897</v>
      </c>
      <c r="C460" s="13">
        <f t="shared" si="14"/>
        <v>553</v>
      </c>
      <c r="D460" s="13">
        <v>1</v>
      </c>
      <c r="E460" s="15"/>
      <c r="F460" s="13"/>
      <c r="G460" s="15" t="s">
        <v>25</v>
      </c>
      <c r="H460" s="13" t="s">
        <v>524</v>
      </c>
      <c r="I460" s="13">
        <v>331</v>
      </c>
      <c r="J460" s="13">
        <v>1111</v>
      </c>
      <c r="K460" s="13" t="s">
        <v>21</v>
      </c>
      <c r="L460" s="13">
        <v>1</v>
      </c>
      <c r="M460" s="16">
        <v>149000</v>
      </c>
      <c r="N460" s="16">
        <f t="shared" si="15"/>
        <v>149000</v>
      </c>
      <c r="O460" s="13" t="s">
        <v>22</v>
      </c>
      <c r="P460" s="2">
        <v>456</v>
      </c>
    </row>
    <row r="461" spans="1:16" x14ac:dyDescent="0.25">
      <c r="A461" s="13" t="s">
        <v>368</v>
      </c>
      <c r="B461" s="14">
        <v>45898</v>
      </c>
      <c r="C461" s="13">
        <f t="shared" si="14"/>
        <v>554</v>
      </c>
      <c r="D461" s="13">
        <v>1</v>
      </c>
      <c r="E461" s="15"/>
      <c r="F461" s="13"/>
      <c r="G461" s="15" t="s">
        <v>259</v>
      </c>
      <c r="H461" s="13" t="s">
        <v>525</v>
      </c>
      <c r="I461" s="13">
        <v>331</v>
      </c>
      <c r="J461" s="13">
        <v>1111</v>
      </c>
      <c r="K461" s="13" t="s">
        <v>21</v>
      </c>
      <c r="L461" s="13">
        <v>1</v>
      </c>
      <c r="M461" s="16">
        <v>2094000</v>
      </c>
      <c r="N461" s="16">
        <f t="shared" si="15"/>
        <v>2094000</v>
      </c>
      <c r="O461" s="13" t="s">
        <v>22</v>
      </c>
      <c r="P461" s="2">
        <v>457</v>
      </c>
    </row>
    <row r="462" spans="1:16" x14ac:dyDescent="0.25">
      <c r="A462" s="13" t="s">
        <v>368</v>
      </c>
      <c r="B462" s="14">
        <v>45898</v>
      </c>
      <c r="C462" s="13">
        <f t="shared" si="14"/>
        <v>555</v>
      </c>
      <c r="D462" s="13">
        <v>1</v>
      </c>
      <c r="E462" s="15"/>
      <c r="F462" s="13"/>
      <c r="G462" s="15" t="s">
        <v>25</v>
      </c>
      <c r="H462" s="13" t="s">
        <v>526</v>
      </c>
      <c r="I462" s="13">
        <v>331</v>
      </c>
      <c r="J462" s="13">
        <v>1111</v>
      </c>
      <c r="K462" s="13" t="s">
        <v>21</v>
      </c>
      <c r="L462" s="13">
        <v>1</v>
      </c>
      <c r="M462" s="16">
        <v>110000</v>
      </c>
      <c r="N462" s="16">
        <f t="shared" si="15"/>
        <v>110000</v>
      </c>
      <c r="O462" s="13" t="s">
        <v>22</v>
      </c>
      <c r="P462" s="2">
        <v>458</v>
      </c>
    </row>
    <row r="463" spans="1:16" x14ac:dyDescent="0.25">
      <c r="A463" s="13" t="s">
        <v>368</v>
      </c>
      <c r="B463" s="14">
        <v>45898</v>
      </c>
      <c r="C463" s="13">
        <f t="shared" si="14"/>
        <v>556</v>
      </c>
      <c r="D463" s="13">
        <v>1</v>
      </c>
      <c r="E463" s="15"/>
      <c r="F463" s="13"/>
      <c r="G463" s="15" t="s">
        <v>117</v>
      </c>
      <c r="H463" s="13" t="s">
        <v>527</v>
      </c>
      <c r="I463" s="13">
        <v>331</v>
      </c>
      <c r="J463" s="13">
        <v>1111</v>
      </c>
      <c r="K463" s="13" t="s">
        <v>21</v>
      </c>
      <c r="L463" s="13">
        <v>1</v>
      </c>
      <c r="M463" s="16">
        <v>2493800</v>
      </c>
      <c r="N463" s="16">
        <f t="shared" si="15"/>
        <v>2493800</v>
      </c>
      <c r="O463" s="13" t="s">
        <v>22</v>
      </c>
      <c r="P463" s="2">
        <v>459</v>
      </c>
    </row>
    <row r="464" spans="1:16" x14ac:dyDescent="0.25">
      <c r="A464" s="13" t="s">
        <v>368</v>
      </c>
      <c r="B464" s="14">
        <v>45899</v>
      </c>
      <c r="C464" s="13">
        <f t="shared" si="14"/>
        <v>557</v>
      </c>
      <c r="D464" s="13">
        <v>1</v>
      </c>
      <c r="E464" s="15"/>
      <c r="F464" s="13"/>
      <c r="G464" s="15" t="s">
        <v>25</v>
      </c>
      <c r="H464" s="13" t="s">
        <v>528</v>
      </c>
      <c r="I464" s="13">
        <v>331</v>
      </c>
      <c r="J464" s="13">
        <v>1111</v>
      </c>
      <c r="K464" s="13" t="s">
        <v>21</v>
      </c>
      <c r="L464" s="13">
        <v>1</v>
      </c>
      <c r="M464" s="16">
        <v>170000</v>
      </c>
      <c r="N464" s="16">
        <f t="shared" si="15"/>
        <v>170000</v>
      </c>
      <c r="O464" s="13" t="s">
        <v>22</v>
      </c>
      <c r="P464" s="2">
        <v>460</v>
      </c>
    </row>
    <row r="465" spans="1:16" x14ac:dyDescent="0.25">
      <c r="A465" s="13" t="s">
        <v>368</v>
      </c>
      <c r="B465" s="14">
        <v>45899</v>
      </c>
      <c r="C465" s="13">
        <f t="shared" si="14"/>
        <v>558</v>
      </c>
      <c r="D465" s="13">
        <v>1</v>
      </c>
      <c r="E465" s="15"/>
      <c r="F465" s="13"/>
      <c r="G465" s="15" t="s">
        <v>25</v>
      </c>
      <c r="H465" s="13" t="s">
        <v>529</v>
      </c>
      <c r="I465" s="13">
        <v>331</v>
      </c>
      <c r="J465" s="13">
        <v>1111</v>
      </c>
      <c r="K465" s="13" t="s">
        <v>21</v>
      </c>
      <c r="L465" s="13">
        <v>1</v>
      </c>
      <c r="M465" s="16">
        <v>234000</v>
      </c>
      <c r="N465" s="16">
        <f t="shared" si="15"/>
        <v>234000</v>
      </c>
      <c r="O465" s="13" t="s">
        <v>22</v>
      </c>
      <c r="P465" s="2">
        <v>461</v>
      </c>
    </row>
    <row r="466" spans="1:16" x14ac:dyDescent="0.25">
      <c r="A466" s="13" t="s">
        <v>368</v>
      </c>
      <c r="B466" s="14">
        <v>45901</v>
      </c>
      <c r="C466" s="13">
        <f t="shared" si="14"/>
        <v>559</v>
      </c>
      <c r="D466" s="13">
        <v>1</v>
      </c>
      <c r="E466" s="15"/>
      <c r="F466" s="13"/>
      <c r="G466" s="15" t="s">
        <v>25</v>
      </c>
      <c r="H466" s="13" t="s">
        <v>530</v>
      </c>
      <c r="I466" s="13">
        <v>331</v>
      </c>
      <c r="J466" s="13">
        <v>1111</v>
      </c>
      <c r="K466" s="13" t="s">
        <v>21</v>
      </c>
      <c r="L466" s="13">
        <v>1</v>
      </c>
      <c r="M466" s="16">
        <v>150000</v>
      </c>
      <c r="N466" s="16">
        <f t="shared" si="15"/>
        <v>150000</v>
      </c>
      <c r="O466" s="13" t="s">
        <v>22</v>
      </c>
      <c r="P466" s="2">
        <v>462</v>
      </c>
    </row>
    <row r="467" spans="1:16" x14ac:dyDescent="0.25">
      <c r="A467" s="13" t="s">
        <v>368</v>
      </c>
      <c r="B467" s="14">
        <v>45901</v>
      </c>
      <c r="C467" s="13">
        <f t="shared" si="14"/>
        <v>560</v>
      </c>
      <c r="D467" s="13">
        <v>1</v>
      </c>
      <c r="E467" s="15"/>
      <c r="F467" s="13"/>
      <c r="G467" s="15" t="s">
        <v>141</v>
      </c>
      <c r="H467" s="13" t="s">
        <v>531</v>
      </c>
      <c r="I467" s="13">
        <v>331</v>
      </c>
      <c r="J467" s="13">
        <v>1111</v>
      </c>
      <c r="K467" s="13" t="s">
        <v>21</v>
      </c>
      <c r="L467" s="13">
        <v>1</v>
      </c>
      <c r="M467" s="16">
        <v>1020000</v>
      </c>
      <c r="N467" s="16">
        <f t="shared" si="15"/>
        <v>1020000</v>
      </c>
      <c r="O467" s="13" t="s">
        <v>22</v>
      </c>
      <c r="P467" s="2">
        <v>463</v>
      </c>
    </row>
    <row r="468" spans="1:16" x14ac:dyDescent="0.25">
      <c r="A468" s="13" t="s">
        <v>368</v>
      </c>
      <c r="B468" s="14">
        <v>45902</v>
      </c>
      <c r="C468" s="13">
        <f t="shared" si="14"/>
        <v>561</v>
      </c>
      <c r="D468" s="13">
        <v>1</v>
      </c>
      <c r="E468" s="15"/>
      <c r="F468" s="13"/>
      <c r="G468" s="15" t="s">
        <v>46</v>
      </c>
      <c r="H468" s="13" t="s">
        <v>532</v>
      </c>
      <c r="I468" s="13">
        <v>331</v>
      </c>
      <c r="J468" s="13">
        <v>1111</v>
      </c>
      <c r="K468" s="13" t="s">
        <v>21</v>
      </c>
      <c r="L468" s="13">
        <v>1</v>
      </c>
      <c r="M468" s="16">
        <v>918324</v>
      </c>
      <c r="N468" s="16">
        <f t="shared" si="15"/>
        <v>918324</v>
      </c>
      <c r="O468" s="13" t="s">
        <v>22</v>
      </c>
      <c r="P468" s="2">
        <v>464</v>
      </c>
    </row>
    <row r="469" spans="1:16" x14ac:dyDescent="0.25">
      <c r="A469" s="13" t="s">
        <v>368</v>
      </c>
      <c r="B469" s="14">
        <v>45903</v>
      </c>
      <c r="C469" s="13">
        <f t="shared" si="14"/>
        <v>562</v>
      </c>
      <c r="D469" s="13">
        <v>1</v>
      </c>
      <c r="E469" s="15"/>
      <c r="F469" s="13"/>
      <c r="G469" s="15" t="s">
        <v>25</v>
      </c>
      <c r="H469" s="13" t="s">
        <v>533</v>
      </c>
      <c r="I469" s="13">
        <v>331</v>
      </c>
      <c r="J469" s="13">
        <v>1111</v>
      </c>
      <c r="K469" s="13" t="s">
        <v>21</v>
      </c>
      <c r="L469" s="13">
        <v>1</v>
      </c>
      <c r="M469" s="16">
        <v>140000</v>
      </c>
      <c r="N469" s="16">
        <f t="shared" si="15"/>
        <v>140000</v>
      </c>
      <c r="O469" s="13" t="s">
        <v>22</v>
      </c>
      <c r="P469" s="2">
        <v>465</v>
      </c>
    </row>
    <row r="470" spans="1:16" x14ac:dyDescent="0.25">
      <c r="A470" s="13" t="s">
        <v>368</v>
      </c>
      <c r="B470" s="14">
        <v>45904</v>
      </c>
      <c r="C470" s="13">
        <f t="shared" si="14"/>
        <v>563</v>
      </c>
      <c r="D470" s="13">
        <v>1</v>
      </c>
      <c r="E470" s="15"/>
      <c r="F470" s="13"/>
      <c r="G470" s="15" t="s">
        <v>25</v>
      </c>
      <c r="H470" s="13" t="s">
        <v>534</v>
      </c>
      <c r="I470" s="13">
        <v>331</v>
      </c>
      <c r="J470" s="13">
        <v>1111</v>
      </c>
      <c r="K470" s="13" t="s">
        <v>21</v>
      </c>
      <c r="L470" s="13">
        <v>1</v>
      </c>
      <c r="M470" s="16">
        <v>130000</v>
      </c>
      <c r="N470" s="16">
        <f t="shared" si="15"/>
        <v>130000</v>
      </c>
      <c r="O470" s="13" t="s">
        <v>22</v>
      </c>
      <c r="P470" s="2">
        <v>466</v>
      </c>
    </row>
    <row r="471" spans="1:16" x14ac:dyDescent="0.25">
      <c r="A471" s="13" t="s">
        <v>368</v>
      </c>
      <c r="B471" s="14">
        <v>45904</v>
      </c>
      <c r="C471" s="13">
        <f t="shared" si="14"/>
        <v>564</v>
      </c>
      <c r="D471" s="13">
        <v>1</v>
      </c>
      <c r="E471" s="15"/>
      <c r="F471" s="13"/>
      <c r="G471" s="15" t="s">
        <v>25</v>
      </c>
      <c r="H471" s="13" t="s">
        <v>535</v>
      </c>
      <c r="I471" s="13">
        <v>331</v>
      </c>
      <c r="J471" s="13">
        <v>1111</v>
      </c>
      <c r="K471" s="13" t="s">
        <v>21</v>
      </c>
      <c r="L471" s="13">
        <v>1</v>
      </c>
      <c r="M471" s="16">
        <v>130000</v>
      </c>
      <c r="N471" s="16">
        <f t="shared" si="15"/>
        <v>130000</v>
      </c>
      <c r="O471" s="13" t="s">
        <v>22</v>
      </c>
      <c r="P471" s="2">
        <v>467</v>
      </c>
    </row>
    <row r="472" spans="1:16" x14ac:dyDescent="0.25">
      <c r="A472" s="13" t="s">
        <v>368</v>
      </c>
      <c r="B472" s="14">
        <v>45905</v>
      </c>
      <c r="C472" s="13">
        <f t="shared" si="14"/>
        <v>565</v>
      </c>
      <c r="D472" s="13">
        <v>1</v>
      </c>
      <c r="E472" s="15"/>
      <c r="F472" s="13"/>
      <c r="G472" s="15" t="s">
        <v>158</v>
      </c>
      <c r="H472" s="13" t="s">
        <v>536</v>
      </c>
      <c r="I472" s="13">
        <v>331</v>
      </c>
      <c r="J472" s="13">
        <v>1111</v>
      </c>
      <c r="K472" s="13" t="s">
        <v>21</v>
      </c>
      <c r="L472" s="13">
        <v>1</v>
      </c>
      <c r="M472" s="16">
        <v>3240000</v>
      </c>
      <c r="N472" s="16">
        <f t="shared" si="15"/>
        <v>3240000</v>
      </c>
      <c r="O472" s="13" t="s">
        <v>22</v>
      </c>
      <c r="P472" s="2">
        <v>468</v>
      </c>
    </row>
    <row r="473" spans="1:16" x14ac:dyDescent="0.25">
      <c r="A473" s="13" t="s">
        <v>368</v>
      </c>
      <c r="B473" s="14">
        <v>45905</v>
      </c>
      <c r="C473" s="13">
        <f t="shared" si="14"/>
        <v>566</v>
      </c>
      <c r="D473" s="13">
        <v>1</v>
      </c>
      <c r="E473" s="15"/>
      <c r="F473" s="13"/>
      <c r="G473" s="15" t="s">
        <v>78</v>
      </c>
      <c r="H473" s="13" t="s">
        <v>537</v>
      </c>
      <c r="I473" s="13">
        <v>331</v>
      </c>
      <c r="J473" s="13">
        <v>1111</v>
      </c>
      <c r="K473" s="13" t="s">
        <v>21</v>
      </c>
      <c r="L473" s="13">
        <v>1</v>
      </c>
      <c r="M473" s="16">
        <v>190080</v>
      </c>
      <c r="N473" s="16">
        <f t="shared" si="15"/>
        <v>190080</v>
      </c>
      <c r="O473" s="13" t="s">
        <v>22</v>
      </c>
      <c r="P473" s="2">
        <v>469</v>
      </c>
    </row>
    <row r="474" spans="1:16" x14ac:dyDescent="0.25">
      <c r="A474" s="13" t="s">
        <v>368</v>
      </c>
      <c r="B474" s="14">
        <v>45905</v>
      </c>
      <c r="C474" s="13">
        <f t="shared" si="14"/>
        <v>567</v>
      </c>
      <c r="D474" s="13">
        <v>1</v>
      </c>
      <c r="E474" s="15"/>
      <c r="F474" s="13"/>
      <c r="G474" s="15" t="s">
        <v>296</v>
      </c>
      <c r="H474" s="13" t="s">
        <v>538</v>
      </c>
      <c r="I474" s="13">
        <v>331</v>
      </c>
      <c r="J474" s="13">
        <v>1111</v>
      </c>
      <c r="K474" s="13" t="s">
        <v>21</v>
      </c>
      <c r="L474" s="13">
        <v>1</v>
      </c>
      <c r="M474" s="16">
        <v>394539</v>
      </c>
      <c r="N474" s="16">
        <f t="shared" si="15"/>
        <v>394539</v>
      </c>
      <c r="O474" s="13" t="s">
        <v>22</v>
      </c>
      <c r="P474" s="2">
        <v>470</v>
      </c>
    </row>
    <row r="475" spans="1:16" x14ac:dyDescent="0.25">
      <c r="A475" s="13" t="s">
        <v>368</v>
      </c>
      <c r="B475" s="14">
        <v>45905</v>
      </c>
      <c r="C475" s="13">
        <f t="shared" si="14"/>
        <v>568</v>
      </c>
      <c r="D475" s="13">
        <v>1</v>
      </c>
      <c r="E475" s="15"/>
      <c r="F475" s="13"/>
      <c r="G475" s="15" t="s">
        <v>25</v>
      </c>
      <c r="H475" s="13" t="s">
        <v>539</v>
      </c>
      <c r="I475" s="13">
        <v>331</v>
      </c>
      <c r="J475" s="13">
        <v>1111</v>
      </c>
      <c r="K475" s="13" t="s">
        <v>21</v>
      </c>
      <c r="L475" s="13">
        <v>1</v>
      </c>
      <c r="M475" s="16">
        <v>110000</v>
      </c>
      <c r="N475" s="16">
        <f t="shared" si="15"/>
        <v>110000</v>
      </c>
      <c r="O475" s="13" t="s">
        <v>22</v>
      </c>
      <c r="P475" s="2">
        <v>471</v>
      </c>
    </row>
    <row r="476" spans="1:16" x14ac:dyDescent="0.25">
      <c r="A476" s="13" t="s">
        <v>368</v>
      </c>
      <c r="B476" s="14">
        <v>45905</v>
      </c>
      <c r="C476" s="13">
        <f t="shared" si="14"/>
        <v>569</v>
      </c>
      <c r="D476" s="13">
        <v>1</v>
      </c>
      <c r="E476" s="15"/>
      <c r="F476" s="13"/>
      <c r="G476" s="15" t="s">
        <v>299</v>
      </c>
      <c r="H476" s="13" t="s">
        <v>540</v>
      </c>
      <c r="I476" s="13">
        <v>331</v>
      </c>
      <c r="J476" s="13">
        <v>1111</v>
      </c>
      <c r="K476" s="13" t="s">
        <v>21</v>
      </c>
      <c r="L476" s="13">
        <v>1</v>
      </c>
      <c r="M476" s="16">
        <v>500000</v>
      </c>
      <c r="N476" s="16">
        <f t="shared" si="15"/>
        <v>500000</v>
      </c>
      <c r="O476" s="13" t="s">
        <v>22</v>
      </c>
      <c r="P476" s="2">
        <v>472</v>
      </c>
    </row>
    <row r="477" spans="1:16" x14ac:dyDescent="0.25">
      <c r="A477" s="13" t="s">
        <v>368</v>
      </c>
      <c r="B477" s="14">
        <v>45905</v>
      </c>
      <c r="C477" s="13">
        <f t="shared" si="14"/>
        <v>570</v>
      </c>
      <c r="D477" s="13">
        <v>1</v>
      </c>
      <c r="E477" s="15"/>
      <c r="F477" s="13"/>
      <c r="G477" s="15" t="s">
        <v>25</v>
      </c>
      <c r="H477" s="13" t="s">
        <v>541</v>
      </c>
      <c r="I477" s="13">
        <v>331</v>
      </c>
      <c r="J477" s="13">
        <v>1111</v>
      </c>
      <c r="K477" s="13" t="s">
        <v>21</v>
      </c>
      <c r="L477" s="13">
        <v>1</v>
      </c>
      <c r="M477" s="16">
        <v>275000</v>
      </c>
      <c r="N477" s="16">
        <f t="shared" si="15"/>
        <v>275000</v>
      </c>
      <c r="O477" s="13" t="s">
        <v>22</v>
      </c>
      <c r="P477" s="2">
        <v>473</v>
      </c>
    </row>
    <row r="478" spans="1:16" x14ac:dyDescent="0.25">
      <c r="A478" s="13" t="s">
        <v>368</v>
      </c>
      <c r="B478" s="14">
        <v>45906</v>
      </c>
      <c r="C478" s="13">
        <f t="shared" si="14"/>
        <v>571</v>
      </c>
      <c r="D478" s="13">
        <v>1</v>
      </c>
      <c r="E478" s="15"/>
      <c r="F478" s="13"/>
      <c r="G478" s="15" t="s">
        <v>302</v>
      </c>
      <c r="H478" s="13" t="s">
        <v>542</v>
      </c>
      <c r="I478" s="13">
        <v>331</v>
      </c>
      <c r="J478" s="13">
        <v>1111</v>
      </c>
      <c r="K478" s="13" t="s">
        <v>21</v>
      </c>
      <c r="L478" s="13">
        <v>1</v>
      </c>
      <c r="M478" s="16">
        <v>1179360</v>
      </c>
      <c r="N478" s="16">
        <f t="shared" si="15"/>
        <v>1179360</v>
      </c>
      <c r="O478" s="13" t="s">
        <v>22</v>
      </c>
      <c r="P478" s="2">
        <v>474</v>
      </c>
    </row>
    <row r="479" spans="1:16" x14ac:dyDescent="0.25">
      <c r="A479" s="13" t="s">
        <v>368</v>
      </c>
      <c r="B479" s="14">
        <v>45907</v>
      </c>
      <c r="C479" s="13">
        <f t="shared" si="14"/>
        <v>572</v>
      </c>
      <c r="D479" s="13">
        <v>1</v>
      </c>
      <c r="E479" s="15"/>
      <c r="F479" s="13"/>
      <c r="G479" s="15" t="s">
        <v>19</v>
      </c>
      <c r="H479" s="13" t="s">
        <v>543</v>
      </c>
      <c r="I479" s="13">
        <v>331</v>
      </c>
      <c r="J479" s="13">
        <v>1111</v>
      </c>
      <c r="K479" s="13" t="s">
        <v>21</v>
      </c>
      <c r="L479" s="13">
        <v>1</v>
      </c>
      <c r="M479" s="16">
        <v>117000</v>
      </c>
      <c r="N479" s="16">
        <f t="shared" si="15"/>
        <v>117000</v>
      </c>
      <c r="O479" s="13" t="s">
        <v>22</v>
      </c>
      <c r="P479" s="2">
        <v>475</v>
      </c>
    </row>
    <row r="480" spans="1:16" x14ac:dyDescent="0.25">
      <c r="A480" s="13" t="s">
        <v>368</v>
      </c>
      <c r="B480" s="14">
        <v>45907</v>
      </c>
      <c r="C480" s="13">
        <f t="shared" si="14"/>
        <v>573</v>
      </c>
      <c r="D480" s="13">
        <v>1</v>
      </c>
      <c r="E480" s="15"/>
      <c r="F480" s="13"/>
      <c r="G480" s="15" t="s">
        <v>19</v>
      </c>
      <c r="H480" s="13" t="s">
        <v>544</v>
      </c>
      <c r="I480" s="13">
        <v>331</v>
      </c>
      <c r="J480" s="13">
        <v>1111</v>
      </c>
      <c r="K480" s="13" t="s">
        <v>21</v>
      </c>
      <c r="L480" s="13">
        <v>1</v>
      </c>
      <c r="M480" s="16">
        <v>126000</v>
      </c>
      <c r="N480" s="16">
        <f t="shared" si="15"/>
        <v>126000</v>
      </c>
      <c r="O480" s="13" t="s">
        <v>22</v>
      </c>
      <c r="P480" s="2">
        <v>476</v>
      </c>
    </row>
    <row r="481" spans="1:16" x14ac:dyDescent="0.25">
      <c r="A481" s="13" t="s">
        <v>368</v>
      </c>
      <c r="B481" s="14">
        <v>45908</v>
      </c>
      <c r="C481" s="13">
        <f t="shared" si="14"/>
        <v>574</v>
      </c>
      <c r="D481" s="13">
        <v>1</v>
      </c>
      <c r="E481" s="15"/>
      <c r="F481" s="13"/>
      <c r="G481" s="15" t="s">
        <v>19</v>
      </c>
      <c r="H481" s="13" t="s">
        <v>545</v>
      </c>
      <c r="I481" s="13">
        <v>331</v>
      </c>
      <c r="J481" s="13">
        <v>1111</v>
      </c>
      <c r="K481" s="13" t="s">
        <v>21</v>
      </c>
      <c r="L481" s="13">
        <v>1</v>
      </c>
      <c r="M481" s="16">
        <v>45000</v>
      </c>
      <c r="N481" s="16">
        <f t="shared" si="15"/>
        <v>45000</v>
      </c>
      <c r="O481" s="13" t="s">
        <v>22</v>
      </c>
      <c r="P481" s="2">
        <v>477</v>
      </c>
    </row>
    <row r="482" spans="1:16" x14ac:dyDescent="0.25">
      <c r="A482" s="13" t="s">
        <v>368</v>
      </c>
      <c r="B482" s="14">
        <v>45908</v>
      </c>
      <c r="C482" s="13">
        <f t="shared" si="14"/>
        <v>575</v>
      </c>
      <c r="D482" s="13">
        <v>1</v>
      </c>
      <c r="E482" s="15"/>
      <c r="F482" s="13"/>
      <c r="G482" s="15" t="s">
        <v>25</v>
      </c>
      <c r="H482" s="13" t="s">
        <v>546</v>
      </c>
      <c r="I482" s="13">
        <v>331</v>
      </c>
      <c r="J482" s="13">
        <v>1111</v>
      </c>
      <c r="K482" s="13" t="s">
        <v>21</v>
      </c>
      <c r="L482" s="13">
        <v>1</v>
      </c>
      <c r="M482" s="16">
        <v>110000</v>
      </c>
      <c r="N482" s="16">
        <f t="shared" si="15"/>
        <v>110000</v>
      </c>
      <c r="O482" s="13" t="s">
        <v>22</v>
      </c>
      <c r="P482" s="2">
        <v>478</v>
      </c>
    </row>
    <row r="483" spans="1:16" x14ac:dyDescent="0.25">
      <c r="A483" s="13" t="s">
        <v>368</v>
      </c>
      <c r="B483" s="14">
        <v>45909</v>
      </c>
      <c r="C483" s="13">
        <f t="shared" si="14"/>
        <v>576</v>
      </c>
      <c r="D483" s="13">
        <v>1</v>
      </c>
      <c r="E483" s="15"/>
      <c r="F483" s="13"/>
      <c r="G483" s="15" t="s">
        <v>19</v>
      </c>
      <c r="H483" s="13" t="s">
        <v>547</v>
      </c>
      <c r="I483" s="13">
        <v>331</v>
      </c>
      <c r="J483" s="13">
        <v>1111</v>
      </c>
      <c r="K483" s="13" t="s">
        <v>21</v>
      </c>
      <c r="L483" s="13">
        <v>1</v>
      </c>
      <c r="M483" s="16">
        <v>170000</v>
      </c>
      <c r="N483" s="16">
        <f t="shared" si="15"/>
        <v>170000</v>
      </c>
      <c r="O483" s="13" t="s">
        <v>22</v>
      </c>
      <c r="P483" s="2">
        <v>479</v>
      </c>
    </row>
    <row r="484" spans="1:16" x14ac:dyDescent="0.25">
      <c r="A484" s="13" t="s">
        <v>368</v>
      </c>
      <c r="B484" s="14">
        <v>45910</v>
      </c>
      <c r="C484" s="13">
        <f t="shared" si="14"/>
        <v>577</v>
      </c>
      <c r="D484" s="13">
        <v>1</v>
      </c>
      <c r="E484" s="15"/>
      <c r="F484" s="13"/>
      <c r="G484" s="15" t="s">
        <v>25</v>
      </c>
      <c r="H484" s="13" t="s">
        <v>548</v>
      </c>
      <c r="I484" s="13">
        <v>331</v>
      </c>
      <c r="J484" s="13">
        <v>1111</v>
      </c>
      <c r="K484" s="13" t="s">
        <v>21</v>
      </c>
      <c r="L484" s="13">
        <v>1</v>
      </c>
      <c r="M484" s="16">
        <v>205000</v>
      </c>
      <c r="N484" s="16">
        <f t="shared" si="15"/>
        <v>205000</v>
      </c>
      <c r="O484" s="13" t="s">
        <v>22</v>
      </c>
      <c r="P484" s="2">
        <v>480</v>
      </c>
    </row>
    <row r="485" spans="1:16" x14ac:dyDescent="0.25">
      <c r="A485" s="13" t="s">
        <v>368</v>
      </c>
      <c r="B485" s="14">
        <v>45911</v>
      </c>
      <c r="C485" s="13">
        <f t="shared" si="14"/>
        <v>578</v>
      </c>
      <c r="D485" s="13">
        <v>1</v>
      </c>
      <c r="E485" s="15"/>
      <c r="F485" s="13"/>
      <c r="G485" s="15" t="s">
        <v>25</v>
      </c>
      <c r="H485" s="13" t="s">
        <v>549</v>
      </c>
      <c r="I485" s="13">
        <v>331</v>
      </c>
      <c r="J485" s="13">
        <v>1111</v>
      </c>
      <c r="K485" s="13" t="s">
        <v>21</v>
      </c>
      <c r="L485" s="13">
        <v>1</v>
      </c>
      <c r="M485" s="16">
        <v>140000</v>
      </c>
      <c r="N485" s="16">
        <f t="shared" si="15"/>
        <v>140000</v>
      </c>
      <c r="O485" s="13" t="s">
        <v>22</v>
      </c>
      <c r="P485" s="2">
        <v>481</v>
      </c>
    </row>
    <row r="486" spans="1:16" x14ac:dyDescent="0.25">
      <c r="A486" s="13" t="s">
        <v>368</v>
      </c>
      <c r="B486" s="14">
        <v>45913</v>
      </c>
      <c r="C486" s="13">
        <f t="shared" si="14"/>
        <v>579</v>
      </c>
      <c r="D486" s="13">
        <v>1</v>
      </c>
      <c r="E486" s="15"/>
      <c r="F486" s="13"/>
      <c r="G486" s="15" t="s">
        <v>19</v>
      </c>
      <c r="H486" s="13" t="s">
        <v>550</v>
      </c>
      <c r="I486" s="13">
        <v>331</v>
      </c>
      <c r="J486" s="13">
        <v>1111</v>
      </c>
      <c r="K486" s="13" t="s">
        <v>21</v>
      </c>
      <c r="L486" s="13">
        <v>1</v>
      </c>
      <c r="M486" s="16">
        <v>212000</v>
      </c>
      <c r="N486" s="16">
        <f t="shared" si="15"/>
        <v>212000</v>
      </c>
      <c r="O486" s="13" t="s">
        <v>22</v>
      </c>
      <c r="P486" s="2">
        <v>482</v>
      </c>
    </row>
    <row r="487" spans="1:16" x14ac:dyDescent="0.25">
      <c r="A487" s="13" t="s">
        <v>368</v>
      </c>
      <c r="B487" s="14">
        <v>45914</v>
      </c>
      <c r="C487" s="13">
        <f t="shared" si="14"/>
        <v>580</v>
      </c>
      <c r="D487" s="13">
        <v>1</v>
      </c>
      <c r="E487" s="15"/>
      <c r="F487" s="13"/>
      <c r="G487" s="15" t="s">
        <v>141</v>
      </c>
      <c r="H487" s="13" t="s">
        <v>551</v>
      </c>
      <c r="I487" s="13">
        <v>331</v>
      </c>
      <c r="J487" s="13">
        <v>1111</v>
      </c>
      <c r="K487" s="13" t="s">
        <v>21</v>
      </c>
      <c r="L487" s="13">
        <v>1</v>
      </c>
      <c r="M487" s="16">
        <v>935000</v>
      </c>
      <c r="N487" s="16">
        <f t="shared" si="15"/>
        <v>935000</v>
      </c>
      <c r="O487" s="13" t="s">
        <v>22</v>
      </c>
      <c r="P487" s="2">
        <v>483</v>
      </c>
    </row>
    <row r="488" spans="1:16" x14ac:dyDescent="0.25">
      <c r="A488" s="13" t="s">
        <v>368</v>
      </c>
      <c r="B488" s="14">
        <v>45915</v>
      </c>
      <c r="C488" s="13">
        <f t="shared" si="14"/>
        <v>581</v>
      </c>
      <c r="D488" s="13">
        <v>1</v>
      </c>
      <c r="E488" s="15"/>
      <c r="F488" s="13"/>
      <c r="G488" s="15" t="s">
        <v>316</v>
      </c>
      <c r="H488" s="13" t="s">
        <v>552</v>
      </c>
      <c r="I488" s="13">
        <v>331</v>
      </c>
      <c r="J488" s="13">
        <v>1111</v>
      </c>
      <c r="K488" s="13" t="s">
        <v>21</v>
      </c>
      <c r="L488" s="13">
        <v>1</v>
      </c>
      <c r="M488" s="16">
        <v>202000</v>
      </c>
      <c r="N488" s="16">
        <f t="shared" si="15"/>
        <v>202000</v>
      </c>
      <c r="O488" s="13" t="s">
        <v>22</v>
      </c>
      <c r="P488" s="2">
        <v>484</v>
      </c>
    </row>
    <row r="489" spans="1:16" x14ac:dyDescent="0.25">
      <c r="A489" s="13" t="s">
        <v>368</v>
      </c>
      <c r="B489" s="14">
        <v>45915</v>
      </c>
      <c r="C489" s="13">
        <f t="shared" si="14"/>
        <v>582</v>
      </c>
      <c r="D489" s="13">
        <v>1</v>
      </c>
      <c r="E489" s="15"/>
      <c r="F489" s="13"/>
      <c r="G489" s="15" t="s">
        <v>318</v>
      </c>
      <c r="H489" s="13" t="s">
        <v>553</v>
      </c>
      <c r="I489" s="13">
        <v>331</v>
      </c>
      <c r="J489" s="13">
        <v>1111</v>
      </c>
      <c r="K489" s="13" t="s">
        <v>21</v>
      </c>
      <c r="L489" s="13">
        <v>1</v>
      </c>
      <c r="M489" s="16">
        <v>239000</v>
      </c>
      <c r="N489" s="16">
        <f t="shared" si="15"/>
        <v>239000</v>
      </c>
      <c r="O489" s="13" t="s">
        <v>22</v>
      </c>
      <c r="P489" s="2">
        <v>485</v>
      </c>
    </row>
    <row r="490" spans="1:16" x14ac:dyDescent="0.25">
      <c r="A490" s="13" t="s">
        <v>368</v>
      </c>
      <c r="B490" s="14">
        <v>45915</v>
      </c>
      <c r="C490" s="13">
        <f t="shared" si="14"/>
        <v>583</v>
      </c>
      <c r="D490" s="13">
        <v>1</v>
      </c>
      <c r="E490" s="15"/>
      <c r="F490" s="13"/>
      <c r="G490" s="15" t="s">
        <v>320</v>
      </c>
      <c r="H490" s="13" t="s">
        <v>554</v>
      </c>
      <c r="I490" s="13">
        <v>331</v>
      </c>
      <c r="J490" s="13">
        <v>1111</v>
      </c>
      <c r="K490" s="13" t="s">
        <v>21</v>
      </c>
      <c r="L490" s="13">
        <v>1</v>
      </c>
      <c r="M490" s="16">
        <v>418000</v>
      </c>
      <c r="N490" s="16">
        <f t="shared" si="15"/>
        <v>418000</v>
      </c>
      <c r="O490" s="13" t="s">
        <v>22</v>
      </c>
      <c r="P490" s="2">
        <v>486</v>
      </c>
    </row>
    <row r="491" spans="1:16" x14ac:dyDescent="0.25">
      <c r="A491" s="13" t="s">
        <v>368</v>
      </c>
      <c r="B491" s="14">
        <v>45916</v>
      </c>
      <c r="C491" s="13">
        <f t="shared" si="14"/>
        <v>584</v>
      </c>
      <c r="D491" s="13">
        <v>1</v>
      </c>
      <c r="E491" s="15"/>
      <c r="F491" s="13"/>
      <c r="G491" s="15" t="s">
        <v>323</v>
      </c>
      <c r="H491" s="13" t="s">
        <v>555</v>
      </c>
      <c r="I491" s="13">
        <v>331</v>
      </c>
      <c r="J491" s="13">
        <v>1111</v>
      </c>
      <c r="K491" s="13" t="s">
        <v>21</v>
      </c>
      <c r="L491" s="13">
        <v>1</v>
      </c>
      <c r="M491" s="16">
        <v>211000</v>
      </c>
      <c r="N491" s="16">
        <f t="shared" si="15"/>
        <v>211000</v>
      </c>
      <c r="O491" s="13" t="s">
        <v>22</v>
      </c>
      <c r="P491" s="2">
        <v>487</v>
      </c>
    </row>
    <row r="492" spans="1:16" x14ac:dyDescent="0.25">
      <c r="A492" s="13" t="s">
        <v>368</v>
      </c>
      <c r="B492" s="14">
        <v>45916</v>
      </c>
      <c r="C492" s="13">
        <f t="shared" si="14"/>
        <v>585</v>
      </c>
      <c r="D492" s="13">
        <v>1</v>
      </c>
      <c r="E492" s="15"/>
      <c r="F492" s="13"/>
      <c r="G492" s="15" t="s">
        <v>318</v>
      </c>
      <c r="H492" s="13" t="s">
        <v>556</v>
      </c>
      <c r="I492" s="13">
        <v>331</v>
      </c>
      <c r="J492" s="13">
        <v>1111</v>
      </c>
      <c r="K492" s="13" t="s">
        <v>21</v>
      </c>
      <c r="L492" s="13">
        <v>1</v>
      </c>
      <c r="M492" s="16">
        <v>215000</v>
      </c>
      <c r="N492" s="16">
        <f t="shared" si="15"/>
        <v>215000</v>
      </c>
      <c r="O492" s="13" t="s">
        <v>22</v>
      </c>
      <c r="P492" s="2">
        <v>488</v>
      </c>
    </row>
    <row r="493" spans="1:16" x14ac:dyDescent="0.25">
      <c r="A493" s="13" t="s">
        <v>368</v>
      </c>
      <c r="B493" s="14">
        <v>45917</v>
      </c>
      <c r="C493" s="13">
        <f t="shared" si="14"/>
        <v>586</v>
      </c>
      <c r="D493" s="13">
        <v>1</v>
      </c>
      <c r="E493" s="15"/>
      <c r="F493" s="13"/>
      <c r="G493" s="15" t="s">
        <v>19</v>
      </c>
      <c r="H493" s="13" t="s">
        <v>557</v>
      </c>
      <c r="I493" s="13">
        <v>331</v>
      </c>
      <c r="J493" s="13">
        <v>1111</v>
      </c>
      <c r="K493" s="13" t="s">
        <v>21</v>
      </c>
      <c r="L493" s="13">
        <v>1</v>
      </c>
      <c r="M493" s="16">
        <v>230000</v>
      </c>
      <c r="N493" s="16">
        <f t="shared" si="15"/>
        <v>230000</v>
      </c>
      <c r="O493" s="13" t="s">
        <v>22</v>
      </c>
      <c r="P493" s="2">
        <v>489</v>
      </c>
    </row>
    <row r="494" spans="1:16" x14ac:dyDescent="0.25">
      <c r="A494" s="13" t="s">
        <v>368</v>
      </c>
      <c r="B494" s="14">
        <v>45917</v>
      </c>
      <c r="C494" s="13">
        <f t="shared" si="14"/>
        <v>587</v>
      </c>
      <c r="D494" s="13">
        <v>1</v>
      </c>
      <c r="E494" s="15"/>
      <c r="F494" s="13"/>
      <c r="G494" s="15" t="s">
        <v>316</v>
      </c>
      <c r="H494" s="13" t="s">
        <v>558</v>
      </c>
      <c r="I494" s="13">
        <v>331</v>
      </c>
      <c r="J494" s="13">
        <v>1111</v>
      </c>
      <c r="K494" s="13" t="s">
        <v>21</v>
      </c>
      <c r="L494" s="13">
        <v>1</v>
      </c>
      <c r="M494" s="16">
        <v>207000</v>
      </c>
      <c r="N494" s="16">
        <f t="shared" si="15"/>
        <v>207000</v>
      </c>
      <c r="O494" s="13" t="s">
        <v>22</v>
      </c>
      <c r="P494" s="2">
        <v>490</v>
      </c>
    </row>
    <row r="495" spans="1:16" x14ac:dyDescent="0.25">
      <c r="A495" s="13" t="s">
        <v>368</v>
      </c>
      <c r="B495" s="14">
        <v>45917</v>
      </c>
      <c r="C495" s="13">
        <f t="shared" ref="C495:C525" si="16">C494+D495</f>
        <v>588</v>
      </c>
      <c r="D495" s="13">
        <v>1</v>
      </c>
      <c r="E495" s="15"/>
      <c r="F495" s="13"/>
      <c r="G495" s="15" t="s">
        <v>318</v>
      </c>
      <c r="H495" s="13" t="s">
        <v>559</v>
      </c>
      <c r="I495" s="13">
        <v>331</v>
      </c>
      <c r="J495" s="13">
        <v>1111</v>
      </c>
      <c r="K495" s="13" t="s">
        <v>21</v>
      </c>
      <c r="L495" s="13">
        <v>1</v>
      </c>
      <c r="M495" s="16">
        <v>115000</v>
      </c>
      <c r="N495" s="16">
        <f t="shared" si="15"/>
        <v>115000</v>
      </c>
      <c r="O495" s="13" t="s">
        <v>22</v>
      </c>
      <c r="P495" s="2">
        <v>491</v>
      </c>
    </row>
    <row r="496" spans="1:16" x14ac:dyDescent="0.25">
      <c r="A496" s="13" t="s">
        <v>368</v>
      </c>
      <c r="B496" s="14">
        <v>45918</v>
      </c>
      <c r="C496" s="13">
        <f t="shared" si="16"/>
        <v>589</v>
      </c>
      <c r="D496" s="13">
        <v>1</v>
      </c>
      <c r="E496" s="15"/>
      <c r="F496" s="13"/>
      <c r="G496" s="15" t="s">
        <v>19</v>
      </c>
      <c r="H496" s="13" t="s">
        <v>560</v>
      </c>
      <c r="I496" s="13">
        <v>331</v>
      </c>
      <c r="J496" s="13">
        <v>1111</v>
      </c>
      <c r="K496" s="13" t="s">
        <v>21</v>
      </c>
      <c r="L496" s="13">
        <v>1</v>
      </c>
      <c r="M496" s="16">
        <v>138000</v>
      </c>
      <c r="N496" s="16">
        <f t="shared" si="15"/>
        <v>138000</v>
      </c>
      <c r="O496" s="13" t="s">
        <v>22</v>
      </c>
      <c r="P496" s="2">
        <v>492</v>
      </c>
    </row>
    <row r="497" spans="1:16" x14ac:dyDescent="0.25">
      <c r="A497" s="13" t="s">
        <v>368</v>
      </c>
      <c r="B497" s="14">
        <v>45918</v>
      </c>
      <c r="C497" s="13">
        <f t="shared" si="16"/>
        <v>590</v>
      </c>
      <c r="D497" s="13">
        <v>1</v>
      </c>
      <c r="E497" s="15"/>
      <c r="F497" s="13"/>
      <c r="G497" s="15" t="s">
        <v>19</v>
      </c>
      <c r="H497" s="13" t="s">
        <v>561</v>
      </c>
      <c r="I497" s="13">
        <v>331</v>
      </c>
      <c r="J497" s="13">
        <v>1111</v>
      </c>
      <c r="K497" s="13" t="s">
        <v>21</v>
      </c>
      <c r="L497" s="13">
        <v>1</v>
      </c>
      <c r="M497" s="16">
        <v>29000</v>
      </c>
      <c r="N497" s="16">
        <f t="shared" ref="N497:N526" si="17">M497*L497</f>
        <v>29000</v>
      </c>
      <c r="O497" s="13" t="s">
        <v>22</v>
      </c>
      <c r="P497" s="2">
        <v>493</v>
      </c>
    </row>
    <row r="498" spans="1:16" x14ac:dyDescent="0.25">
      <c r="A498" s="13" t="s">
        <v>368</v>
      </c>
      <c r="B498" s="14">
        <v>45918</v>
      </c>
      <c r="C498" s="13">
        <f t="shared" si="16"/>
        <v>591</v>
      </c>
      <c r="D498" s="13">
        <v>1</v>
      </c>
      <c r="E498" s="15"/>
      <c r="F498" s="13"/>
      <c r="G498" s="15" t="s">
        <v>19</v>
      </c>
      <c r="H498" s="13" t="s">
        <v>562</v>
      </c>
      <c r="I498" s="13">
        <v>331</v>
      </c>
      <c r="J498" s="13">
        <v>1111</v>
      </c>
      <c r="K498" s="13" t="s">
        <v>21</v>
      </c>
      <c r="L498" s="13">
        <v>1</v>
      </c>
      <c r="M498" s="16">
        <v>173000</v>
      </c>
      <c r="N498" s="16">
        <f t="shared" si="17"/>
        <v>173000</v>
      </c>
      <c r="O498" s="13" t="s">
        <v>22</v>
      </c>
      <c r="P498" s="2">
        <v>494</v>
      </c>
    </row>
    <row r="499" spans="1:16" x14ac:dyDescent="0.25">
      <c r="A499" s="13" t="s">
        <v>368</v>
      </c>
      <c r="B499" s="14">
        <v>45919</v>
      </c>
      <c r="C499" s="13">
        <f t="shared" si="16"/>
        <v>592</v>
      </c>
      <c r="D499" s="13">
        <v>1</v>
      </c>
      <c r="E499" s="15"/>
      <c r="F499" s="13"/>
      <c r="G499" s="15" t="s">
        <v>19</v>
      </c>
      <c r="H499" s="13" t="s">
        <v>563</v>
      </c>
      <c r="I499" s="13">
        <v>331</v>
      </c>
      <c r="J499" s="13">
        <v>1111</v>
      </c>
      <c r="K499" s="13" t="s">
        <v>21</v>
      </c>
      <c r="L499" s="13">
        <v>1</v>
      </c>
      <c r="M499" s="16">
        <v>92000</v>
      </c>
      <c r="N499" s="16">
        <f t="shared" si="17"/>
        <v>92000</v>
      </c>
      <c r="O499" s="13" t="s">
        <v>22</v>
      </c>
      <c r="P499" s="2">
        <v>495</v>
      </c>
    </row>
    <row r="500" spans="1:16" x14ac:dyDescent="0.25">
      <c r="A500" s="13" t="s">
        <v>368</v>
      </c>
      <c r="B500" s="14">
        <v>45919</v>
      </c>
      <c r="C500" s="13">
        <f t="shared" si="16"/>
        <v>593</v>
      </c>
      <c r="D500" s="13">
        <v>1</v>
      </c>
      <c r="E500" s="15"/>
      <c r="F500" s="13"/>
      <c r="G500" s="15" t="s">
        <v>19</v>
      </c>
      <c r="H500" s="13" t="s">
        <v>564</v>
      </c>
      <c r="I500" s="13">
        <v>331</v>
      </c>
      <c r="J500" s="13">
        <v>1111</v>
      </c>
      <c r="K500" s="13" t="s">
        <v>21</v>
      </c>
      <c r="L500" s="13">
        <v>1</v>
      </c>
      <c r="M500" s="16">
        <v>70000</v>
      </c>
      <c r="N500" s="16">
        <f t="shared" si="17"/>
        <v>70000</v>
      </c>
      <c r="O500" s="13" t="s">
        <v>22</v>
      </c>
      <c r="P500" s="2">
        <v>496</v>
      </c>
    </row>
    <row r="501" spans="1:16" x14ac:dyDescent="0.25">
      <c r="A501" s="13" t="s">
        <v>368</v>
      </c>
      <c r="B501" s="14">
        <v>45919</v>
      </c>
      <c r="C501" s="13">
        <f t="shared" si="16"/>
        <v>594</v>
      </c>
      <c r="D501" s="13">
        <v>1</v>
      </c>
      <c r="E501" s="15"/>
      <c r="F501" s="13"/>
      <c r="G501" s="15" t="s">
        <v>19</v>
      </c>
      <c r="H501" s="13" t="s">
        <v>565</v>
      </c>
      <c r="I501" s="13">
        <v>331</v>
      </c>
      <c r="J501" s="13">
        <v>1111</v>
      </c>
      <c r="K501" s="13" t="s">
        <v>21</v>
      </c>
      <c r="L501" s="13">
        <v>1</v>
      </c>
      <c r="M501" s="16">
        <v>94000</v>
      </c>
      <c r="N501" s="16">
        <f t="shared" si="17"/>
        <v>94000</v>
      </c>
      <c r="O501" s="13" t="s">
        <v>22</v>
      </c>
      <c r="P501" s="2">
        <v>497</v>
      </c>
    </row>
    <row r="502" spans="1:16" x14ac:dyDescent="0.25">
      <c r="A502" s="13" t="s">
        <v>368</v>
      </c>
      <c r="B502" s="14">
        <v>45919</v>
      </c>
      <c r="C502" s="13">
        <f t="shared" si="16"/>
        <v>595</v>
      </c>
      <c r="D502" s="13">
        <v>1</v>
      </c>
      <c r="E502" s="15"/>
      <c r="F502" s="13"/>
      <c r="G502" s="15" t="s">
        <v>335</v>
      </c>
      <c r="H502" s="13" t="s">
        <v>566</v>
      </c>
      <c r="I502" s="13">
        <v>331</v>
      </c>
      <c r="J502" s="13">
        <v>1111</v>
      </c>
      <c r="K502" s="13" t="s">
        <v>21</v>
      </c>
      <c r="L502" s="13">
        <v>1</v>
      </c>
      <c r="M502" s="16">
        <v>907200</v>
      </c>
      <c r="N502" s="16">
        <f t="shared" si="17"/>
        <v>907200</v>
      </c>
      <c r="O502" s="13" t="s">
        <v>22</v>
      </c>
      <c r="P502" s="2">
        <v>498</v>
      </c>
    </row>
    <row r="503" spans="1:16" x14ac:dyDescent="0.25">
      <c r="A503" s="13" t="s">
        <v>368</v>
      </c>
      <c r="B503" s="14">
        <v>45920</v>
      </c>
      <c r="C503" s="13">
        <f t="shared" si="16"/>
        <v>596</v>
      </c>
      <c r="D503" s="13">
        <v>1</v>
      </c>
      <c r="E503" s="15"/>
      <c r="F503" s="13"/>
      <c r="G503" s="15" t="s">
        <v>35</v>
      </c>
      <c r="H503" s="13" t="s">
        <v>567</v>
      </c>
      <c r="I503" s="13">
        <v>331</v>
      </c>
      <c r="J503" s="13">
        <v>1111</v>
      </c>
      <c r="K503" s="13" t="s">
        <v>21</v>
      </c>
      <c r="L503" s="13">
        <v>1</v>
      </c>
      <c r="M503" s="16">
        <v>133000</v>
      </c>
      <c r="N503" s="16">
        <f t="shared" si="17"/>
        <v>133000</v>
      </c>
      <c r="O503" s="13" t="s">
        <v>22</v>
      </c>
      <c r="P503" s="2">
        <v>499</v>
      </c>
    </row>
    <row r="504" spans="1:16" x14ac:dyDescent="0.25">
      <c r="A504" s="13" t="s">
        <v>368</v>
      </c>
      <c r="B504" s="14">
        <v>45920</v>
      </c>
      <c r="C504" s="13">
        <f t="shared" si="16"/>
        <v>597</v>
      </c>
      <c r="D504" s="13">
        <v>1</v>
      </c>
      <c r="E504" s="15"/>
      <c r="F504" s="13"/>
      <c r="G504" s="15" t="s">
        <v>19</v>
      </c>
      <c r="H504" s="13" t="s">
        <v>568</v>
      </c>
      <c r="I504" s="13">
        <v>331</v>
      </c>
      <c r="J504" s="13">
        <v>1111</v>
      </c>
      <c r="K504" s="13" t="s">
        <v>21</v>
      </c>
      <c r="L504" s="13">
        <v>1</v>
      </c>
      <c r="M504" s="16">
        <v>80000</v>
      </c>
      <c r="N504" s="16">
        <f t="shared" si="17"/>
        <v>80000</v>
      </c>
      <c r="O504" s="13" t="s">
        <v>22</v>
      </c>
      <c r="P504" s="2">
        <v>500</v>
      </c>
    </row>
    <row r="505" spans="1:16" x14ac:dyDescent="0.25">
      <c r="A505" s="13" t="s">
        <v>368</v>
      </c>
      <c r="B505" s="14">
        <v>45920</v>
      </c>
      <c r="C505" s="13">
        <f t="shared" si="16"/>
        <v>598</v>
      </c>
      <c r="D505" s="13">
        <v>1</v>
      </c>
      <c r="E505" s="15"/>
      <c r="F505" s="13"/>
      <c r="G505" s="15" t="s">
        <v>19</v>
      </c>
      <c r="H505" s="13" t="s">
        <v>569</v>
      </c>
      <c r="I505" s="13">
        <v>331</v>
      </c>
      <c r="J505" s="13">
        <v>1111</v>
      </c>
      <c r="K505" s="13" t="s">
        <v>21</v>
      </c>
      <c r="L505" s="13">
        <v>1</v>
      </c>
      <c r="M505" s="16">
        <v>36000</v>
      </c>
      <c r="N505" s="16">
        <f t="shared" si="17"/>
        <v>36000</v>
      </c>
      <c r="O505" s="13" t="s">
        <v>22</v>
      </c>
      <c r="P505" s="2">
        <v>501</v>
      </c>
    </row>
    <row r="506" spans="1:16" x14ac:dyDescent="0.25">
      <c r="A506" s="13" t="s">
        <v>368</v>
      </c>
      <c r="B506" s="14">
        <v>45921</v>
      </c>
      <c r="C506" s="13">
        <f t="shared" si="16"/>
        <v>599</v>
      </c>
      <c r="D506" s="13">
        <v>1</v>
      </c>
      <c r="E506" s="15"/>
      <c r="F506" s="13"/>
      <c r="G506" s="15" t="s">
        <v>19</v>
      </c>
      <c r="H506" s="13" t="s">
        <v>570</v>
      </c>
      <c r="I506" s="13">
        <v>331</v>
      </c>
      <c r="J506" s="13">
        <v>1111</v>
      </c>
      <c r="K506" s="13" t="s">
        <v>21</v>
      </c>
      <c r="L506" s="13">
        <v>1</v>
      </c>
      <c r="M506" s="16">
        <v>38000</v>
      </c>
      <c r="N506" s="16">
        <f t="shared" si="17"/>
        <v>38000</v>
      </c>
      <c r="O506" s="13" t="s">
        <v>22</v>
      </c>
      <c r="P506" s="2">
        <v>502</v>
      </c>
    </row>
    <row r="507" spans="1:16" x14ac:dyDescent="0.25">
      <c r="A507" s="13" t="s">
        <v>368</v>
      </c>
      <c r="B507" s="14">
        <v>45921</v>
      </c>
      <c r="C507" s="13">
        <f t="shared" si="16"/>
        <v>600</v>
      </c>
      <c r="D507" s="13">
        <v>1</v>
      </c>
      <c r="E507" s="15"/>
      <c r="F507" s="13"/>
      <c r="G507" s="15" t="s">
        <v>19</v>
      </c>
      <c r="H507" s="13" t="s">
        <v>571</v>
      </c>
      <c r="I507" s="13">
        <v>331</v>
      </c>
      <c r="J507" s="13">
        <v>1111</v>
      </c>
      <c r="K507" s="13" t="s">
        <v>21</v>
      </c>
      <c r="L507" s="13">
        <v>1</v>
      </c>
      <c r="M507" s="16">
        <v>35000</v>
      </c>
      <c r="N507" s="16">
        <f t="shared" si="17"/>
        <v>35000</v>
      </c>
      <c r="O507" s="13" t="s">
        <v>22</v>
      </c>
      <c r="P507" s="2">
        <v>503</v>
      </c>
    </row>
    <row r="508" spans="1:16" x14ac:dyDescent="0.25">
      <c r="A508" s="13" t="s">
        <v>368</v>
      </c>
      <c r="B508" s="14">
        <v>45922</v>
      </c>
      <c r="C508" s="13">
        <f t="shared" si="16"/>
        <v>601</v>
      </c>
      <c r="D508" s="13">
        <v>1</v>
      </c>
      <c r="E508" s="15"/>
      <c r="F508" s="13"/>
      <c r="G508" s="15" t="s">
        <v>342</v>
      </c>
      <c r="H508" s="13" t="s">
        <v>572</v>
      </c>
      <c r="I508" s="13">
        <v>331</v>
      </c>
      <c r="J508" s="13">
        <v>1111</v>
      </c>
      <c r="K508" s="13" t="s">
        <v>21</v>
      </c>
      <c r="L508" s="13">
        <v>1</v>
      </c>
      <c r="M508" s="16">
        <v>1740690</v>
      </c>
      <c r="N508" s="16">
        <f t="shared" si="17"/>
        <v>1740690</v>
      </c>
      <c r="O508" s="13" t="s">
        <v>22</v>
      </c>
      <c r="P508" s="2">
        <v>504</v>
      </c>
    </row>
    <row r="509" spans="1:16" x14ac:dyDescent="0.25">
      <c r="A509" s="13" t="s">
        <v>368</v>
      </c>
      <c r="B509" s="14">
        <v>45922</v>
      </c>
      <c r="C509" s="13">
        <f t="shared" si="16"/>
        <v>602</v>
      </c>
      <c r="D509" s="13">
        <v>1</v>
      </c>
      <c r="E509" s="15"/>
      <c r="F509" s="13"/>
      <c r="G509" s="15" t="s">
        <v>25</v>
      </c>
      <c r="H509" s="13" t="s">
        <v>573</v>
      </c>
      <c r="I509" s="13">
        <v>331</v>
      </c>
      <c r="J509" s="13">
        <v>1111</v>
      </c>
      <c r="K509" s="13" t="s">
        <v>21</v>
      </c>
      <c r="L509" s="13">
        <v>1</v>
      </c>
      <c r="M509" s="16">
        <v>85000</v>
      </c>
      <c r="N509" s="16">
        <f t="shared" si="17"/>
        <v>85000</v>
      </c>
      <c r="O509" s="13" t="s">
        <v>22</v>
      </c>
      <c r="P509" s="2">
        <v>505</v>
      </c>
    </row>
    <row r="510" spans="1:16" x14ac:dyDescent="0.25">
      <c r="A510" s="13" t="s">
        <v>368</v>
      </c>
      <c r="B510" s="14">
        <v>45922</v>
      </c>
      <c r="C510" s="13">
        <f t="shared" si="16"/>
        <v>603</v>
      </c>
      <c r="D510" s="13">
        <v>1</v>
      </c>
      <c r="E510" s="15"/>
      <c r="F510" s="13"/>
      <c r="G510" s="15" t="s">
        <v>25</v>
      </c>
      <c r="H510" s="13" t="s">
        <v>574</v>
      </c>
      <c r="I510" s="13">
        <v>331</v>
      </c>
      <c r="J510" s="13">
        <v>1111</v>
      </c>
      <c r="K510" s="13" t="s">
        <v>21</v>
      </c>
      <c r="L510" s="13">
        <v>1</v>
      </c>
      <c r="M510" s="16">
        <v>75000</v>
      </c>
      <c r="N510" s="16">
        <f t="shared" si="17"/>
        <v>75000</v>
      </c>
      <c r="O510" s="13" t="s">
        <v>22</v>
      </c>
      <c r="P510" s="2">
        <v>506</v>
      </c>
    </row>
    <row r="511" spans="1:16" x14ac:dyDescent="0.25">
      <c r="A511" s="13" t="s">
        <v>368</v>
      </c>
      <c r="B511" s="14">
        <v>45923</v>
      </c>
      <c r="C511" s="13">
        <f t="shared" si="16"/>
        <v>604</v>
      </c>
      <c r="D511" s="13">
        <v>1</v>
      </c>
      <c r="E511" s="15"/>
      <c r="F511" s="13"/>
      <c r="G511" s="15" t="s">
        <v>136</v>
      </c>
      <c r="H511" s="13" t="s">
        <v>575</v>
      </c>
      <c r="I511" s="13">
        <v>331</v>
      </c>
      <c r="J511" s="13">
        <v>1111</v>
      </c>
      <c r="K511" s="13" t="s">
        <v>21</v>
      </c>
      <c r="L511" s="13">
        <v>1</v>
      </c>
      <c r="M511" s="16">
        <v>1214450</v>
      </c>
      <c r="N511" s="16">
        <f t="shared" si="17"/>
        <v>1214450</v>
      </c>
      <c r="O511" s="13" t="s">
        <v>22</v>
      </c>
      <c r="P511" s="2">
        <v>507</v>
      </c>
    </row>
    <row r="512" spans="1:16" x14ac:dyDescent="0.25">
      <c r="A512" s="13" t="s">
        <v>368</v>
      </c>
      <c r="B512" s="14">
        <v>45923</v>
      </c>
      <c r="C512" s="13">
        <f t="shared" si="16"/>
        <v>605</v>
      </c>
      <c r="D512" s="13">
        <v>1</v>
      </c>
      <c r="E512" s="15"/>
      <c r="F512" s="13"/>
      <c r="G512" s="15" t="s">
        <v>25</v>
      </c>
      <c r="H512" s="13" t="s">
        <v>576</v>
      </c>
      <c r="I512" s="13">
        <v>331</v>
      </c>
      <c r="J512" s="13">
        <v>1111</v>
      </c>
      <c r="K512" s="13" t="s">
        <v>21</v>
      </c>
      <c r="L512" s="13">
        <v>1</v>
      </c>
      <c r="M512" s="16">
        <v>180000</v>
      </c>
      <c r="N512" s="16">
        <f t="shared" si="17"/>
        <v>180000</v>
      </c>
      <c r="O512" s="13" t="s">
        <v>22</v>
      </c>
      <c r="P512" s="2">
        <v>508</v>
      </c>
    </row>
    <row r="513" spans="1:16" x14ac:dyDescent="0.25">
      <c r="A513" s="13" t="s">
        <v>368</v>
      </c>
      <c r="B513" s="14">
        <v>45924</v>
      </c>
      <c r="C513" s="13">
        <f t="shared" si="16"/>
        <v>606</v>
      </c>
      <c r="D513" s="13">
        <v>1</v>
      </c>
      <c r="E513" s="15"/>
      <c r="F513" s="13"/>
      <c r="G513" s="15" t="s">
        <v>348</v>
      </c>
      <c r="H513" s="13" t="s">
        <v>577</v>
      </c>
      <c r="I513" s="13">
        <v>331</v>
      </c>
      <c r="J513" s="13">
        <v>1111</v>
      </c>
      <c r="K513" s="13" t="s">
        <v>21</v>
      </c>
      <c r="L513" s="13">
        <v>1</v>
      </c>
      <c r="M513" s="16">
        <v>1031000</v>
      </c>
      <c r="N513" s="16">
        <f t="shared" si="17"/>
        <v>1031000</v>
      </c>
      <c r="O513" s="13" t="s">
        <v>22</v>
      </c>
      <c r="P513" s="2">
        <v>509</v>
      </c>
    </row>
    <row r="514" spans="1:16" x14ac:dyDescent="0.25">
      <c r="A514" s="13" t="s">
        <v>368</v>
      </c>
      <c r="B514" s="14">
        <v>45925</v>
      </c>
      <c r="C514" s="13">
        <f t="shared" si="16"/>
        <v>607</v>
      </c>
      <c r="D514" s="13">
        <v>1</v>
      </c>
      <c r="E514" s="15"/>
      <c r="F514" s="13"/>
      <c r="G514" s="15" t="s">
        <v>353</v>
      </c>
      <c r="H514" s="13" t="s">
        <v>578</v>
      </c>
      <c r="I514" s="13">
        <v>331</v>
      </c>
      <c r="J514" s="13">
        <v>1111</v>
      </c>
      <c r="K514" s="13" t="s">
        <v>21</v>
      </c>
      <c r="L514" s="13">
        <v>1</v>
      </c>
      <c r="M514" s="16">
        <v>1360800</v>
      </c>
      <c r="N514" s="16">
        <f t="shared" si="17"/>
        <v>1360800</v>
      </c>
      <c r="O514" s="13" t="s">
        <v>22</v>
      </c>
      <c r="P514" s="2">
        <v>510</v>
      </c>
    </row>
    <row r="515" spans="1:16" x14ac:dyDescent="0.25">
      <c r="A515" s="13" t="s">
        <v>368</v>
      </c>
      <c r="B515" s="14">
        <v>45926</v>
      </c>
      <c r="C515" s="13">
        <f t="shared" si="16"/>
        <v>608</v>
      </c>
      <c r="D515" s="13">
        <v>1</v>
      </c>
      <c r="E515" s="15"/>
      <c r="F515" s="13"/>
      <c r="G515" s="15" t="s">
        <v>19</v>
      </c>
      <c r="H515" s="13" t="s">
        <v>579</v>
      </c>
      <c r="I515" s="13">
        <v>331</v>
      </c>
      <c r="J515" s="13">
        <v>1111</v>
      </c>
      <c r="K515" s="13" t="s">
        <v>21</v>
      </c>
      <c r="L515" s="13">
        <v>1</v>
      </c>
      <c r="M515" s="16">
        <v>60000</v>
      </c>
      <c r="N515" s="16">
        <f t="shared" si="17"/>
        <v>60000</v>
      </c>
      <c r="O515" s="13" t="s">
        <v>22</v>
      </c>
      <c r="P515" s="2">
        <v>511</v>
      </c>
    </row>
    <row r="516" spans="1:16" x14ac:dyDescent="0.25">
      <c r="A516" s="13" t="s">
        <v>368</v>
      </c>
      <c r="B516" s="14">
        <v>45926</v>
      </c>
      <c r="C516" s="13">
        <f t="shared" si="16"/>
        <v>609</v>
      </c>
      <c r="D516" s="13">
        <v>1</v>
      </c>
      <c r="E516" s="15"/>
      <c r="F516" s="13"/>
      <c r="G516" s="15" t="s">
        <v>19</v>
      </c>
      <c r="H516" s="13" t="s">
        <v>580</v>
      </c>
      <c r="I516" s="13">
        <v>331</v>
      </c>
      <c r="J516" s="13">
        <v>1111</v>
      </c>
      <c r="K516" s="13" t="s">
        <v>21</v>
      </c>
      <c r="L516" s="13">
        <v>1</v>
      </c>
      <c r="M516" s="16">
        <v>103000</v>
      </c>
      <c r="N516" s="16">
        <f t="shared" si="17"/>
        <v>103000</v>
      </c>
      <c r="O516" s="13" t="s">
        <v>22</v>
      </c>
      <c r="P516" s="2">
        <v>512</v>
      </c>
    </row>
    <row r="517" spans="1:16" x14ac:dyDescent="0.25">
      <c r="A517" s="13" t="s">
        <v>368</v>
      </c>
      <c r="B517" s="14">
        <v>45926</v>
      </c>
      <c r="C517" s="13">
        <f t="shared" si="16"/>
        <v>610</v>
      </c>
      <c r="D517" s="13">
        <v>1</v>
      </c>
      <c r="E517" s="15"/>
      <c r="F517" s="13"/>
      <c r="G517" s="15" t="s">
        <v>19</v>
      </c>
      <c r="H517" s="13" t="s">
        <v>581</v>
      </c>
      <c r="I517" s="13">
        <v>331</v>
      </c>
      <c r="J517" s="13">
        <v>1111</v>
      </c>
      <c r="K517" s="13" t="s">
        <v>21</v>
      </c>
      <c r="L517" s="13">
        <v>1</v>
      </c>
      <c r="M517" s="16">
        <v>175000</v>
      </c>
      <c r="N517" s="16">
        <f t="shared" si="17"/>
        <v>175000</v>
      </c>
      <c r="O517" s="13" t="s">
        <v>22</v>
      </c>
      <c r="P517" s="2">
        <v>513</v>
      </c>
    </row>
    <row r="518" spans="1:16" x14ac:dyDescent="0.25">
      <c r="A518" s="13" t="s">
        <v>368</v>
      </c>
      <c r="B518" s="14">
        <v>45926</v>
      </c>
      <c r="C518" s="13">
        <f t="shared" si="16"/>
        <v>611</v>
      </c>
      <c r="D518" s="13">
        <v>1</v>
      </c>
      <c r="E518" s="15"/>
      <c r="F518" s="13"/>
      <c r="G518" s="15" t="s">
        <v>358</v>
      </c>
      <c r="H518" s="13" t="s">
        <v>582</v>
      </c>
      <c r="I518" s="13">
        <v>331</v>
      </c>
      <c r="J518" s="13">
        <v>1111</v>
      </c>
      <c r="K518" s="13" t="s">
        <v>21</v>
      </c>
      <c r="L518" s="13">
        <v>1</v>
      </c>
      <c r="M518" s="16">
        <v>556200</v>
      </c>
      <c r="N518" s="16">
        <f t="shared" si="17"/>
        <v>556200</v>
      </c>
      <c r="O518" s="13" t="s">
        <v>22</v>
      </c>
      <c r="P518" s="2">
        <v>514</v>
      </c>
    </row>
    <row r="519" spans="1:16" x14ac:dyDescent="0.25">
      <c r="A519" s="13" t="s">
        <v>368</v>
      </c>
      <c r="B519" s="14">
        <v>45926</v>
      </c>
      <c r="C519" s="13">
        <f t="shared" si="16"/>
        <v>612</v>
      </c>
      <c r="D519" s="13">
        <v>1</v>
      </c>
      <c r="E519" s="15"/>
      <c r="F519" s="13"/>
      <c r="G519" s="15" t="s">
        <v>25</v>
      </c>
      <c r="H519" s="13" t="s">
        <v>583</v>
      </c>
      <c r="I519" s="13">
        <v>331</v>
      </c>
      <c r="J519" s="13">
        <v>1111</v>
      </c>
      <c r="K519" s="13" t="s">
        <v>21</v>
      </c>
      <c r="L519" s="13">
        <v>1</v>
      </c>
      <c r="M519" s="16">
        <v>182000</v>
      </c>
      <c r="N519" s="16">
        <f t="shared" si="17"/>
        <v>182000</v>
      </c>
      <c r="O519" s="13" t="s">
        <v>22</v>
      </c>
      <c r="P519" s="2">
        <v>515</v>
      </c>
    </row>
    <row r="520" spans="1:16" x14ac:dyDescent="0.25">
      <c r="A520" s="13" t="s">
        <v>368</v>
      </c>
      <c r="B520" s="14">
        <v>45927</v>
      </c>
      <c r="C520" s="13">
        <f t="shared" si="16"/>
        <v>613</v>
      </c>
      <c r="D520" s="13">
        <v>1</v>
      </c>
      <c r="E520" s="15"/>
      <c r="F520" s="13"/>
      <c r="G520" s="15" t="s">
        <v>92</v>
      </c>
      <c r="H520" s="13" t="s">
        <v>584</v>
      </c>
      <c r="I520" s="13">
        <v>331</v>
      </c>
      <c r="J520" s="13">
        <v>1111</v>
      </c>
      <c r="K520" s="13" t="s">
        <v>21</v>
      </c>
      <c r="L520" s="13">
        <v>1</v>
      </c>
      <c r="M520" s="16">
        <v>1210000</v>
      </c>
      <c r="N520" s="16">
        <f t="shared" si="17"/>
        <v>1210000</v>
      </c>
      <c r="O520" s="13" t="s">
        <v>22</v>
      </c>
      <c r="P520" s="2">
        <v>516</v>
      </c>
    </row>
    <row r="521" spans="1:16" x14ac:dyDescent="0.25">
      <c r="A521" s="13" t="s">
        <v>368</v>
      </c>
      <c r="B521" s="14">
        <v>45927</v>
      </c>
      <c r="C521" s="13">
        <f t="shared" si="16"/>
        <v>614</v>
      </c>
      <c r="D521" s="13">
        <v>1</v>
      </c>
      <c r="E521" s="15"/>
      <c r="F521" s="13"/>
      <c r="G521" s="15" t="s">
        <v>25</v>
      </c>
      <c r="H521" s="13" t="s">
        <v>585</v>
      </c>
      <c r="I521" s="13">
        <v>331</v>
      </c>
      <c r="J521" s="13">
        <v>1111</v>
      </c>
      <c r="K521" s="13" t="s">
        <v>21</v>
      </c>
      <c r="L521" s="13">
        <v>1</v>
      </c>
      <c r="M521" s="16">
        <v>175000</v>
      </c>
      <c r="N521" s="16">
        <f t="shared" si="17"/>
        <v>175000</v>
      </c>
      <c r="O521" s="13" t="s">
        <v>22</v>
      </c>
      <c r="P521" s="2">
        <v>517</v>
      </c>
    </row>
    <row r="522" spans="1:16" x14ac:dyDescent="0.25">
      <c r="A522" s="13" t="s">
        <v>368</v>
      </c>
      <c r="B522" s="14">
        <v>45929</v>
      </c>
      <c r="C522" s="13">
        <f t="shared" si="16"/>
        <v>615</v>
      </c>
      <c r="D522" s="13">
        <v>1</v>
      </c>
      <c r="E522" s="15"/>
      <c r="F522" s="13"/>
      <c r="G522" s="15" t="s">
        <v>35</v>
      </c>
      <c r="H522" s="13" t="s">
        <v>586</v>
      </c>
      <c r="I522" s="13">
        <v>331</v>
      </c>
      <c r="J522" s="13">
        <v>1111</v>
      </c>
      <c r="K522" s="13" t="s">
        <v>21</v>
      </c>
      <c r="L522" s="13">
        <v>1</v>
      </c>
      <c r="M522" s="16">
        <v>142000</v>
      </c>
      <c r="N522" s="16">
        <f t="shared" si="17"/>
        <v>142000</v>
      </c>
      <c r="O522" s="13" t="s">
        <v>22</v>
      </c>
      <c r="P522" s="2">
        <v>518</v>
      </c>
    </row>
    <row r="523" spans="1:16" x14ac:dyDescent="0.25">
      <c r="A523" s="13" t="s">
        <v>368</v>
      </c>
      <c r="B523" s="14">
        <v>45929</v>
      </c>
      <c r="C523" s="13">
        <f t="shared" si="16"/>
        <v>616</v>
      </c>
      <c r="D523" s="13">
        <v>1</v>
      </c>
      <c r="E523" s="15"/>
      <c r="F523" s="13"/>
      <c r="G523" s="15" t="s">
        <v>19</v>
      </c>
      <c r="H523" s="13" t="s">
        <v>587</v>
      </c>
      <c r="I523" s="13">
        <v>331</v>
      </c>
      <c r="J523" s="13">
        <v>1111</v>
      </c>
      <c r="K523" s="13" t="s">
        <v>21</v>
      </c>
      <c r="L523" s="13">
        <v>1</v>
      </c>
      <c r="M523" s="16">
        <v>170000</v>
      </c>
      <c r="N523" s="16">
        <f t="shared" si="17"/>
        <v>170000</v>
      </c>
      <c r="O523" s="13" t="s">
        <v>22</v>
      </c>
      <c r="P523" s="2">
        <v>519</v>
      </c>
    </row>
    <row r="524" spans="1:16" x14ac:dyDescent="0.25">
      <c r="A524" s="13" t="s">
        <v>368</v>
      </c>
      <c r="B524" s="14">
        <v>45930</v>
      </c>
      <c r="C524" s="13">
        <f t="shared" si="16"/>
        <v>617</v>
      </c>
      <c r="D524" s="13">
        <v>1</v>
      </c>
      <c r="E524" s="15"/>
      <c r="F524" s="13"/>
      <c r="G524" s="15" t="s">
        <v>158</v>
      </c>
      <c r="H524" s="13" t="s">
        <v>588</v>
      </c>
      <c r="I524" s="13">
        <v>331</v>
      </c>
      <c r="J524" s="13">
        <v>1111</v>
      </c>
      <c r="K524" s="13" t="s">
        <v>21</v>
      </c>
      <c r="L524" s="13">
        <v>1</v>
      </c>
      <c r="M524" s="16">
        <v>3240000</v>
      </c>
      <c r="N524" s="16">
        <f t="shared" si="17"/>
        <v>3240000</v>
      </c>
      <c r="O524" s="13" t="s">
        <v>22</v>
      </c>
      <c r="P524" s="2">
        <v>520</v>
      </c>
    </row>
    <row r="525" spans="1:16" x14ac:dyDescent="0.25">
      <c r="A525" s="13" t="s">
        <v>368</v>
      </c>
      <c r="B525" s="14">
        <v>45930</v>
      </c>
      <c r="C525" s="13">
        <f t="shared" si="16"/>
        <v>618</v>
      </c>
      <c r="D525" s="13">
        <v>1</v>
      </c>
      <c r="E525" s="15"/>
      <c r="F525" s="13"/>
      <c r="G525" s="15" t="s">
        <v>78</v>
      </c>
      <c r="H525" s="13" t="s">
        <v>589</v>
      </c>
      <c r="I525" s="13">
        <v>331</v>
      </c>
      <c r="J525" s="13">
        <v>1111</v>
      </c>
      <c r="K525" s="13" t="s">
        <v>21</v>
      </c>
      <c r="L525" s="13">
        <v>1</v>
      </c>
      <c r="M525" s="16">
        <v>164160</v>
      </c>
      <c r="N525" s="16">
        <f t="shared" si="17"/>
        <v>164160</v>
      </c>
      <c r="O525" s="13" t="s">
        <v>22</v>
      </c>
      <c r="P525" s="2">
        <v>521</v>
      </c>
    </row>
    <row r="526" spans="1:16" x14ac:dyDescent="0.25">
      <c r="A526" s="13" t="s">
        <v>33</v>
      </c>
      <c r="B526" s="14">
        <v>45839</v>
      </c>
      <c r="C526" s="13">
        <f t="shared" ref="C526" si="18">C525+D526</f>
        <v>619</v>
      </c>
      <c r="D526" s="13">
        <v>1</v>
      </c>
      <c r="E526" s="15"/>
      <c r="F526" s="13"/>
      <c r="G526" s="15" t="s">
        <v>274</v>
      </c>
      <c r="H526" s="13" t="s">
        <v>590</v>
      </c>
      <c r="I526" s="13">
        <v>112111</v>
      </c>
      <c r="J526" s="13">
        <v>131</v>
      </c>
      <c r="K526" s="13" t="s">
        <v>21</v>
      </c>
      <c r="L526" s="13">
        <v>1</v>
      </c>
      <c r="M526" s="16">
        <v>16129032</v>
      </c>
      <c r="N526" s="16">
        <f t="shared" si="17"/>
        <v>16129032</v>
      </c>
      <c r="O526" s="13" t="s">
        <v>22</v>
      </c>
      <c r="P526" s="2">
        <v>522</v>
      </c>
    </row>
  </sheetData>
  <autoFilter ref="A3:P526" xr:uid="{00000000-0009-0000-0000-000000000000}">
    <sortState xmlns:xlrd2="http://schemas.microsoft.com/office/spreadsheetml/2017/richdata2" ref="A4:P303">
      <sortCondition ref="B3:B303"/>
    </sortState>
  </autoFilter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3"/>
  <sheetViews>
    <sheetView topLeftCell="A52" workbookViewId="0">
      <selection activeCell="I65" sqref="I65"/>
    </sheetView>
  </sheetViews>
  <sheetFormatPr defaultRowHeight="15" customHeight="1" x14ac:dyDescent="0.2"/>
  <cols>
    <col min="1" max="1" width="14" style="13" bestFit="1" customWidth="1"/>
    <col min="2" max="2" width="12.5703125" style="13" bestFit="1" customWidth="1"/>
    <col min="3" max="3" width="13.7109375" style="13" bestFit="1" customWidth="1"/>
    <col min="4" max="4" width="9.140625" style="13"/>
    <col min="5" max="5" width="10.5703125" style="15" bestFit="1" customWidth="1"/>
    <col min="6" max="6" width="26.42578125" style="13" bestFit="1" customWidth="1"/>
    <col min="7" max="7" width="14.7109375" style="15" bestFit="1" customWidth="1"/>
    <col min="8" max="8" width="33.28515625" style="13" customWidth="1"/>
    <col min="9" max="10" width="7.7109375" style="13" customWidth="1"/>
    <col min="11" max="11" width="10.85546875" style="13" bestFit="1" customWidth="1"/>
    <col min="12" max="12" width="6.85546875" style="13" bestFit="1" customWidth="1"/>
    <col min="13" max="13" width="11.5703125" style="21" bestFit="1" customWidth="1"/>
    <col min="14" max="14" width="12.140625" style="21" bestFit="1" customWidth="1"/>
    <col min="15" max="15" width="5.85546875" style="13" bestFit="1" customWidth="1"/>
    <col min="16" max="16384" width="9.140625" style="13"/>
  </cols>
  <sheetData>
    <row r="1" spans="1:16" ht="15" customHeight="1" thickBot="1" x14ac:dyDescent="0.25">
      <c r="A1" s="125" t="s">
        <v>0</v>
      </c>
      <c r="B1" s="125" t="s">
        <v>1</v>
      </c>
      <c r="C1" s="125" t="s">
        <v>2</v>
      </c>
      <c r="D1" s="127" t="s">
        <v>3</v>
      </c>
      <c r="E1" s="132" t="s">
        <v>4</v>
      </c>
      <c r="F1" s="127" t="s">
        <v>5</v>
      </c>
      <c r="G1" s="119" t="s">
        <v>6</v>
      </c>
      <c r="H1" s="121" t="s">
        <v>7</v>
      </c>
      <c r="I1" s="123" t="s">
        <v>8</v>
      </c>
      <c r="J1" s="124"/>
      <c r="K1" s="125" t="s">
        <v>9</v>
      </c>
      <c r="L1" s="125" t="s">
        <v>10</v>
      </c>
      <c r="M1" s="130" t="s">
        <v>11</v>
      </c>
      <c r="N1" s="130" t="s">
        <v>12</v>
      </c>
      <c r="O1" s="1"/>
    </row>
    <row r="2" spans="1:16" ht="15" customHeight="1" thickBot="1" x14ac:dyDescent="0.25">
      <c r="A2" s="126"/>
      <c r="B2" s="126"/>
      <c r="C2" s="126"/>
      <c r="D2" s="129"/>
      <c r="E2" s="133"/>
      <c r="F2" s="128"/>
      <c r="G2" s="120"/>
      <c r="H2" s="122"/>
      <c r="I2" s="19" t="s">
        <v>13</v>
      </c>
      <c r="J2" s="3" t="s">
        <v>14</v>
      </c>
      <c r="K2" s="126"/>
      <c r="L2" s="126"/>
      <c r="M2" s="131"/>
      <c r="N2" s="131"/>
      <c r="O2" s="4"/>
    </row>
    <row r="3" spans="1:16" ht="15" customHeight="1" x14ac:dyDescent="0.2">
      <c r="A3" s="5"/>
      <c r="B3" s="6"/>
      <c r="C3" s="5" t="s">
        <v>591</v>
      </c>
      <c r="D3" s="7"/>
      <c r="E3" s="7"/>
      <c r="F3" s="7"/>
      <c r="G3" s="5" t="s">
        <v>15</v>
      </c>
      <c r="H3" s="8"/>
      <c r="I3" s="9"/>
      <c r="J3" s="9"/>
      <c r="K3" s="10"/>
      <c r="L3" s="11"/>
      <c r="M3" s="20"/>
      <c r="N3" s="20"/>
      <c r="O3" s="13" t="s">
        <v>16</v>
      </c>
      <c r="P3" s="13" t="s">
        <v>17</v>
      </c>
    </row>
    <row r="4" spans="1:16" ht="15" customHeight="1" x14ac:dyDescent="0.2">
      <c r="A4" s="13" t="s">
        <v>18</v>
      </c>
      <c r="B4" s="14">
        <v>45845</v>
      </c>
      <c r="C4" s="15">
        <f>C3+D4</f>
        <v>10</v>
      </c>
      <c r="D4" s="13">
        <v>1</v>
      </c>
      <c r="G4" s="15" t="s">
        <v>158</v>
      </c>
      <c r="H4" s="13" t="s">
        <v>592</v>
      </c>
      <c r="I4" s="13">
        <v>64277</v>
      </c>
      <c r="J4" s="13">
        <v>331</v>
      </c>
      <c r="K4" s="13" t="s">
        <v>21</v>
      </c>
      <c r="L4" s="13">
        <v>1</v>
      </c>
      <c r="M4" s="21">
        <v>3240000</v>
      </c>
      <c r="N4" s="21">
        <f t="shared" ref="N4:N35" si="0">M4*L4</f>
        <v>3240000</v>
      </c>
      <c r="O4" s="13" t="s">
        <v>22</v>
      </c>
      <c r="P4" s="13">
        <v>36</v>
      </c>
    </row>
    <row r="5" spans="1:16" ht="15" customHeight="1" x14ac:dyDescent="0.2">
      <c r="A5" s="13" t="s">
        <v>368</v>
      </c>
      <c r="B5" s="14">
        <v>45845</v>
      </c>
      <c r="C5" s="15">
        <f t="shared" ref="C5:C68" si="1">C4+D5</f>
        <v>11</v>
      </c>
      <c r="D5" s="13">
        <v>1</v>
      </c>
      <c r="G5" s="15" t="s">
        <v>158</v>
      </c>
      <c r="H5" s="13" t="s">
        <v>593</v>
      </c>
      <c r="I5" s="13">
        <v>331</v>
      </c>
      <c r="J5" s="13">
        <v>1111</v>
      </c>
      <c r="K5" s="13" t="s">
        <v>21</v>
      </c>
      <c r="L5" s="13">
        <v>1</v>
      </c>
      <c r="M5" s="21">
        <v>3240000</v>
      </c>
      <c r="N5" s="21">
        <f t="shared" si="0"/>
        <v>3240000</v>
      </c>
      <c r="O5" s="13" t="s">
        <v>22</v>
      </c>
      <c r="P5" s="13">
        <v>101</v>
      </c>
    </row>
    <row r="6" spans="1:16" ht="15" customHeight="1" x14ac:dyDescent="0.2">
      <c r="A6" s="13" t="s">
        <v>18</v>
      </c>
      <c r="B6" s="14">
        <v>45847</v>
      </c>
      <c r="C6" s="15">
        <f t="shared" si="1"/>
        <v>12</v>
      </c>
      <c r="D6" s="13">
        <v>1</v>
      </c>
      <c r="G6" s="15" t="s">
        <v>594</v>
      </c>
      <c r="H6" s="13" t="s">
        <v>595</v>
      </c>
      <c r="I6" s="13">
        <v>64277</v>
      </c>
      <c r="J6" s="13">
        <v>331</v>
      </c>
      <c r="K6" s="13" t="s">
        <v>21</v>
      </c>
      <c r="L6" s="13">
        <v>1</v>
      </c>
      <c r="M6" s="21">
        <v>1280000</v>
      </c>
      <c r="N6" s="21">
        <f t="shared" si="0"/>
        <v>1280000</v>
      </c>
      <c r="O6" s="13" t="s">
        <v>22</v>
      </c>
      <c r="P6" s="13">
        <v>37</v>
      </c>
    </row>
    <row r="7" spans="1:16" ht="15" customHeight="1" x14ac:dyDescent="0.2">
      <c r="A7" s="13" t="s">
        <v>368</v>
      </c>
      <c r="B7" s="14">
        <v>45847</v>
      </c>
      <c r="C7" s="15">
        <f t="shared" si="1"/>
        <v>13</v>
      </c>
      <c r="D7" s="13">
        <v>1</v>
      </c>
      <c r="G7" s="15" t="s">
        <v>594</v>
      </c>
      <c r="H7" s="13" t="s">
        <v>596</v>
      </c>
      <c r="I7" s="13">
        <v>331</v>
      </c>
      <c r="J7" s="13">
        <v>1111</v>
      </c>
      <c r="K7" s="13" t="s">
        <v>21</v>
      </c>
      <c r="L7" s="13">
        <v>1</v>
      </c>
      <c r="M7" s="21">
        <v>1280000</v>
      </c>
      <c r="N7" s="21">
        <f t="shared" si="0"/>
        <v>1280000</v>
      </c>
      <c r="O7" s="13" t="s">
        <v>22</v>
      </c>
      <c r="P7" s="13">
        <v>102</v>
      </c>
    </row>
    <row r="8" spans="1:16" ht="15" customHeight="1" x14ac:dyDescent="0.2">
      <c r="A8" s="13" t="s">
        <v>18</v>
      </c>
      <c r="B8" s="14">
        <v>45848</v>
      </c>
      <c r="C8" s="15">
        <f t="shared" si="1"/>
        <v>14</v>
      </c>
      <c r="D8" s="13">
        <v>1</v>
      </c>
      <c r="G8" s="15" t="s">
        <v>31</v>
      </c>
      <c r="H8" s="13" t="s">
        <v>32</v>
      </c>
      <c r="I8" s="13">
        <v>131</v>
      </c>
      <c r="J8" s="13">
        <v>5118</v>
      </c>
      <c r="K8" s="13" t="s">
        <v>21</v>
      </c>
      <c r="L8" s="13">
        <v>1</v>
      </c>
      <c r="M8" s="21">
        <v>6523857</v>
      </c>
      <c r="N8" s="21">
        <f t="shared" si="0"/>
        <v>6523857</v>
      </c>
      <c r="O8" s="13" t="s">
        <v>22</v>
      </c>
      <c r="P8" s="13">
        <v>33</v>
      </c>
    </row>
    <row r="9" spans="1:16" ht="15" customHeight="1" x14ac:dyDescent="0.2">
      <c r="A9" s="13" t="s">
        <v>33</v>
      </c>
      <c r="B9" s="14">
        <v>45848</v>
      </c>
      <c r="C9" s="15">
        <f t="shared" si="1"/>
        <v>15</v>
      </c>
      <c r="D9" s="13">
        <v>1</v>
      </c>
      <c r="G9" s="15" t="s">
        <v>31</v>
      </c>
      <c r="H9" s="13" t="s">
        <v>34</v>
      </c>
      <c r="I9" s="13">
        <v>112111</v>
      </c>
      <c r="J9" s="13">
        <v>131</v>
      </c>
      <c r="K9" s="13" t="s">
        <v>21</v>
      </c>
      <c r="L9" s="13">
        <v>1</v>
      </c>
      <c r="M9" s="21">
        <v>6523857</v>
      </c>
      <c r="N9" s="16">
        <f t="shared" si="0"/>
        <v>6523857</v>
      </c>
      <c r="O9" s="13" t="s">
        <v>22</v>
      </c>
      <c r="P9" s="13">
        <v>59</v>
      </c>
    </row>
    <row r="10" spans="1:16" ht="15" customHeight="1" x14ac:dyDescent="0.2">
      <c r="A10" s="13" t="s">
        <v>18</v>
      </c>
      <c r="B10" s="14">
        <v>45849</v>
      </c>
      <c r="C10" s="15">
        <f t="shared" si="1"/>
        <v>16</v>
      </c>
      <c r="D10" s="13">
        <v>1</v>
      </c>
      <c r="G10" s="15" t="s">
        <v>597</v>
      </c>
      <c r="H10" s="13" t="s">
        <v>598</v>
      </c>
      <c r="I10" s="13">
        <v>64277</v>
      </c>
      <c r="J10" s="13">
        <v>331</v>
      </c>
      <c r="K10" s="13" t="s">
        <v>21</v>
      </c>
      <c r="L10" s="13">
        <v>1</v>
      </c>
      <c r="M10" s="21">
        <v>1189080</v>
      </c>
      <c r="N10" s="21">
        <f t="shared" si="0"/>
        <v>1189080</v>
      </c>
      <c r="O10" s="13" t="s">
        <v>22</v>
      </c>
      <c r="P10" s="13">
        <v>38</v>
      </c>
    </row>
    <row r="11" spans="1:16" ht="15" customHeight="1" x14ac:dyDescent="0.2">
      <c r="A11" s="13" t="s">
        <v>368</v>
      </c>
      <c r="B11" s="14">
        <v>45849</v>
      </c>
      <c r="C11" s="15">
        <f t="shared" si="1"/>
        <v>17</v>
      </c>
      <c r="D11" s="13">
        <v>1</v>
      </c>
      <c r="G11" s="15" t="s">
        <v>597</v>
      </c>
      <c r="H11" s="13" t="s">
        <v>596</v>
      </c>
      <c r="I11" s="13">
        <v>331</v>
      </c>
      <c r="J11" s="13">
        <v>1111</v>
      </c>
      <c r="K11" s="13" t="s">
        <v>21</v>
      </c>
      <c r="L11" s="13">
        <v>1</v>
      </c>
      <c r="M11" s="21">
        <v>1189080</v>
      </c>
      <c r="N11" s="21">
        <f t="shared" si="0"/>
        <v>1189080</v>
      </c>
      <c r="O11" s="13" t="s">
        <v>22</v>
      </c>
      <c r="P11" s="13">
        <v>103</v>
      </c>
    </row>
    <row r="12" spans="1:16" ht="15" customHeight="1" x14ac:dyDescent="0.2">
      <c r="A12" s="13" t="s">
        <v>89</v>
      </c>
      <c r="B12" s="14">
        <v>45850</v>
      </c>
      <c r="C12" s="15">
        <f t="shared" si="1"/>
        <v>18</v>
      </c>
      <c r="D12" s="13">
        <v>1</v>
      </c>
      <c r="G12" s="15" t="s">
        <v>267</v>
      </c>
      <c r="H12" s="13" t="s">
        <v>599</v>
      </c>
      <c r="I12" s="13">
        <v>1388</v>
      </c>
      <c r="J12" s="13">
        <v>112111</v>
      </c>
      <c r="K12" s="13" t="s">
        <v>21</v>
      </c>
      <c r="L12" s="13">
        <v>1</v>
      </c>
      <c r="M12" s="21">
        <v>130000</v>
      </c>
      <c r="N12" s="16">
        <f t="shared" si="0"/>
        <v>130000</v>
      </c>
      <c r="O12" s="13" t="s">
        <v>22</v>
      </c>
      <c r="P12" s="13">
        <v>60</v>
      </c>
    </row>
    <row r="13" spans="1:16" ht="15" customHeight="1" x14ac:dyDescent="0.2">
      <c r="A13" s="13" t="s">
        <v>89</v>
      </c>
      <c r="B13" s="14">
        <v>45850</v>
      </c>
      <c r="C13" s="15">
        <f t="shared" si="1"/>
        <v>19</v>
      </c>
      <c r="D13" s="13">
        <v>1</v>
      </c>
      <c r="G13" s="15" t="s">
        <v>267</v>
      </c>
      <c r="H13" s="13" t="s">
        <v>599</v>
      </c>
      <c r="I13" s="13">
        <v>1388</v>
      </c>
      <c r="J13" s="13">
        <v>112111</v>
      </c>
      <c r="K13" s="13" t="s">
        <v>21</v>
      </c>
      <c r="L13" s="13">
        <v>1</v>
      </c>
      <c r="M13" s="21">
        <v>146000</v>
      </c>
      <c r="N13" s="16">
        <f t="shared" si="0"/>
        <v>146000</v>
      </c>
      <c r="O13" s="13" t="s">
        <v>22</v>
      </c>
      <c r="P13" s="13">
        <v>61</v>
      </c>
    </row>
    <row r="14" spans="1:16" ht="15" customHeight="1" x14ac:dyDescent="0.2">
      <c r="A14" s="13" t="s">
        <v>89</v>
      </c>
      <c r="B14" s="14">
        <v>45852</v>
      </c>
      <c r="C14" s="15">
        <f t="shared" si="1"/>
        <v>20</v>
      </c>
      <c r="D14" s="13">
        <v>1</v>
      </c>
      <c r="G14" s="15" t="s">
        <v>267</v>
      </c>
      <c r="H14" s="13" t="s">
        <v>599</v>
      </c>
      <c r="I14" s="13">
        <v>1388</v>
      </c>
      <c r="J14" s="13">
        <v>112111</v>
      </c>
      <c r="K14" s="13" t="s">
        <v>21</v>
      </c>
      <c r="L14" s="13">
        <v>1</v>
      </c>
      <c r="M14" s="21">
        <v>541000</v>
      </c>
      <c r="N14" s="16">
        <f t="shared" si="0"/>
        <v>541000</v>
      </c>
      <c r="O14" s="13" t="s">
        <v>22</v>
      </c>
      <c r="P14" s="13">
        <v>62</v>
      </c>
    </row>
    <row r="15" spans="1:16" ht="15" customHeight="1" x14ac:dyDescent="0.2">
      <c r="A15" s="13" t="s">
        <v>33</v>
      </c>
      <c r="B15" s="14">
        <v>45852</v>
      </c>
      <c r="C15" s="15">
        <f t="shared" si="1"/>
        <v>21</v>
      </c>
      <c r="D15" s="13">
        <v>1</v>
      </c>
      <c r="G15" s="15" t="s">
        <v>267</v>
      </c>
      <c r="H15" s="13" t="s">
        <v>600</v>
      </c>
      <c r="I15" s="13">
        <v>112111</v>
      </c>
      <c r="J15" s="13">
        <v>1388</v>
      </c>
      <c r="K15" s="13" t="s">
        <v>21</v>
      </c>
      <c r="L15" s="13">
        <v>1</v>
      </c>
      <c r="M15" s="21">
        <v>541000</v>
      </c>
      <c r="N15" s="16">
        <f t="shared" si="0"/>
        <v>541000</v>
      </c>
      <c r="O15" s="13" t="s">
        <v>22</v>
      </c>
      <c r="P15" s="13">
        <v>63</v>
      </c>
    </row>
    <row r="16" spans="1:16" ht="15" customHeight="1" x14ac:dyDescent="0.2">
      <c r="A16" s="13" t="s">
        <v>33</v>
      </c>
      <c r="B16" s="14">
        <v>45852</v>
      </c>
      <c r="C16" s="15">
        <f t="shared" si="1"/>
        <v>22</v>
      </c>
      <c r="D16" s="13">
        <v>1</v>
      </c>
      <c r="G16" s="15" t="s">
        <v>267</v>
      </c>
      <c r="H16" s="13" t="s">
        <v>600</v>
      </c>
      <c r="I16" s="13">
        <v>112111</v>
      </c>
      <c r="J16" s="13">
        <v>1388</v>
      </c>
      <c r="K16" s="13" t="s">
        <v>21</v>
      </c>
      <c r="L16" s="13">
        <v>1</v>
      </c>
      <c r="M16" s="21">
        <v>146000</v>
      </c>
      <c r="N16" s="16">
        <f t="shared" si="0"/>
        <v>146000</v>
      </c>
      <c r="O16" s="13" t="s">
        <v>22</v>
      </c>
      <c r="P16" s="13">
        <v>64</v>
      </c>
    </row>
    <row r="17" spans="1:16" ht="15" customHeight="1" x14ac:dyDescent="0.2">
      <c r="A17" s="13" t="s">
        <v>33</v>
      </c>
      <c r="B17" s="14">
        <v>45852</v>
      </c>
      <c r="C17" s="15">
        <f t="shared" si="1"/>
        <v>23</v>
      </c>
      <c r="D17" s="13">
        <v>1</v>
      </c>
      <c r="G17" s="15" t="s">
        <v>267</v>
      </c>
      <c r="H17" s="13" t="s">
        <v>600</v>
      </c>
      <c r="I17" s="13">
        <v>112111</v>
      </c>
      <c r="J17" s="13">
        <v>1388</v>
      </c>
      <c r="K17" s="13" t="s">
        <v>21</v>
      </c>
      <c r="L17" s="13">
        <v>1</v>
      </c>
      <c r="M17" s="21">
        <v>130000</v>
      </c>
      <c r="N17" s="16">
        <f t="shared" si="0"/>
        <v>130000</v>
      </c>
      <c r="O17" s="13" t="s">
        <v>22</v>
      </c>
      <c r="P17" s="13">
        <v>65</v>
      </c>
    </row>
    <row r="18" spans="1:16" ht="15" customHeight="1" x14ac:dyDescent="0.2">
      <c r="A18" s="13" t="s">
        <v>18</v>
      </c>
      <c r="B18" s="14">
        <v>45853</v>
      </c>
      <c r="C18" s="15">
        <f t="shared" si="1"/>
        <v>24</v>
      </c>
      <c r="D18" s="13">
        <v>1</v>
      </c>
      <c r="G18" s="15" t="s">
        <v>31</v>
      </c>
      <c r="H18" s="13" t="s">
        <v>32</v>
      </c>
      <c r="I18" s="13">
        <v>131</v>
      </c>
      <c r="J18" s="13">
        <v>5118</v>
      </c>
      <c r="K18" s="13" t="s">
        <v>21</v>
      </c>
      <c r="L18" s="13">
        <v>1</v>
      </c>
      <c r="M18" s="21">
        <v>1289193</v>
      </c>
      <c r="N18" s="21">
        <f t="shared" si="0"/>
        <v>1289193</v>
      </c>
      <c r="O18" s="13" t="s">
        <v>22</v>
      </c>
      <c r="P18" s="13">
        <v>34</v>
      </c>
    </row>
    <row r="19" spans="1:16" ht="15" customHeight="1" x14ac:dyDescent="0.2">
      <c r="A19" s="13" t="s">
        <v>33</v>
      </c>
      <c r="B19" s="14">
        <v>45853</v>
      </c>
      <c r="C19" s="15">
        <f t="shared" si="1"/>
        <v>25</v>
      </c>
      <c r="D19" s="13">
        <v>1</v>
      </c>
      <c r="G19" s="15" t="s">
        <v>31</v>
      </c>
      <c r="H19" s="13" t="s">
        <v>34</v>
      </c>
      <c r="I19" s="13">
        <v>112111</v>
      </c>
      <c r="J19" s="13">
        <v>131</v>
      </c>
      <c r="K19" s="13" t="s">
        <v>21</v>
      </c>
      <c r="L19" s="13">
        <v>1</v>
      </c>
      <c r="M19" s="21">
        <v>1289193</v>
      </c>
      <c r="N19" s="16">
        <f t="shared" si="0"/>
        <v>1289193</v>
      </c>
      <c r="O19" s="13" t="s">
        <v>22</v>
      </c>
      <c r="P19" s="13">
        <v>66</v>
      </c>
    </row>
    <row r="20" spans="1:16" ht="15" customHeight="1" x14ac:dyDescent="0.2">
      <c r="A20" s="13" t="s">
        <v>89</v>
      </c>
      <c r="B20" s="14">
        <v>45853</v>
      </c>
      <c r="C20" s="15">
        <f t="shared" si="1"/>
        <v>26</v>
      </c>
      <c r="D20" s="13">
        <v>1</v>
      </c>
      <c r="G20" s="15" t="s">
        <v>267</v>
      </c>
      <c r="H20" s="13" t="s">
        <v>599</v>
      </c>
      <c r="I20" s="13">
        <v>1388</v>
      </c>
      <c r="J20" s="13">
        <v>112111</v>
      </c>
      <c r="K20" s="13" t="s">
        <v>21</v>
      </c>
      <c r="L20" s="13">
        <v>1</v>
      </c>
      <c r="M20" s="21">
        <v>144000</v>
      </c>
      <c r="N20" s="21">
        <f t="shared" si="0"/>
        <v>144000</v>
      </c>
      <c r="O20" s="13" t="s">
        <v>22</v>
      </c>
      <c r="P20" s="13">
        <v>67</v>
      </c>
    </row>
    <row r="21" spans="1:16" ht="15" customHeight="1" x14ac:dyDescent="0.2">
      <c r="A21" s="13" t="s">
        <v>33</v>
      </c>
      <c r="B21" s="14">
        <v>45854</v>
      </c>
      <c r="C21" s="15">
        <f t="shared" si="1"/>
        <v>27</v>
      </c>
      <c r="D21" s="13">
        <v>1</v>
      </c>
      <c r="G21" s="15" t="s">
        <v>267</v>
      </c>
      <c r="H21" s="13" t="s">
        <v>600</v>
      </c>
      <c r="I21" s="13">
        <v>112111</v>
      </c>
      <c r="J21" s="13">
        <v>1388</v>
      </c>
      <c r="K21" s="13" t="s">
        <v>21</v>
      </c>
      <c r="L21" s="13">
        <v>1</v>
      </c>
      <c r="M21" s="21">
        <v>144000</v>
      </c>
      <c r="N21" s="21">
        <f t="shared" si="0"/>
        <v>144000</v>
      </c>
      <c r="O21" s="13" t="s">
        <v>22</v>
      </c>
      <c r="P21" s="13">
        <v>68</v>
      </c>
    </row>
    <row r="22" spans="1:16" ht="15" customHeight="1" x14ac:dyDescent="0.2">
      <c r="A22" s="13" t="s">
        <v>89</v>
      </c>
      <c r="B22" s="14">
        <v>45855</v>
      </c>
      <c r="C22" s="15">
        <f t="shared" si="1"/>
        <v>28</v>
      </c>
      <c r="D22" s="13">
        <v>1</v>
      </c>
      <c r="G22" s="15" t="s">
        <v>267</v>
      </c>
      <c r="H22" s="13" t="s">
        <v>599</v>
      </c>
      <c r="I22" s="13">
        <v>1388</v>
      </c>
      <c r="J22" s="13">
        <v>112111</v>
      </c>
      <c r="K22" s="13" t="s">
        <v>21</v>
      </c>
      <c r="L22" s="13">
        <v>1</v>
      </c>
      <c r="M22" s="21">
        <v>5000000</v>
      </c>
      <c r="N22" s="21">
        <f t="shared" si="0"/>
        <v>5000000</v>
      </c>
      <c r="O22" s="13" t="s">
        <v>22</v>
      </c>
      <c r="P22" s="13">
        <v>69</v>
      </c>
    </row>
    <row r="23" spans="1:16" ht="15" customHeight="1" x14ac:dyDescent="0.2">
      <c r="A23" s="13" t="s">
        <v>33</v>
      </c>
      <c r="B23" s="14">
        <v>45855</v>
      </c>
      <c r="C23" s="15">
        <f t="shared" si="1"/>
        <v>29</v>
      </c>
      <c r="D23" s="13">
        <v>1</v>
      </c>
      <c r="G23" s="15" t="s">
        <v>267</v>
      </c>
      <c r="H23" s="13" t="s">
        <v>600</v>
      </c>
      <c r="I23" s="13">
        <v>112111</v>
      </c>
      <c r="J23" s="13">
        <v>1388</v>
      </c>
      <c r="K23" s="13" t="s">
        <v>21</v>
      </c>
      <c r="L23" s="13">
        <v>1</v>
      </c>
      <c r="M23" s="21">
        <v>5000000</v>
      </c>
      <c r="N23" s="21">
        <f t="shared" si="0"/>
        <v>5000000</v>
      </c>
      <c r="O23" s="13" t="s">
        <v>22</v>
      </c>
      <c r="P23" s="13">
        <v>70</v>
      </c>
    </row>
    <row r="24" spans="1:16" ht="15" customHeight="1" x14ac:dyDescent="0.2">
      <c r="A24" s="13" t="s">
        <v>89</v>
      </c>
      <c r="B24" s="14">
        <v>45856</v>
      </c>
      <c r="C24" s="15">
        <f t="shared" si="1"/>
        <v>30</v>
      </c>
      <c r="D24" s="13">
        <v>1</v>
      </c>
      <c r="G24" s="15" t="s">
        <v>267</v>
      </c>
      <c r="H24" s="13" t="s">
        <v>599</v>
      </c>
      <c r="I24" s="13">
        <v>1388</v>
      </c>
      <c r="J24" s="13">
        <v>112111</v>
      </c>
      <c r="K24" s="13" t="s">
        <v>21</v>
      </c>
      <c r="L24" s="13">
        <v>1</v>
      </c>
      <c r="M24" s="21">
        <v>354000</v>
      </c>
      <c r="N24" s="21">
        <f t="shared" si="0"/>
        <v>354000</v>
      </c>
      <c r="O24" s="13" t="s">
        <v>22</v>
      </c>
      <c r="P24" s="13">
        <v>71</v>
      </c>
    </row>
    <row r="25" spans="1:16" ht="15" customHeight="1" x14ac:dyDescent="0.2">
      <c r="A25" s="13" t="s">
        <v>33</v>
      </c>
      <c r="B25" s="14">
        <v>45857</v>
      </c>
      <c r="C25" s="15">
        <f t="shared" si="1"/>
        <v>31</v>
      </c>
      <c r="D25" s="13">
        <v>1</v>
      </c>
      <c r="G25" s="15" t="s">
        <v>267</v>
      </c>
      <c r="H25" s="13" t="s">
        <v>600</v>
      </c>
      <c r="I25" s="13">
        <v>112111</v>
      </c>
      <c r="J25" s="13">
        <v>1388</v>
      </c>
      <c r="K25" s="13" t="s">
        <v>21</v>
      </c>
      <c r="L25" s="13">
        <v>1</v>
      </c>
      <c r="M25" s="21">
        <v>354000</v>
      </c>
      <c r="N25" s="21">
        <f t="shared" si="0"/>
        <v>354000</v>
      </c>
      <c r="O25" s="13" t="s">
        <v>22</v>
      </c>
      <c r="P25" s="13">
        <v>72</v>
      </c>
    </row>
    <row r="26" spans="1:16" ht="15" customHeight="1" x14ac:dyDescent="0.2">
      <c r="A26" s="13" t="s">
        <v>33</v>
      </c>
      <c r="B26" s="14">
        <v>45859</v>
      </c>
      <c r="C26" s="15">
        <f t="shared" si="1"/>
        <v>32</v>
      </c>
      <c r="D26" s="13">
        <v>1</v>
      </c>
      <c r="G26" s="15" t="s">
        <v>601</v>
      </c>
      <c r="H26" s="13" t="s">
        <v>602</v>
      </c>
      <c r="I26" s="13">
        <v>112111</v>
      </c>
      <c r="J26" s="13">
        <v>131</v>
      </c>
      <c r="K26" s="13" t="s">
        <v>21</v>
      </c>
      <c r="L26" s="13">
        <v>1</v>
      </c>
      <c r="M26" s="21">
        <v>16129032</v>
      </c>
      <c r="N26" s="21">
        <f t="shared" si="0"/>
        <v>16129032</v>
      </c>
      <c r="O26" s="13" t="s">
        <v>22</v>
      </c>
      <c r="P26" s="13">
        <v>73</v>
      </c>
    </row>
    <row r="27" spans="1:16" ht="15" customHeight="1" x14ac:dyDescent="0.2">
      <c r="A27" s="13" t="s">
        <v>33</v>
      </c>
      <c r="B27" s="14">
        <v>45864</v>
      </c>
      <c r="C27" s="15">
        <f t="shared" si="1"/>
        <v>33</v>
      </c>
      <c r="D27" s="13">
        <v>1</v>
      </c>
      <c r="G27" s="15" t="s">
        <v>128</v>
      </c>
      <c r="H27" s="13" t="s">
        <v>603</v>
      </c>
      <c r="I27" s="13">
        <v>112111</v>
      </c>
      <c r="J27" s="13">
        <v>5154</v>
      </c>
      <c r="K27" s="13" t="s">
        <v>21</v>
      </c>
      <c r="L27" s="13">
        <v>1</v>
      </c>
      <c r="M27" s="21">
        <v>305</v>
      </c>
      <c r="N27" s="21">
        <f t="shared" si="0"/>
        <v>305</v>
      </c>
      <c r="O27" s="13" t="s">
        <v>22</v>
      </c>
      <c r="P27" s="13">
        <v>74</v>
      </c>
    </row>
    <row r="28" spans="1:16" ht="15" customHeight="1" x14ac:dyDescent="0.2">
      <c r="A28" s="13" t="s">
        <v>89</v>
      </c>
      <c r="B28" s="14">
        <v>45867</v>
      </c>
      <c r="C28" s="15">
        <f t="shared" si="1"/>
        <v>34</v>
      </c>
      <c r="D28" s="13">
        <v>1</v>
      </c>
      <c r="G28" s="15" t="s">
        <v>252</v>
      </c>
      <c r="H28" s="13" t="s">
        <v>604</v>
      </c>
      <c r="I28" s="13">
        <v>3383</v>
      </c>
      <c r="J28" s="13">
        <v>112111</v>
      </c>
      <c r="K28" s="13" t="s">
        <v>21</v>
      </c>
      <c r="L28" s="13">
        <v>1</v>
      </c>
      <c r="M28" s="16">
        <v>690300</v>
      </c>
      <c r="N28" s="21">
        <f t="shared" si="0"/>
        <v>690300</v>
      </c>
      <c r="O28" s="13" t="s">
        <v>22</v>
      </c>
      <c r="P28" s="13">
        <v>75</v>
      </c>
    </row>
    <row r="29" spans="1:16" ht="15" customHeight="1" x14ac:dyDescent="0.2">
      <c r="A29" s="13" t="s">
        <v>18</v>
      </c>
      <c r="B29" s="14">
        <v>45868</v>
      </c>
      <c r="C29" s="15">
        <f t="shared" si="1"/>
        <v>35</v>
      </c>
      <c r="D29" s="13">
        <v>1</v>
      </c>
      <c r="G29" s="15" t="s">
        <v>605</v>
      </c>
      <c r="H29" s="13" t="s">
        <v>606</v>
      </c>
      <c r="I29" s="13">
        <v>64277</v>
      </c>
      <c r="J29" s="13">
        <v>331</v>
      </c>
      <c r="K29" s="13" t="s">
        <v>21</v>
      </c>
      <c r="L29" s="13">
        <v>1</v>
      </c>
      <c r="M29" s="21">
        <v>794880</v>
      </c>
      <c r="N29" s="21">
        <f t="shared" si="0"/>
        <v>794880</v>
      </c>
      <c r="O29" s="13" t="s">
        <v>22</v>
      </c>
      <c r="P29" s="13">
        <v>39</v>
      </c>
    </row>
    <row r="30" spans="1:16" ht="15" customHeight="1" x14ac:dyDescent="0.2">
      <c r="A30" s="13" t="s">
        <v>368</v>
      </c>
      <c r="B30" s="14">
        <v>45868</v>
      </c>
      <c r="C30" s="15">
        <f t="shared" si="1"/>
        <v>36</v>
      </c>
      <c r="D30" s="13">
        <v>1</v>
      </c>
      <c r="G30" s="15" t="s">
        <v>605</v>
      </c>
      <c r="H30" s="13" t="s">
        <v>596</v>
      </c>
      <c r="I30" s="13">
        <v>331</v>
      </c>
      <c r="J30" s="13">
        <v>1111</v>
      </c>
      <c r="K30" s="13" t="s">
        <v>21</v>
      </c>
      <c r="L30" s="13">
        <v>1</v>
      </c>
      <c r="M30" s="21">
        <v>794880</v>
      </c>
      <c r="N30" s="21">
        <f t="shared" si="0"/>
        <v>794880</v>
      </c>
      <c r="O30" s="13" t="s">
        <v>22</v>
      </c>
      <c r="P30" s="13">
        <v>104</v>
      </c>
    </row>
    <row r="31" spans="1:16" ht="15" customHeight="1" x14ac:dyDescent="0.2">
      <c r="A31" s="13" t="s">
        <v>18</v>
      </c>
      <c r="B31" s="14">
        <v>45869</v>
      </c>
      <c r="C31" s="15">
        <f t="shared" si="1"/>
        <v>37</v>
      </c>
      <c r="D31" s="13">
        <v>1</v>
      </c>
      <c r="G31" s="15" t="s">
        <v>607</v>
      </c>
      <c r="H31" s="13" t="s">
        <v>608</v>
      </c>
      <c r="I31" s="13">
        <v>131</v>
      </c>
      <c r="J31" s="13">
        <v>5113</v>
      </c>
      <c r="K31" s="13" t="s">
        <v>21</v>
      </c>
      <c r="L31" s="13">
        <v>1</v>
      </c>
      <c r="M31" s="21">
        <v>12903226</v>
      </c>
      <c r="N31" s="21">
        <f t="shared" si="0"/>
        <v>12903226</v>
      </c>
      <c r="O31" s="13" t="s">
        <v>22</v>
      </c>
      <c r="P31" s="13">
        <v>1</v>
      </c>
    </row>
    <row r="32" spans="1:16" ht="15" customHeight="1" x14ac:dyDescent="0.2">
      <c r="A32" s="13" t="s">
        <v>18</v>
      </c>
      <c r="B32" s="14">
        <v>45869</v>
      </c>
      <c r="C32" s="15">
        <f t="shared" si="1"/>
        <v>38</v>
      </c>
      <c r="D32" s="13">
        <v>1</v>
      </c>
      <c r="G32" s="15" t="s">
        <v>607</v>
      </c>
      <c r="H32" s="13" t="s">
        <v>609</v>
      </c>
      <c r="I32" s="13">
        <v>333812</v>
      </c>
      <c r="J32" s="13">
        <v>131</v>
      </c>
      <c r="K32" s="13" t="s">
        <v>21</v>
      </c>
      <c r="L32" s="13">
        <v>1</v>
      </c>
      <c r="M32" s="21">
        <v>129032</v>
      </c>
      <c r="N32" s="21">
        <f t="shared" si="0"/>
        <v>129032</v>
      </c>
      <c r="O32" s="13" t="s">
        <v>22</v>
      </c>
      <c r="P32" s="13">
        <v>2</v>
      </c>
    </row>
    <row r="33" spans="1:16" ht="15" customHeight="1" x14ac:dyDescent="0.2">
      <c r="A33" s="13" t="s">
        <v>18</v>
      </c>
      <c r="B33" s="14">
        <v>45869</v>
      </c>
      <c r="C33" s="15">
        <f t="shared" si="1"/>
        <v>39</v>
      </c>
      <c r="D33" s="13">
        <v>1</v>
      </c>
      <c r="G33" s="15" t="s">
        <v>610</v>
      </c>
      <c r="H33" s="13" t="s">
        <v>611</v>
      </c>
      <c r="I33" s="13">
        <v>131</v>
      </c>
      <c r="J33" s="13">
        <v>5113</v>
      </c>
      <c r="K33" s="13" t="s">
        <v>21</v>
      </c>
      <c r="L33" s="13">
        <v>1</v>
      </c>
      <c r="M33" s="21">
        <v>21505376</v>
      </c>
      <c r="N33" s="21">
        <f t="shared" si="0"/>
        <v>21505376</v>
      </c>
      <c r="O33" s="13" t="s">
        <v>22</v>
      </c>
      <c r="P33" s="13">
        <v>3</v>
      </c>
    </row>
    <row r="34" spans="1:16" ht="15" customHeight="1" x14ac:dyDescent="0.2">
      <c r="A34" s="13" t="s">
        <v>18</v>
      </c>
      <c r="B34" s="14">
        <v>45869</v>
      </c>
      <c r="C34" s="15">
        <f t="shared" si="1"/>
        <v>40</v>
      </c>
      <c r="D34" s="13">
        <v>1</v>
      </c>
      <c r="G34" s="15" t="s">
        <v>610</v>
      </c>
      <c r="H34" s="13" t="s">
        <v>612</v>
      </c>
      <c r="I34" s="13">
        <v>333812</v>
      </c>
      <c r="J34" s="13">
        <v>131</v>
      </c>
      <c r="K34" s="13" t="s">
        <v>21</v>
      </c>
      <c r="L34" s="13">
        <v>1</v>
      </c>
      <c r="M34" s="21">
        <v>215054</v>
      </c>
      <c r="N34" s="21">
        <f t="shared" si="0"/>
        <v>215054</v>
      </c>
      <c r="O34" s="13" t="s">
        <v>22</v>
      </c>
      <c r="P34" s="13">
        <v>4</v>
      </c>
    </row>
    <row r="35" spans="1:16" ht="15" customHeight="1" x14ac:dyDescent="0.2">
      <c r="A35" s="13" t="s">
        <v>18</v>
      </c>
      <c r="B35" s="14">
        <v>45869</v>
      </c>
      <c r="C35" s="15">
        <f t="shared" si="1"/>
        <v>41</v>
      </c>
      <c r="D35" s="13">
        <v>1</v>
      </c>
      <c r="G35" s="15" t="s">
        <v>158</v>
      </c>
      <c r="H35" s="13" t="s">
        <v>613</v>
      </c>
      <c r="I35" s="13">
        <v>64277</v>
      </c>
      <c r="J35" s="13">
        <v>331</v>
      </c>
      <c r="K35" s="13" t="s">
        <v>21</v>
      </c>
      <c r="L35" s="13">
        <v>1</v>
      </c>
      <c r="M35" s="21">
        <v>3240000</v>
      </c>
      <c r="N35" s="21">
        <f t="shared" si="0"/>
        <v>3240000</v>
      </c>
      <c r="O35" s="13" t="s">
        <v>22</v>
      </c>
      <c r="P35" s="13">
        <v>40</v>
      </c>
    </row>
    <row r="36" spans="1:16" ht="15" customHeight="1" x14ac:dyDescent="0.2">
      <c r="A36" s="13" t="s">
        <v>18</v>
      </c>
      <c r="B36" s="14">
        <v>45869</v>
      </c>
      <c r="C36" s="15">
        <f t="shared" si="1"/>
        <v>42</v>
      </c>
      <c r="D36" s="13">
        <v>1</v>
      </c>
      <c r="G36" s="15" t="s">
        <v>252</v>
      </c>
      <c r="H36" s="13" t="s">
        <v>147</v>
      </c>
      <c r="I36" s="13">
        <v>64271</v>
      </c>
      <c r="J36" s="13">
        <v>3383</v>
      </c>
      <c r="K36" s="13" t="s">
        <v>21</v>
      </c>
      <c r="L36" s="13">
        <v>1</v>
      </c>
      <c r="M36" s="16">
        <v>690300</v>
      </c>
      <c r="N36" s="16">
        <f t="shared" ref="N36:N67" si="2">M36*L36</f>
        <v>690300</v>
      </c>
      <c r="O36" s="13" t="s">
        <v>22</v>
      </c>
      <c r="P36" s="13">
        <v>56</v>
      </c>
    </row>
    <row r="37" spans="1:16" ht="15" customHeight="1" x14ac:dyDescent="0.2">
      <c r="A37" s="13" t="s">
        <v>368</v>
      </c>
      <c r="B37" s="14">
        <v>45869</v>
      </c>
      <c r="C37" s="15">
        <f t="shared" si="1"/>
        <v>43</v>
      </c>
      <c r="D37" s="13">
        <v>1</v>
      </c>
      <c r="G37" s="15" t="s">
        <v>158</v>
      </c>
      <c r="H37" s="13" t="s">
        <v>593</v>
      </c>
      <c r="I37" s="13">
        <v>331</v>
      </c>
      <c r="J37" s="13">
        <v>1111</v>
      </c>
      <c r="K37" s="13" t="s">
        <v>21</v>
      </c>
      <c r="L37" s="13">
        <v>1</v>
      </c>
      <c r="M37" s="21">
        <v>3240000</v>
      </c>
      <c r="N37" s="21">
        <f t="shared" si="2"/>
        <v>3240000</v>
      </c>
      <c r="O37" s="13" t="s">
        <v>22</v>
      </c>
      <c r="P37" s="13">
        <v>105</v>
      </c>
    </row>
    <row r="38" spans="1:16" ht="15" customHeight="1" x14ac:dyDescent="0.2">
      <c r="A38" s="13" t="s">
        <v>18</v>
      </c>
      <c r="B38" s="14">
        <v>45870</v>
      </c>
      <c r="C38" s="15">
        <f t="shared" si="1"/>
        <v>44</v>
      </c>
      <c r="D38" s="13">
        <v>1</v>
      </c>
      <c r="G38" s="15" t="s">
        <v>96</v>
      </c>
      <c r="H38" s="13" t="s">
        <v>614</v>
      </c>
      <c r="I38" s="13">
        <v>131</v>
      </c>
      <c r="J38" s="13">
        <v>5113</v>
      </c>
      <c r="K38" s="13" t="s">
        <v>21</v>
      </c>
      <c r="L38" s="13">
        <v>1</v>
      </c>
      <c r="M38" s="21">
        <v>11827957</v>
      </c>
      <c r="N38" s="21">
        <f t="shared" si="2"/>
        <v>11827957</v>
      </c>
      <c r="O38" s="13" t="s">
        <v>22</v>
      </c>
      <c r="P38" s="13">
        <v>5</v>
      </c>
    </row>
    <row r="39" spans="1:16" ht="15" customHeight="1" x14ac:dyDescent="0.2">
      <c r="A39" s="13" t="s">
        <v>89</v>
      </c>
      <c r="B39" s="14">
        <v>45870</v>
      </c>
      <c r="C39" s="15">
        <f t="shared" si="1"/>
        <v>45</v>
      </c>
      <c r="D39" s="13">
        <v>1</v>
      </c>
      <c r="G39" s="15" t="s">
        <v>615</v>
      </c>
      <c r="H39" s="13" t="s">
        <v>282</v>
      </c>
      <c r="I39" s="13">
        <v>1111</v>
      </c>
      <c r="J39" s="13">
        <v>112111</v>
      </c>
      <c r="K39" s="13" t="s">
        <v>21</v>
      </c>
      <c r="L39" s="13">
        <v>1</v>
      </c>
      <c r="M39" s="21">
        <v>20000000</v>
      </c>
      <c r="N39" s="21">
        <f t="shared" si="2"/>
        <v>20000000</v>
      </c>
      <c r="O39" s="13" t="s">
        <v>22</v>
      </c>
      <c r="P39" s="13">
        <v>76</v>
      </c>
    </row>
    <row r="40" spans="1:16" ht="15" customHeight="1" x14ac:dyDescent="0.2">
      <c r="A40" s="13" t="s">
        <v>33</v>
      </c>
      <c r="B40" s="14">
        <v>45870</v>
      </c>
      <c r="C40" s="15">
        <f t="shared" si="1"/>
        <v>46</v>
      </c>
      <c r="D40" s="13">
        <v>1</v>
      </c>
      <c r="G40" s="15" t="s">
        <v>96</v>
      </c>
      <c r="H40" s="13" t="s">
        <v>616</v>
      </c>
      <c r="I40" s="13">
        <v>112111</v>
      </c>
      <c r="J40" s="13">
        <v>131</v>
      </c>
      <c r="K40" s="13" t="s">
        <v>21</v>
      </c>
      <c r="L40" s="13">
        <v>1</v>
      </c>
      <c r="M40" s="21">
        <v>11827957</v>
      </c>
      <c r="N40" s="21">
        <f t="shared" si="2"/>
        <v>11827957</v>
      </c>
      <c r="O40" s="13" t="s">
        <v>22</v>
      </c>
      <c r="P40" s="13">
        <v>77</v>
      </c>
    </row>
    <row r="41" spans="1:16" ht="15" customHeight="1" x14ac:dyDescent="0.2">
      <c r="A41" s="13" t="s">
        <v>18</v>
      </c>
      <c r="B41" s="14">
        <v>45874</v>
      </c>
      <c r="C41" s="15">
        <f t="shared" si="1"/>
        <v>47</v>
      </c>
      <c r="D41" s="13">
        <v>1</v>
      </c>
      <c r="G41" s="15" t="s">
        <v>617</v>
      </c>
      <c r="H41" s="13" t="s">
        <v>618</v>
      </c>
      <c r="I41" s="13">
        <v>131</v>
      </c>
      <c r="J41" s="13">
        <v>5113</v>
      </c>
      <c r="K41" s="13" t="s">
        <v>21</v>
      </c>
      <c r="L41" s="13">
        <v>1</v>
      </c>
      <c r="M41" s="21">
        <v>12903226</v>
      </c>
      <c r="N41" s="21">
        <f t="shared" si="2"/>
        <v>12903226</v>
      </c>
      <c r="O41" s="13" t="s">
        <v>22</v>
      </c>
      <c r="P41" s="13">
        <v>6</v>
      </c>
    </row>
    <row r="42" spans="1:16" ht="15" customHeight="1" x14ac:dyDescent="0.2">
      <c r="A42" s="13" t="s">
        <v>18</v>
      </c>
      <c r="B42" s="14">
        <v>45874</v>
      </c>
      <c r="C42" s="15">
        <f t="shared" si="1"/>
        <v>48</v>
      </c>
      <c r="D42" s="13">
        <v>1</v>
      </c>
      <c r="G42" s="15" t="s">
        <v>617</v>
      </c>
      <c r="H42" s="13" t="s">
        <v>619</v>
      </c>
      <c r="I42" s="13">
        <v>333812</v>
      </c>
      <c r="J42" s="13">
        <v>131</v>
      </c>
      <c r="K42" s="13" t="s">
        <v>21</v>
      </c>
      <c r="L42" s="13">
        <v>1</v>
      </c>
      <c r="M42" s="21">
        <v>129032</v>
      </c>
      <c r="N42" s="21">
        <f t="shared" si="2"/>
        <v>129032</v>
      </c>
      <c r="O42" s="13" t="s">
        <v>22</v>
      </c>
      <c r="P42" s="13">
        <v>7</v>
      </c>
    </row>
    <row r="43" spans="1:16" ht="15" customHeight="1" x14ac:dyDescent="0.2">
      <c r="A43" s="13" t="s">
        <v>33</v>
      </c>
      <c r="B43" s="14">
        <v>45874</v>
      </c>
      <c r="C43" s="15">
        <f t="shared" si="1"/>
        <v>49</v>
      </c>
      <c r="D43" s="13">
        <v>1</v>
      </c>
      <c r="G43" s="15" t="s">
        <v>617</v>
      </c>
      <c r="H43" s="13" t="s">
        <v>620</v>
      </c>
      <c r="I43" s="13">
        <v>112111</v>
      </c>
      <c r="J43" s="13">
        <v>131</v>
      </c>
      <c r="K43" s="13" t="s">
        <v>21</v>
      </c>
      <c r="L43" s="13">
        <v>1</v>
      </c>
      <c r="M43" s="21">
        <v>12774194</v>
      </c>
      <c r="N43" s="21">
        <f t="shared" si="2"/>
        <v>12774194</v>
      </c>
      <c r="O43" s="13" t="s">
        <v>22</v>
      </c>
      <c r="P43" s="13">
        <v>78</v>
      </c>
    </row>
    <row r="44" spans="1:16" ht="15" customHeight="1" x14ac:dyDescent="0.2">
      <c r="A44" s="13" t="s">
        <v>18</v>
      </c>
      <c r="B44" s="14">
        <v>45876</v>
      </c>
      <c r="C44" s="15">
        <f t="shared" si="1"/>
        <v>50</v>
      </c>
      <c r="D44" s="13">
        <v>1</v>
      </c>
      <c r="G44" s="15" t="s">
        <v>92</v>
      </c>
      <c r="H44" s="13" t="s">
        <v>621</v>
      </c>
      <c r="I44" s="13">
        <v>64277</v>
      </c>
      <c r="J44" s="13">
        <v>331</v>
      </c>
      <c r="K44" s="13" t="s">
        <v>21</v>
      </c>
      <c r="L44" s="13">
        <v>1</v>
      </c>
      <c r="M44" s="21">
        <v>1370000</v>
      </c>
      <c r="N44" s="21">
        <f t="shared" si="2"/>
        <v>1370000</v>
      </c>
      <c r="O44" s="13" t="s">
        <v>22</v>
      </c>
      <c r="P44" s="13">
        <v>41</v>
      </c>
    </row>
    <row r="45" spans="1:16" ht="15" customHeight="1" x14ac:dyDescent="0.2">
      <c r="A45" s="13" t="s">
        <v>89</v>
      </c>
      <c r="B45" s="14">
        <v>45876</v>
      </c>
      <c r="C45" s="15">
        <f t="shared" si="1"/>
        <v>51</v>
      </c>
      <c r="D45" s="13">
        <v>1</v>
      </c>
      <c r="G45" s="15" t="s">
        <v>615</v>
      </c>
      <c r="H45" s="13" t="s">
        <v>282</v>
      </c>
      <c r="I45" s="13">
        <v>1111</v>
      </c>
      <c r="J45" s="13">
        <v>112111</v>
      </c>
      <c r="K45" s="13" t="s">
        <v>21</v>
      </c>
      <c r="L45" s="13">
        <v>1</v>
      </c>
      <c r="M45" s="21">
        <v>10000000</v>
      </c>
      <c r="N45" s="21">
        <f t="shared" si="2"/>
        <v>10000000</v>
      </c>
      <c r="O45" s="13" t="s">
        <v>22</v>
      </c>
      <c r="P45" s="13">
        <v>79</v>
      </c>
    </row>
    <row r="46" spans="1:16" ht="15" customHeight="1" x14ac:dyDescent="0.2">
      <c r="A46" s="13" t="s">
        <v>368</v>
      </c>
      <c r="B46" s="14">
        <v>45876</v>
      </c>
      <c r="C46" s="15">
        <f t="shared" si="1"/>
        <v>52</v>
      </c>
      <c r="D46" s="13">
        <v>1</v>
      </c>
      <c r="G46" s="15" t="s">
        <v>92</v>
      </c>
      <c r="H46" s="13" t="s">
        <v>596</v>
      </c>
      <c r="I46" s="13">
        <v>331</v>
      </c>
      <c r="J46" s="13">
        <v>1111</v>
      </c>
      <c r="K46" s="13" t="s">
        <v>21</v>
      </c>
      <c r="L46" s="13">
        <v>1</v>
      </c>
      <c r="M46" s="21">
        <v>1370000</v>
      </c>
      <c r="N46" s="21">
        <f t="shared" si="2"/>
        <v>1370000</v>
      </c>
      <c r="O46" s="13" t="s">
        <v>22</v>
      </c>
      <c r="P46" s="13">
        <v>106</v>
      </c>
    </row>
    <row r="47" spans="1:16" ht="15" customHeight="1" x14ac:dyDescent="0.2">
      <c r="A47" s="13" t="s">
        <v>18</v>
      </c>
      <c r="B47" s="14">
        <v>45878</v>
      </c>
      <c r="C47" s="15">
        <f t="shared" si="1"/>
        <v>53</v>
      </c>
      <c r="D47" s="13">
        <v>1</v>
      </c>
      <c r="G47" s="15" t="s">
        <v>605</v>
      </c>
      <c r="H47" s="13" t="s">
        <v>622</v>
      </c>
      <c r="I47" s="13">
        <v>64277</v>
      </c>
      <c r="J47" s="13">
        <v>331</v>
      </c>
      <c r="K47" s="13" t="s">
        <v>21</v>
      </c>
      <c r="L47" s="13">
        <v>1</v>
      </c>
      <c r="M47" s="21">
        <v>1284120</v>
      </c>
      <c r="N47" s="21">
        <f t="shared" si="2"/>
        <v>1284120</v>
      </c>
      <c r="O47" s="13" t="s">
        <v>22</v>
      </c>
      <c r="P47" s="13">
        <v>42</v>
      </c>
    </row>
    <row r="48" spans="1:16" ht="15" customHeight="1" x14ac:dyDescent="0.2">
      <c r="A48" s="13" t="s">
        <v>368</v>
      </c>
      <c r="B48" s="14">
        <v>45878</v>
      </c>
      <c r="C48" s="15">
        <f t="shared" si="1"/>
        <v>54</v>
      </c>
      <c r="D48" s="13">
        <v>1</v>
      </c>
      <c r="G48" s="15" t="s">
        <v>605</v>
      </c>
      <c r="H48" s="13" t="s">
        <v>596</v>
      </c>
      <c r="I48" s="13">
        <v>331</v>
      </c>
      <c r="J48" s="13">
        <v>1111</v>
      </c>
      <c r="K48" s="13" t="s">
        <v>21</v>
      </c>
      <c r="L48" s="13">
        <v>1</v>
      </c>
      <c r="M48" s="21">
        <v>1284120</v>
      </c>
      <c r="N48" s="21">
        <f t="shared" si="2"/>
        <v>1284120</v>
      </c>
      <c r="O48" s="13" t="s">
        <v>22</v>
      </c>
      <c r="P48" s="13">
        <v>107</v>
      </c>
    </row>
    <row r="49" spans="1:16" ht="15" customHeight="1" x14ac:dyDescent="0.2">
      <c r="A49" s="13" t="s">
        <v>18</v>
      </c>
      <c r="B49" s="14">
        <v>45881</v>
      </c>
      <c r="C49" s="15">
        <f t="shared" si="1"/>
        <v>55</v>
      </c>
      <c r="D49" s="13">
        <v>1</v>
      </c>
      <c r="G49" s="15" t="s">
        <v>96</v>
      </c>
      <c r="H49" s="13" t="s">
        <v>623</v>
      </c>
      <c r="I49" s="13">
        <v>131</v>
      </c>
      <c r="J49" s="13">
        <v>5113</v>
      </c>
      <c r="K49" s="13" t="s">
        <v>21</v>
      </c>
      <c r="L49" s="13">
        <v>1</v>
      </c>
      <c r="M49" s="21">
        <v>11827957</v>
      </c>
      <c r="N49" s="21">
        <f t="shared" si="2"/>
        <v>11827957</v>
      </c>
      <c r="O49" s="13" t="s">
        <v>22</v>
      </c>
      <c r="P49" s="13">
        <v>8</v>
      </c>
    </row>
    <row r="50" spans="1:16" ht="15" customHeight="1" x14ac:dyDescent="0.2">
      <c r="A50" s="13" t="s">
        <v>18</v>
      </c>
      <c r="B50" s="14">
        <v>45881</v>
      </c>
      <c r="C50" s="15">
        <f t="shared" si="1"/>
        <v>56</v>
      </c>
      <c r="D50" s="13">
        <v>1</v>
      </c>
      <c r="G50" s="15" t="s">
        <v>96</v>
      </c>
      <c r="H50" s="13" t="s">
        <v>624</v>
      </c>
      <c r="I50" s="13">
        <v>333812</v>
      </c>
      <c r="J50" s="13">
        <v>131</v>
      </c>
      <c r="K50" s="13" t="s">
        <v>21</v>
      </c>
      <c r="L50" s="13">
        <v>1</v>
      </c>
      <c r="M50" s="21">
        <v>118280</v>
      </c>
      <c r="N50" s="21">
        <f t="shared" si="2"/>
        <v>118280</v>
      </c>
      <c r="O50" s="13" t="s">
        <v>22</v>
      </c>
      <c r="P50" s="13">
        <v>9</v>
      </c>
    </row>
    <row r="51" spans="1:16" ht="15" customHeight="1" x14ac:dyDescent="0.2">
      <c r="A51" s="13" t="s">
        <v>18</v>
      </c>
      <c r="B51" s="14">
        <v>45881</v>
      </c>
      <c r="C51" s="15">
        <f t="shared" si="1"/>
        <v>57</v>
      </c>
      <c r="D51" s="13">
        <v>1</v>
      </c>
      <c r="G51" s="15" t="s">
        <v>85</v>
      </c>
      <c r="H51" s="13" t="s">
        <v>625</v>
      </c>
      <c r="I51" s="13">
        <v>64277</v>
      </c>
      <c r="J51" s="13">
        <v>331</v>
      </c>
      <c r="K51" s="13" t="s">
        <v>21</v>
      </c>
      <c r="L51" s="13">
        <v>1</v>
      </c>
      <c r="M51" s="21">
        <v>915840</v>
      </c>
      <c r="N51" s="21">
        <f t="shared" si="2"/>
        <v>915840</v>
      </c>
      <c r="O51" s="13" t="s">
        <v>22</v>
      </c>
      <c r="P51" s="13">
        <v>43</v>
      </c>
    </row>
    <row r="52" spans="1:16" ht="15" customHeight="1" x14ac:dyDescent="0.2">
      <c r="A52" s="13" t="s">
        <v>89</v>
      </c>
      <c r="B52" s="14">
        <v>45881</v>
      </c>
      <c r="C52" s="15">
        <f t="shared" si="1"/>
        <v>58</v>
      </c>
      <c r="D52" s="13">
        <v>1</v>
      </c>
      <c r="G52" s="15" t="s">
        <v>615</v>
      </c>
      <c r="H52" s="13" t="s">
        <v>282</v>
      </c>
      <c r="I52" s="13">
        <v>1111</v>
      </c>
      <c r="J52" s="13">
        <v>112111</v>
      </c>
      <c r="K52" s="13" t="s">
        <v>21</v>
      </c>
      <c r="L52" s="13">
        <v>1</v>
      </c>
      <c r="M52" s="21">
        <v>10000000</v>
      </c>
      <c r="N52" s="21">
        <f t="shared" si="2"/>
        <v>10000000</v>
      </c>
      <c r="O52" s="13" t="s">
        <v>22</v>
      </c>
      <c r="P52" s="13">
        <v>80</v>
      </c>
    </row>
    <row r="53" spans="1:16" ht="15" customHeight="1" x14ac:dyDescent="0.2">
      <c r="A53" s="13" t="s">
        <v>33</v>
      </c>
      <c r="B53" s="14">
        <v>45881</v>
      </c>
      <c r="C53" s="15">
        <f t="shared" si="1"/>
        <v>59</v>
      </c>
      <c r="D53" s="13">
        <v>1</v>
      </c>
      <c r="G53" s="15" t="s">
        <v>96</v>
      </c>
      <c r="H53" s="13" t="s">
        <v>626</v>
      </c>
      <c r="I53" s="13">
        <v>112111</v>
      </c>
      <c r="J53" s="13">
        <v>131</v>
      </c>
      <c r="K53" s="13" t="s">
        <v>21</v>
      </c>
      <c r="L53" s="13">
        <v>1</v>
      </c>
      <c r="M53" s="21">
        <v>11709677</v>
      </c>
      <c r="N53" s="21">
        <f t="shared" si="2"/>
        <v>11709677</v>
      </c>
      <c r="O53" s="13" t="s">
        <v>22</v>
      </c>
      <c r="P53" s="13">
        <v>81</v>
      </c>
    </row>
    <row r="54" spans="1:16" ht="15" customHeight="1" x14ac:dyDescent="0.2">
      <c r="A54" s="13" t="s">
        <v>368</v>
      </c>
      <c r="B54" s="14">
        <v>45881</v>
      </c>
      <c r="C54" s="15">
        <f t="shared" si="1"/>
        <v>60</v>
      </c>
      <c r="D54" s="13">
        <v>1</v>
      </c>
      <c r="G54" s="15" t="s">
        <v>85</v>
      </c>
      <c r="H54" s="13" t="s">
        <v>596</v>
      </c>
      <c r="I54" s="13">
        <v>331</v>
      </c>
      <c r="J54" s="13">
        <v>1111</v>
      </c>
      <c r="K54" s="13" t="s">
        <v>21</v>
      </c>
      <c r="L54" s="13">
        <v>1</v>
      </c>
      <c r="M54" s="21">
        <v>915840</v>
      </c>
      <c r="N54" s="21">
        <f t="shared" si="2"/>
        <v>915840</v>
      </c>
      <c r="O54" s="13" t="s">
        <v>22</v>
      </c>
      <c r="P54" s="13">
        <v>108</v>
      </c>
    </row>
    <row r="55" spans="1:16" ht="15" customHeight="1" x14ac:dyDescent="0.2">
      <c r="A55" s="13" t="s">
        <v>18</v>
      </c>
      <c r="B55" s="14">
        <v>45884</v>
      </c>
      <c r="C55" s="15">
        <f t="shared" si="1"/>
        <v>61</v>
      </c>
      <c r="D55" s="13">
        <v>1</v>
      </c>
      <c r="G55" s="15" t="s">
        <v>627</v>
      </c>
      <c r="H55" s="13" t="s">
        <v>628</v>
      </c>
      <c r="I55" s="13">
        <v>131</v>
      </c>
      <c r="J55" s="13">
        <v>5113</v>
      </c>
      <c r="K55" s="13" t="s">
        <v>21</v>
      </c>
      <c r="L55" s="13">
        <v>1</v>
      </c>
      <c r="M55" s="21">
        <v>24731183</v>
      </c>
      <c r="N55" s="21">
        <f t="shared" si="2"/>
        <v>24731183</v>
      </c>
      <c r="O55" s="13" t="s">
        <v>22</v>
      </c>
      <c r="P55" s="13">
        <v>10</v>
      </c>
    </row>
    <row r="56" spans="1:16" ht="15" customHeight="1" x14ac:dyDescent="0.2">
      <c r="A56" s="13" t="s">
        <v>18</v>
      </c>
      <c r="B56" s="14">
        <v>45884</v>
      </c>
      <c r="C56" s="15">
        <f t="shared" si="1"/>
        <v>62</v>
      </c>
      <c r="D56" s="13">
        <v>1</v>
      </c>
      <c r="G56" s="15" t="s">
        <v>627</v>
      </c>
      <c r="H56" s="13" t="s">
        <v>629</v>
      </c>
      <c r="I56" s="13">
        <v>333812</v>
      </c>
      <c r="J56" s="13">
        <v>131</v>
      </c>
      <c r="K56" s="13" t="s">
        <v>21</v>
      </c>
      <c r="L56" s="13">
        <v>1</v>
      </c>
      <c r="M56" s="21">
        <v>247312</v>
      </c>
      <c r="N56" s="21">
        <f t="shared" si="2"/>
        <v>247312</v>
      </c>
      <c r="O56" s="13" t="s">
        <v>22</v>
      </c>
      <c r="P56" s="13">
        <v>11</v>
      </c>
    </row>
    <row r="57" spans="1:16" ht="15" customHeight="1" x14ac:dyDescent="0.2">
      <c r="A57" s="13" t="s">
        <v>89</v>
      </c>
      <c r="B57" s="14">
        <v>45885</v>
      </c>
      <c r="C57" s="15">
        <f t="shared" si="1"/>
        <v>63</v>
      </c>
      <c r="D57" s="13">
        <v>1</v>
      </c>
      <c r="G57" s="15" t="s">
        <v>615</v>
      </c>
      <c r="H57" s="13" t="s">
        <v>282</v>
      </c>
      <c r="I57" s="13">
        <v>1111</v>
      </c>
      <c r="J57" s="13">
        <v>112111</v>
      </c>
      <c r="K57" s="13" t="s">
        <v>21</v>
      </c>
      <c r="L57" s="13">
        <v>1</v>
      </c>
      <c r="M57" s="21">
        <v>10000000</v>
      </c>
      <c r="N57" s="21">
        <f t="shared" si="2"/>
        <v>10000000</v>
      </c>
      <c r="O57" s="13" t="s">
        <v>22</v>
      </c>
      <c r="P57" s="13">
        <v>82</v>
      </c>
    </row>
    <row r="58" spans="1:16" ht="15" customHeight="1" x14ac:dyDescent="0.2">
      <c r="A58" s="13" t="s">
        <v>89</v>
      </c>
      <c r="B58" s="14">
        <v>45885</v>
      </c>
      <c r="C58" s="15">
        <f t="shared" si="1"/>
        <v>64</v>
      </c>
      <c r="D58" s="13">
        <v>1</v>
      </c>
      <c r="G58" s="15" t="s">
        <v>615</v>
      </c>
      <c r="H58" s="13" t="s">
        <v>630</v>
      </c>
      <c r="I58" s="13">
        <v>8118</v>
      </c>
      <c r="J58" s="13">
        <v>112111</v>
      </c>
      <c r="K58" s="13" t="s">
        <v>21</v>
      </c>
      <c r="L58" s="13">
        <v>1</v>
      </c>
      <c r="M58" s="21">
        <v>4863333</v>
      </c>
      <c r="N58" s="21">
        <f t="shared" si="2"/>
        <v>4863333</v>
      </c>
      <c r="O58" s="13" t="s">
        <v>22</v>
      </c>
      <c r="P58" s="13">
        <v>83</v>
      </c>
    </row>
    <row r="59" spans="1:16" ht="15" customHeight="1" x14ac:dyDescent="0.2">
      <c r="A59" s="13" t="s">
        <v>33</v>
      </c>
      <c r="B59" s="14">
        <v>45887</v>
      </c>
      <c r="C59" s="15">
        <f t="shared" si="1"/>
        <v>65</v>
      </c>
      <c r="D59" s="13">
        <v>1</v>
      </c>
      <c r="G59" s="15" t="s">
        <v>617</v>
      </c>
      <c r="H59" s="13" t="s">
        <v>620</v>
      </c>
      <c r="I59" s="13">
        <v>112111</v>
      </c>
      <c r="J59" s="13">
        <v>131</v>
      </c>
      <c r="K59" s="13" t="s">
        <v>21</v>
      </c>
      <c r="L59" s="13">
        <v>1</v>
      </c>
      <c r="M59" s="21">
        <v>12774194</v>
      </c>
      <c r="N59" s="21">
        <f t="shared" si="2"/>
        <v>12774194</v>
      </c>
      <c r="O59" s="13" t="s">
        <v>22</v>
      </c>
      <c r="P59" s="13">
        <v>84</v>
      </c>
    </row>
    <row r="60" spans="1:16" ht="15" customHeight="1" x14ac:dyDescent="0.2">
      <c r="A60" s="13" t="s">
        <v>33</v>
      </c>
      <c r="B60" s="14">
        <v>45887</v>
      </c>
      <c r="C60" s="15">
        <f t="shared" si="1"/>
        <v>66</v>
      </c>
      <c r="D60" s="13">
        <v>1</v>
      </c>
      <c r="G60" s="15" t="s">
        <v>610</v>
      </c>
      <c r="H60" s="13" t="s">
        <v>611</v>
      </c>
      <c r="I60" s="13">
        <v>112111</v>
      </c>
      <c r="J60" s="13">
        <v>131</v>
      </c>
      <c r="K60" s="13" t="s">
        <v>21</v>
      </c>
      <c r="L60" s="13">
        <v>1</v>
      </c>
      <c r="M60" s="21">
        <v>21290322</v>
      </c>
      <c r="N60" s="21">
        <f t="shared" si="2"/>
        <v>21290322</v>
      </c>
      <c r="O60" s="13" t="s">
        <v>22</v>
      </c>
      <c r="P60" s="13">
        <v>85</v>
      </c>
    </row>
    <row r="61" spans="1:16" ht="15" customHeight="1" x14ac:dyDescent="0.2">
      <c r="A61" s="13" t="s">
        <v>89</v>
      </c>
      <c r="B61" s="14">
        <v>45888</v>
      </c>
      <c r="C61" s="15">
        <f t="shared" si="1"/>
        <v>67</v>
      </c>
      <c r="D61" s="13">
        <v>1</v>
      </c>
      <c r="G61" s="15" t="s">
        <v>615</v>
      </c>
      <c r="H61" s="13" t="s">
        <v>282</v>
      </c>
      <c r="I61" s="13">
        <v>1111</v>
      </c>
      <c r="J61" s="13">
        <v>112111</v>
      </c>
      <c r="K61" s="13" t="s">
        <v>21</v>
      </c>
      <c r="L61" s="13">
        <v>1</v>
      </c>
      <c r="M61" s="21">
        <v>30000000</v>
      </c>
      <c r="N61" s="21">
        <f t="shared" si="2"/>
        <v>30000000</v>
      </c>
      <c r="O61" s="13" t="s">
        <v>22</v>
      </c>
      <c r="P61" s="13">
        <v>86</v>
      </c>
    </row>
    <row r="62" spans="1:16" ht="15" customHeight="1" x14ac:dyDescent="0.2">
      <c r="A62" s="13" t="s">
        <v>18</v>
      </c>
      <c r="B62" s="14">
        <v>45890</v>
      </c>
      <c r="C62" s="15">
        <f t="shared" si="1"/>
        <v>68</v>
      </c>
      <c r="D62" s="13">
        <v>1</v>
      </c>
      <c r="G62" s="15" t="s">
        <v>605</v>
      </c>
      <c r="H62" s="13" t="s">
        <v>631</v>
      </c>
      <c r="I62" s="13">
        <v>64277</v>
      </c>
      <c r="J62" s="13">
        <v>331</v>
      </c>
      <c r="K62" s="13" t="s">
        <v>21</v>
      </c>
      <c r="L62" s="13">
        <v>1</v>
      </c>
      <c r="M62" s="21">
        <v>1463400</v>
      </c>
      <c r="N62" s="21">
        <f t="shared" si="2"/>
        <v>1463400</v>
      </c>
      <c r="O62" s="13" t="s">
        <v>22</v>
      </c>
      <c r="P62" s="13">
        <v>44</v>
      </c>
    </row>
    <row r="63" spans="1:16" ht="15" customHeight="1" x14ac:dyDescent="0.2">
      <c r="A63" s="13" t="s">
        <v>368</v>
      </c>
      <c r="B63" s="14">
        <v>45890</v>
      </c>
      <c r="C63" s="15">
        <f t="shared" si="1"/>
        <v>69</v>
      </c>
      <c r="D63" s="13">
        <v>1</v>
      </c>
      <c r="G63" s="15" t="s">
        <v>605</v>
      </c>
      <c r="H63" s="13" t="s">
        <v>596</v>
      </c>
      <c r="I63" s="13">
        <v>331</v>
      </c>
      <c r="J63" s="13">
        <v>1111</v>
      </c>
      <c r="K63" s="13" t="s">
        <v>21</v>
      </c>
      <c r="L63" s="13">
        <v>1</v>
      </c>
      <c r="M63" s="21">
        <v>1463400</v>
      </c>
      <c r="N63" s="21">
        <f t="shared" si="2"/>
        <v>1463400</v>
      </c>
      <c r="O63" s="13" t="s">
        <v>22</v>
      </c>
      <c r="P63" s="13">
        <v>109</v>
      </c>
    </row>
    <row r="64" spans="1:16" ht="15" customHeight="1" x14ac:dyDescent="0.2">
      <c r="A64" s="13" t="s">
        <v>18</v>
      </c>
      <c r="B64" s="14">
        <v>45896</v>
      </c>
      <c r="C64" s="15">
        <f t="shared" si="1"/>
        <v>70</v>
      </c>
      <c r="D64" s="13">
        <v>1</v>
      </c>
      <c r="G64" s="15" t="s">
        <v>632</v>
      </c>
      <c r="H64" s="13" t="s">
        <v>633</v>
      </c>
      <c r="I64" s="13">
        <v>131</v>
      </c>
      <c r="J64" s="13">
        <v>5113</v>
      </c>
      <c r="K64" s="13" t="s">
        <v>21</v>
      </c>
      <c r="L64" s="13">
        <v>1</v>
      </c>
      <c r="M64" s="21">
        <v>19354838</v>
      </c>
      <c r="N64" s="21">
        <f t="shared" si="2"/>
        <v>19354838</v>
      </c>
      <c r="O64" s="13" t="s">
        <v>22</v>
      </c>
      <c r="P64" s="13">
        <v>12</v>
      </c>
    </row>
    <row r="65" spans="1:16" ht="15" customHeight="1" x14ac:dyDescent="0.2">
      <c r="A65" s="13" t="s">
        <v>18</v>
      </c>
      <c r="B65" s="14">
        <v>45896</v>
      </c>
      <c r="C65" s="15">
        <f t="shared" si="1"/>
        <v>71</v>
      </c>
      <c r="D65" s="13">
        <v>1</v>
      </c>
      <c r="G65" s="15" t="s">
        <v>632</v>
      </c>
      <c r="H65" s="13" t="s">
        <v>634</v>
      </c>
      <c r="I65" s="13">
        <v>333812</v>
      </c>
      <c r="J65" s="13">
        <v>131</v>
      </c>
      <c r="K65" s="13" t="s">
        <v>21</v>
      </c>
      <c r="L65" s="13">
        <v>1</v>
      </c>
      <c r="M65" s="21">
        <v>193548</v>
      </c>
      <c r="N65" s="21">
        <f t="shared" si="2"/>
        <v>193548</v>
      </c>
      <c r="O65" s="13" t="s">
        <v>22</v>
      </c>
      <c r="P65" s="13">
        <v>13</v>
      </c>
    </row>
    <row r="66" spans="1:16" ht="15" customHeight="1" x14ac:dyDescent="0.2">
      <c r="A66" s="13" t="s">
        <v>18</v>
      </c>
      <c r="B66" s="14">
        <v>45896</v>
      </c>
      <c r="C66" s="15">
        <f t="shared" si="1"/>
        <v>72</v>
      </c>
      <c r="D66" s="13">
        <v>1</v>
      </c>
      <c r="G66" s="15" t="s">
        <v>635</v>
      </c>
      <c r="H66" s="13" t="s">
        <v>636</v>
      </c>
      <c r="I66" s="13">
        <v>131</v>
      </c>
      <c r="J66" s="13">
        <v>5113</v>
      </c>
      <c r="K66" s="13" t="s">
        <v>21</v>
      </c>
      <c r="L66" s="13">
        <v>1</v>
      </c>
      <c r="M66" s="21">
        <v>16129032</v>
      </c>
      <c r="N66" s="21">
        <f t="shared" si="2"/>
        <v>16129032</v>
      </c>
      <c r="O66" s="13" t="s">
        <v>22</v>
      </c>
      <c r="P66" s="13">
        <v>14</v>
      </c>
    </row>
    <row r="67" spans="1:16" ht="15" customHeight="1" x14ac:dyDescent="0.2">
      <c r="A67" s="13" t="s">
        <v>18</v>
      </c>
      <c r="B67" s="14">
        <v>45896</v>
      </c>
      <c r="C67" s="15">
        <f t="shared" si="1"/>
        <v>73</v>
      </c>
      <c r="D67" s="13">
        <v>1</v>
      </c>
      <c r="G67" s="15" t="s">
        <v>635</v>
      </c>
      <c r="H67" s="13" t="s">
        <v>637</v>
      </c>
      <c r="I67" s="13">
        <v>333812</v>
      </c>
      <c r="J67" s="13">
        <v>131</v>
      </c>
      <c r="K67" s="13" t="s">
        <v>21</v>
      </c>
      <c r="L67" s="13">
        <v>1</v>
      </c>
      <c r="M67" s="21">
        <v>161290</v>
      </c>
      <c r="N67" s="21">
        <f t="shared" si="2"/>
        <v>161290</v>
      </c>
      <c r="O67" s="13" t="s">
        <v>22</v>
      </c>
      <c r="P67" s="13">
        <v>15</v>
      </c>
    </row>
    <row r="68" spans="1:16" ht="15" customHeight="1" x14ac:dyDescent="0.2">
      <c r="A68" s="13" t="s">
        <v>89</v>
      </c>
      <c r="B68" s="14">
        <v>45897</v>
      </c>
      <c r="C68" s="15">
        <f t="shared" si="1"/>
        <v>74</v>
      </c>
      <c r="D68" s="13">
        <v>1</v>
      </c>
      <c r="G68" s="15" t="s">
        <v>252</v>
      </c>
      <c r="H68" s="13" t="s">
        <v>281</v>
      </c>
      <c r="I68" s="13">
        <v>3383</v>
      </c>
      <c r="J68" s="13">
        <v>112111</v>
      </c>
      <c r="K68" s="13" t="s">
        <v>21</v>
      </c>
      <c r="L68" s="13">
        <v>1</v>
      </c>
      <c r="M68" s="16">
        <v>690300</v>
      </c>
      <c r="N68" s="21">
        <f t="shared" ref="N68:N99" si="3">M68*L68</f>
        <v>690300</v>
      </c>
      <c r="O68" s="13" t="s">
        <v>22</v>
      </c>
      <c r="P68" s="13">
        <v>87</v>
      </c>
    </row>
    <row r="69" spans="1:16" ht="15" customHeight="1" x14ac:dyDescent="0.2">
      <c r="A69" s="13" t="s">
        <v>18</v>
      </c>
      <c r="B69" s="14">
        <v>45899</v>
      </c>
      <c r="C69" s="15">
        <f t="shared" ref="C69:C123" si="4">C68+D69</f>
        <v>75</v>
      </c>
      <c r="D69" s="13">
        <v>1</v>
      </c>
      <c r="G69" s="15" t="s">
        <v>638</v>
      </c>
      <c r="H69" s="13" t="s">
        <v>639</v>
      </c>
      <c r="I69" s="13">
        <v>64277</v>
      </c>
      <c r="J69" s="13">
        <v>331</v>
      </c>
      <c r="K69" s="13" t="s">
        <v>21</v>
      </c>
      <c r="L69" s="13">
        <v>1</v>
      </c>
      <c r="M69" s="21">
        <v>1329480</v>
      </c>
      <c r="N69" s="21">
        <f t="shared" si="3"/>
        <v>1329480</v>
      </c>
      <c r="O69" s="13" t="s">
        <v>22</v>
      </c>
      <c r="P69" s="13">
        <v>45</v>
      </c>
    </row>
    <row r="70" spans="1:16" ht="15" customHeight="1" x14ac:dyDescent="0.2">
      <c r="A70" s="13" t="s">
        <v>33</v>
      </c>
      <c r="B70" s="14">
        <v>45899</v>
      </c>
      <c r="C70" s="15">
        <f t="shared" si="4"/>
        <v>76</v>
      </c>
      <c r="D70" s="13">
        <v>1</v>
      </c>
      <c r="G70" s="15" t="s">
        <v>128</v>
      </c>
      <c r="H70" s="13" t="s">
        <v>640</v>
      </c>
      <c r="I70" s="13">
        <v>112111</v>
      </c>
      <c r="J70" s="13">
        <v>5154</v>
      </c>
      <c r="K70" s="13" t="s">
        <v>21</v>
      </c>
      <c r="L70" s="13">
        <v>1</v>
      </c>
      <c r="M70" s="21">
        <v>757</v>
      </c>
      <c r="N70" s="21">
        <f t="shared" si="3"/>
        <v>757</v>
      </c>
      <c r="O70" s="13" t="s">
        <v>22</v>
      </c>
      <c r="P70" s="13">
        <v>88</v>
      </c>
    </row>
    <row r="71" spans="1:16" ht="15" customHeight="1" x14ac:dyDescent="0.2">
      <c r="A71" s="13" t="s">
        <v>368</v>
      </c>
      <c r="B71" s="14">
        <v>45899</v>
      </c>
      <c r="C71" s="15">
        <f t="shared" si="4"/>
        <v>77</v>
      </c>
      <c r="D71" s="13">
        <v>1</v>
      </c>
      <c r="G71" s="15" t="s">
        <v>638</v>
      </c>
      <c r="H71" s="13" t="s">
        <v>596</v>
      </c>
      <c r="I71" s="13">
        <v>331</v>
      </c>
      <c r="J71" s="13">
        <v>1111</v>
      </c>
      <c r="K71" s="13" t="s">
        <v>21</v>
      </c>
      <c r="L71" s="13">
        <v>1</v>
      </c>
      <c r="M71" s="21">
        <v>1329480</v>
      </c>
      <c r="N71" s="21">
        <f t="shared" si="3"/>
        <v>1329480</v>
      </c>
      <c r="O71" s="13" t="s">
        <v>22</v>
      </c>
      <c r="P71" s="13">
        <v>110</v>
      </c>
    </row>
    <row r="72" spans="1:16" ht="15" customHeight="1" x14ac:dyDescent="0.2">
      <c r="A72" s="13" t="s">
        <v>18</v>
      </c>
      <c r="B72" s="14">
        <v>45900</v>
      </c>
      <c r="C72" s="15">
        <f t="shared" si="4"/>
        <v>78</v>
      </c>
      <c r="D72" s="13">
        <v>1</v>
      </c>
      <c r="G72" s="15" t="s">
        <v>641</v>
      </c>
      <c r="H72" s="13" t="s">
        <v>642</v>
      </c>
      <c r="I72" s="13">
        <v>64277</v>
      </c>
      <c r="J72" s="13">
        <v>331</v>
      </c>
      <c r="K72" s="13" t="s">
        <v>21</v>
      </c>
      <c r="L72" s="13">
        <v>1</v>
      </c>
      <c r="M72" s="21">
        <v>1774240</v>
      </c>
      <c r="N72" s="21">
        <f t="shared" si="3"/>
        <v>1774240</v>
      </c>
      <c r="O72" s="13" t="s">
        <v>22</v>
      </c>
      <c r="P72" s="13">
        <v>46</v>
      </c>
    </row>
    <row r="73" spans="1:16" ht="15" customHeight="1" x14ac:dyDescent="0.2">
      <c r="A73" s="13" t="s">
        <v>18</v>
      </c>
      <c r="B73" s="14">
        <v>45900</v>
      </c>
      <c r="C73" s="15">
        <f t="shared" si="4"/>
        <v>79</v>
      </c>
      <c r="D73" s="13">
        <v>1</v>
      </c>
      <c r="G73" s="15" t="s">
        <v>252</v>
      </c>
      <c r="H73" s="13" t="s">
        <v>280</v>
      </c>
      <c r="I73" s="13">
        <v>64271</v>
      </c>
      <c r="J73" s="13">
        <v>3383</v>
      </c>
      <c r="K73" s="13" t="s">
        <v>21</v>
      </c>
      <c r="L73" s="13">
        <v>1</v>
      </c>
      <c r="M73" s="16">
        <v>690300</v>
      </c>
      <c r="N73" s="16">
        <f t="shared" si="3"/>
        <v>690300</v>
      </c>
      <c r="O73" s="13" t="s">
        <v>22</v>
      </c>
      <c r="P73" s="13">
        <v>57</v>
      </c>
    </row>
    <row r="74" spans="1:16" ht="15" customHeight="1" x14ac:dyDescent="0.2">
      <c r="A74" s="13" t="s">
        <v>368</v>
      </c>
      <c r="B74" s="14">
        <v>45900</v>
      </c>
      <c r="C74" s="15">
        <f t="shared" si="4"/>
        <v>80</v>
      </c>
      <c r="D74" s="13">
        <v>1</v>
      </c>
      <c r="G74" s="15" t="s">
        <v>641</v>
      </c>
      <c r="H74" s="13" t="s">
        <v>596</v>
      </c>
      <c r="I74" s="13">
        <v>331</v>
      </c>
      <c r="J74" s="13">
        <v>1111</v>
      </c>
      <c r="K74" s="13" t="s">
        <v>21</v>
      </c>
      <c r="L74" s="13">
        <v>1</v>
      </c>
      <c r="M74" s="21">
        <v>1774240</v>
      </c>
      <c r="N74" s="21">
        <f t="shared" si="3"/>
        <v>1774240</v>
      </c>
      <c r="O74" s="13" t="s">
        <v>22</v>
      </c>
      <c r="P74" s="13">
        <v>111</v>
      </c>
    </row>
    <row r="75" spans="1:16" ht="15" customHeight="1" x14ac:dyDescent="0.2">
      <c r="A75" s="13" t="s">
        <v>18</v>
      </c>
      <c r="B75" s="14">
        <v>45901</v>
      </c>
      <c r="C75" s="15">
        <f t="shared" si="4"/>
        <v>81</v>
      </c>
      <c r="D75" s="13">
        <v>1</v>
      </c>
      <c r="G75" s="15" t="s">
        <v>158</v>
      </c>
      <c r="H75" s="13" t="s">
        <v>643</v>
      </c>
      <c r="I75" s="13">
        <v>64277</v>
      </c>
      <c r="J75" s="13">
        <v>331</v>
      </c>
      <c r="K75" s="13" t="s">
        <v>21</v>
      </c>
      <c r="L75" s="13">
        <v>1</v>
      </c>
      <c r="M75" s="21">
        <v>3240000</v>
      </c>
      <c r="N75" s="21">
        <f t="shared" si="3"/>
        <v>3240000</v>
      </c>
      <c r="O75" s="13" t="s">
        <v>22</v>
      </c>
      <c r="P75" s="13">
        <v>47</v>
      </c>
    </row>
    <row r="76" spans="1:16" ht="15" customHeight="1" x14ac:dyDescent="0.2">
      <c r="A76" s="13" t="s">
        <v>368</v>
      </c>
      <c r="B76" s="14">
        <v>45901</v>
      </c>
      <c r="C76" s="15">
        <f t="shared" si="4"/>
        <v>82</v>
      </c>
      <c r="D76" s="13">
        <v>1</v>
      </c>
      <c r="G76" s="15" t="s">
        <v>158</v>
      </c>
      <c r="H76" s="13" t="s">
        <v>593</v>
      </c>
      <c r="I76" s="13">
        <v>331</v>
      </c>
      <c r="J76" s="13">
        <v>1111</v>
      </c>
      <c r="K76" s="13" t="s">
        <v>21</v>
      </c>
      <c r="L76" s="13">
        <v>1</v>
      </c>
      <c r="M76" s="21">
        <v>3240000</v>
      </c>
      <c r="N76" s="21">
        <f t="shared" si="3"/>
        <v>3240000</v>
      </c>
      <c r="O76" s="13" t="s">
        <v>22</v>
      </c>
      <c r="P76" s="13">
        <v>112</v>
      </c>
    </row>
    <row r="77" spans="1:16" ht="15" customHeight="1" x14ac:dyDescent="0.2">
      <c r="A77" s="13" t="s">
        <v>18</v>
      </c>
      <c r="B77" s="14">
        <v>45904</v>
      </c>
      <c r="C77" s="15">
        <f t="shared" si="4"/>
        <v>83</v>
      </c>
      <c r="D77" s="13">
        <v>1</v>
      </c>
      <c r="G77" s="15" t="s">
        <v>209</v>
      </c>
      <c r="H77" s="13" t="s">
        <v>644</v>
      </c>
      <c r="I77" s="13">
        <v>64277</v>
      </c>
      <c r="J77" s="13">
        <v>331</v>
      </c>
      <c r="K77" s="13" t="s">
        <v>21</v>
      </c>
      <c r="L77" s="13">
        <v>1</v>
      </c>
      <c r="M77" s="21">
        <v>3584520</v>
      </c>
      <c r="N77" s="21">
        <f t="shared" si="3"/>
        <v>3584520</v>
      </c>
      <c r="O77" s="13" t="s">
        <v>22</v>
      </c>
      <c r="P77" s="13">
        <v>48</v>
      </c>
    </row>
    <row r="78" spans="1:16" ht="15" customHeight="1" x14ac:dyDescent="0.2">
      <c r="A78" s="13" t="s">
        <v>33</v>
      </c>
      <c r="B78" s="14">
        <v>45904</v>
      </c>
      <c r="C78" s="15">
        <f t="shared" si="4"/>
        <v>84</v>
      </c>
      <c r="D78" s="13">
        <v>1</v>
      </c>
      <c r="G78" s="15" t="s">
        <v>635</v>
      </c>
      <c r="H78" s="13" t="s">
        <v>645</v>
      </c>
      <c r="I78" s="13">
        <v>112111</v>
      </c>
      <c r="J78" s="13">
        <v>131</v>
      </c>
      <c r="K78" s="13" t="s">
        <v>21</v>
      </c>
      <c r="L78" s="13">
        <v>1</v>
      </c>
      <c r="M78" s="21">
        <v>15967742</v>
      </c>
      <c r="N78" s="21">
        <f t="shared" si="3"/>
        <v>15967742</v>
      </c>
      <c r="O78" s="13" t="s">
        <v>22</v>
      </c>
      <c r="P78" s="13">
        <v>89</v>
      </c>
    </row>
    <row r="79" spans="1:16" ht="15" customHeight="1" x14ac:dyDescent="0.2">
      <c r="A79" s="13" t="s">
        <v>368</v>
      </c>
      <c r="B79" s="14">
        <v>45904</v>
      </c>
      <c r="C79" s="15">
        <f t="shared" si="4"/>
        <v>85</v>
      </c>
      <c r="D79" s="13">
        <v>1</v>
      </c>
      <c r="G79" s="15" t="s">
        <v>209</v>
      </c>
      <c r="H79" s="13" t="s">
        <v>596</v>
      </c>
      <c r="I79" s="13">
        <v>331</v>
      </c>
      <c r="J79" s="13">
        <v>1111</v>
      </c>
      <c r="K79" s="13" t="s">
        <v>21</v>
      </c>
      <c r="L79" s="13">
        <v>1</v>
      </c>
      <c r="M79" s="21">
        <v>3584520</v>
      </c>
      <c r="N79" s="21">
        <f t="shared" si="3"/>
        <v>3584520</v>
      </c>
      <c r="O79" s="13" t="s">
        <v>22</v>
      </c>
      <c r="P79" s="13">
        <v>113</v>
      </c>
    </row>
    <row r="80" spans="1:16" ht="15" customHeight="1" x14ac:dyDescent="0.2">
      <c r="A80" s="13" t="s">
        <v>18</v>
      </c>
      <c r="B80" s="14">
        <v>45906</v>
      </c>
      <c r="C80" s="15">
        <f t="shared" si="4"/>
        <v>86</v>
      </c>
      <c r="D80" s="13">
        <v>1</v>
      </c>
      <c r="G80" s="15" t="s">
        <v>646</v>
      </c>
      <c r="H80" s="13" t="s">
        <v>647</v>
      </c>
      <c r="I80" s="13">
        <v>131</v>
      </c>
      <c r="J80" s="13">
        <v>5113</v>
      </c>
      <c r="K80" s="13" t="s">
        <v>21</v>
      </c>
      <c r="L80" s="13">
        <v>1</v>
      </c>
      <c r="M80" s="21">
        <v>10752688</v>
      </c>
      <c r="N80" s="21">
        <f t="shared" si="3"/>
        <v>10752688</v>
      </c>
      <c r="O80" s="13" t="s">
        <v>22</v>
      </c>
      <c r="P80" s="13">
        <v>16</v>
      </c>
    </row>
    <row r="81" spans="1:16" ht="15" customHeight="1" x14ac:dyDescent="0.2">
      <c r="A81" s="13" t="s">
        <v>18</v>
      </c>
      <c r="B81" s="14">
        <v>45906</v>
      </c>
      <c r="C81" s="15">
        <f t="shared" si="4"/>
        <v>87</v>
      </c>
      <c r="D81" s="13">
        <v>1</v>
      </c>
      <c r="G81" s="15" t="s">
        <v>646</v>
      </c>
      <c r="H81" s="13" t="s">
        <v>648</v>
      </c>
      <c r="I81" s="13">
        <v>333812</v>
      </c>
      <c r="J81" s="13">
        <v>131</v>
      </c>
      <c r="K81" s="13" t="s">
        <v>21</v>
      </c>
      <c r="L81" s="13">
        <v>1</v>
      </c>
      <c r="M81" s="21">
        <v>107527</v>
      </c>
      <c r="N81" s="21">
        <f t="shared" si="3"/>
        <v>107527</v>
      </c>
      <c r="O81" s="13" t="s">
        <v>22</v>
      </c>
      <c r="P81" s="13">
        <v>17</v>
      </c>
    </row>
    <row r="82" spans="1:16" ht="15" customHeight="1" x14ac:dyDescent="0.2">
      <c r="A82" s="13" t="s">
        <v>89</v>
      </c>
      <c r="B82" s="14">
        <v>45908</v>
      </c>
      <c r="C82" s="15">
        <f t="shared" si="4"/>
        <v>88</v>
      </c>
      <c r="D82" s="13">
        <v>1</v>
      </c>
      <c r="G82" s="15" t="s">
        <v>615</v>
      </c>
      <c r="H82" s="13" t="s">
        <v>282</v>
      </c>
      <c r="I82" s="13">
        <v>1111</v>
      </c>
      <c r="J82" s="13">
        <v>112111</v>
      </c>
      <c r="K82" s="13" t="s">
        <v>21</v>
      </c>
      <c r="L82" s="13">
        <v>1</v>
      </c>
      <c r="M82" s="21">
        <v>20000000</v>
      </c>
      <c r="N82" s="21">
        <f t="shared" si="3"/>
        <v>20000000</v>
      </c>
      <c r="O82" s="13" t="s">
        <v>22</v>
      </c>
      <c r="P82" s="13">
        <v>90</v>
      </c>
    </row>
    <row r="83" spans="1:16" ht="15" customHeight="1" x14ac:dyDescent="0.2">
      <c r="A83" s="13" t="s">
        <v>18</v>
      </c>
      <c r="B83" s="14">
        <v>45909</v>
      </c>
      <c r="C83" s="15">
        <f t="shared" si="4"/>
        <v>89</v>
      </c>
      <c r="D83" s="13">
        <v>1</v>
      </c>
      <c r="G83" s="15" t="s">
        <v>96</v>
      </c>
      <c r="H83" s="13" t="s">
        <v>649</v>
      </c>
      <c r="I83" s="13">
        <v>131</v>
      </c>
      <c r="J83" s="13">
        <v>5113</v>
      </c>
      <c r="K83" s="13" t="s">
        <v>21</v>
      </c>
      <c r="L83" s="13">
        <v>1</v>
      </c>
      <c r="M83" s="21">
        <v>11827957</v>
      </c>
      <c r="N83" s="21">
        <f t="shared" si="3"/>
        <v>11827957</v>
      </c>
      <c r="O83" s="13" t="s">
        <v>22</v>
      </c>
      <c r="P83" s="13">
        <v>18</v>
      </c>
    </row>
    <row r="84" spans="1:16" ht="15" customHeight="1" x14ac:dyDescent="0.2">
      <c r="A84" s="13" t="s">
        <v>18</v>
      </c>
      <c r="B84" s="14">
        <v>45909</v>
      </c>
      <c r="C84" s="15">
        <f t="shared" si="4"/>
        <v>90</v>
      </c>
      <c r="D84" s="13">
        <v>1</v>
      </c>
      <c r="G84" s="15" t="s">
        <v>31</v>
      </c>
      <c r="H84" s="13" t="s">
        <v>32</v>
      </c>
      <c r="I84" s="13">
        <v>131</v>
      </c>
      <c r="J84" s="13">
        <v>5118</v>
      </c>
      <c r="K84" s="13" t="s">
        <v>21</v>
      </c>
      <c r="L84" s="13">
        <v>1</v>
      </c>
      <c r="M84" s="21">
        <v>14266478</v>
      </c>
      <c r="N84" s="21">
        <f t="shared" si="3"/>
        <v>14266478</v>
      </c>
      <c r="O84" s="13" t="s">
        <v>22</v>
      </c>
      <c r="P84" s="13">
        <v>35</v>
      </c>
    </row>
    <row r="85" spans="1:16" ht="15" customHeight="1" x14ac:dyDescent="0.2">
      <c r="A85" s="13" t="s">
        <v>33</v>
      </c>
      <c r="B85" s="14">
        <v>45909</v>
      </c>
      <c r="C85" s="15">
        <f t="shared" si="4"/>
        <v>91</v>
      </c>
      <c r="D85" s="13">
        <v>1</v>
      </c>
      <c r="G85" s="15" t="s">
        <v>31</v>
      </c>
      <c r="H85" s="13" t="s">
        <v>34</v>
      </c>
      <c r="I85" s="13">
        <v>112111</v>
      </c>
      <c r="J85" s="13">
        <v>131</v>
      </c>
      <c r="K85" s="13" t="s">
        <v>21</v>
      </c>
      <c r="L85" s="13">
        <v>1</v>
      </c>
      <c r="M85" s="21">
        <v>14266478</v>
      </c>
      <c r="N85" s="21">
        <f t="shared" si="3"/>
        <v>14266478</v>
      </c>
      <c r="O85" s="13" t="s">
        <v>22</v>
      </c>
      <c r="P85" s="13">
        <v>91</v>
      </c>
    </row>
    <row r="86" spans="1:16" ht="15" customHeight="1" x14ac:dyDescent="0.2">
      <c r="A86" s="13" t="s">
        <v>33</v>
      </c>
      <c r="B86" s="14">
        <v>45910</v>
      </c>
      <c r="C86" s="15">
        <f t="shared" si="4"/>
        <v>92</v>
      </c>
      <c r="D86" s="13">
        <v>1</v>
      </c>
      <c r="G86" s="15" t="s">
        <v>96</v>
      </c>
      <c r="H86" s="13" t="s">
        <v>616</v>
      </c>
      <c r="I86" s="13">
        <v>112111</v>
      </c>
      <c r="J86" s="13">
        <v>131</v>
      </c>
      <c r="K86" s="13" t="s">
        <v>21</v>
      </c>
      <c r="L86" s="13">
        <v>1</v>
      </c>
      <c r="M86" s="21">
        <v>11827957</v>
      </c>
      <c r="N86" s="21">
        <f t="shared" si="3"/>
        <v>11827957</v>
      </c>
      <c r="O86" s="13" t="s">
        <v>22</v>
      </c>
      <c r="P86" s="13">
        <v>92</v>
      </c>
    </row>
    <row r="87" spans="1:16" ht="15" customHeight="1" x14ac:dyDescent="0.2">
      <c r="A87" s="13" t="s">
        <v>18</v>
      </c>
      <c r="B87" s="14">
        <v>45911</v>
      </c>
      <c r="C87" s="15">
        <f t="shared" si="4"/>
        <v>93</v>
      </c>
      <c r="D87" s="13">
        <v>1</v>
      </c>
      <c r="G87" s="15" t="s">
        <v>96</v>
      </c>
      <c r="H87" s="13" t="s">
        <v>650</v>
      </c>
      <c r="I87" s="13">
        <v>131</v>
      </c>
      <c r="J87" s="13">
        <v>5113</v>
      </c>
      <c r="K87" s="13" t="s">
        <v>21</v>
      </c>
      <c r="L87" s="13">
        <v>1</v>
      </c>
      <c r="M87" s="21">
        <v>11827957</v>
      </c>
      <c r="N87" s="21">
        <f t="shared" si="3"/>
        <v>11827957</v>
      </c>
      <c r="O87" s="13" t="s">
        <v>22</v>
      </c>
      <c r="P87" s="13">
        <v>19</v>
      </c>
    </row>
    <row r="88" spans="1:16" ht="15" customHeight="1" x14ac:dyDescent="0.2">
      <c r="A88" s="13" t="s">
        <v>18</v>
      </c>
      <c r="B88" s="14">
        <v>45915</v>
      </c>
      <c r="C88" s="15">
        <f t="shared" si="4"/>
        <v>94</v>
      </c>
      <c r="D88" s="13">
        <v>1</v>
      </c>
      <c r="G88" s="15" t="s">
        <v>617</v>
      </c>
      <c r="H88" s="13" t="s">
        <v>651</v>
      </c>
      <c r="I88" s="13">
        <v>131</v>
      </c>
      <c r="J88" s="13">
        <v>5113</v>
      </c>
      <c r="K88" s="13" t="s">
        <v>21</v>
      </c>
      <c r="L88" s="13">
        <v>1</v>
      </c>
      <c r="M88" s="21">
        <v>18279570</v>
      </c>
      <c r="N88" s="21">
        <f t="shared" si="3"/>
        <v>18279570</v>
      </c>
      <c r="O88" s="13" t="s">
        <v>22</v>
      </c>
      <c r="P88" s="13">
        <v>20</v>
      </c>
    </row>
    <row r="89" spans="1:16" ht="15" customHeight="1" x14ac:dyDescent="0.2">
      <c r="A89" s="13" t="s">
        <v>18</v>
      </c>
      <c r="B89" s="14">
        <v>45915</v>
      </c>
      <c r="C89" s="15">
        <f t="shared" si="4"/>
        <v>95</v>
      </c>
      <c r="D89" s="13">
        <v>1</v>
      </c>
      <c r="G89" s="15" t="s">
        <v>617</v>
      </c>
      <c r="H89" s="13" t="s">
        <v>652</v>
      </c>
      <c r="I89" s="13">
        <v>333812</v>
      </c>
      <c r="J89" s="13">
        <v>131</v>
      </c>
      <c r="K89" s="13" t="s">
        <v>21</v>
      </c>
      <c r="L89" s="13">
        <v>1</v>
      </c>
      <c r="M89" s="21">
        <v>182796</v>
      </c>
      <c r="N89" s="21">
        <f t="shared" si="3"/>
        <v>182796</v>
      </c>
      <c r="O89" s="13" t="s">
        <v>22</v>
      </c>
      <c r="P89" s="13">
        <v>21</v>
      </c>
    </row>
    <row r="90" spans="1:16" ht="15" customHeight="1" x14ac:dyDescent="0.2">
      <c r="A90" s="13" t="s">
        <v>33</v>
      </c>
      <c r="B90" s="14">
        <v>45915</v>
      </c>
      <c r="C90" s="15">
        <f t="shared" si="4"/>
        <v>96</v>
      </c>
      <c r="D90" s="13">
        <v>1</v>
      </c>
      <c r="G90" s="15" t="s">
        <v>646</v>
      </c>
      <c r="H90" s="13" t="s">
        <v>653</v>
      </c>
      <c r="I90" s="13">
        <v>112111</v>
      </c>
      <c r="J90" s="13">
        <v>131</v>
      </c>
      <c r="K90" s="13" t="s">
        <v>21</v>
      </c>
      <c r="L90" s="13">
        <v>1</v>
      </c>
      <c r="M90" s="21">
        <v>10645161</v>
      </c>
      <c r="N90" s="21">
        <f t="shared" si="3"/>
        <v>10645161</v>
      </c>
      <c r="O90" s="13" t="s">
        <v>22</v>
      </c>
      <c r="P90" s="13">
        <v>93</v>
      </c>
    </row>
    <row r="91" spans="1:16" ht="15" customHeight="1" x14ac:dyDescent="0.2">
      <c r="A91" s="13" t="s">
        <v>18</v>
      </c>
      <c r="B91" s="14">
        <v>45916</v>
      </c>
      <c r="C91" s="15">
        <f t="shared" si="4"/>
        <v>97</v>
      </c>
      <c r="D91" s="13">
        <v>1</v>
      </c>
      <c r="G91" s="15" t="s">
        <v>610</v>
      </c>
      <c r="H91" s="13" t="s">
        <v>654</v>
      </c>
      <c r="I91" s="13">
        <v>131</v>
      </c>
      <c r="J91" s="13">
        <v>5113</v>
      </c>
      <c r="K91" s="13" t="s">
        <v>21</v>
      </c>
      <c r="L91" s="13">
        <v>1</v>
      </c>
      <c r="M91" s="21">
        <v>32258065</v>
      </c>
      <c r="N91" s="21">
        <f t="shared" si="3"/>
        <v>32258065</v>
      </c>
      <c r="O91" s="13" t="s">
        <v>22</v>
      </c>
      <c r="P91" s="13">
        <v>22</v>
      </c>
    </row>
    <row r="92" spans="1:16" ht="15" customHeight="1" x14ac:dyDescent="0.2">
      <c r="A92" s="13" t="s">
        <v>18</v>
      </c>
      <c r="B92" s="14">
        <v>45916</v>
      </c>
      <c r="C92" s="15">
        <f t="shared" si="4"/>
        <v>98</v>
      </c>
      <c r="D92" s="13">
        <v>1</v>
      </c>
      <c r="G92" s="15" t="s">
        <v>610</v>
      </c>
      <c r="H92" s="13" t="s">
        <v>655</v>
      </c>
      <c r="I92" s="13">
        <v>333812</v>
      </c>
      <c r="J92" s="13">
        <v>131</v>
      </c>
      <c r="K92" s="13" t="s">
        <v>21</v>
      </c>
      <c r="L92" s="13">
        <v>1</v>
      </c>
      <c r="M92" s="21">
        <v>322581</v>
      </c>
      <c r="N92" s="21">
        <f t="shared" si="3"/>
        <v>322581</v>
      </c>
      <c r="O92" s="13" t="s">
        <v>22</v>
      </c>
      <c r="P92" s="13">
        <v>23</v>
      </c>
    </row>
    <row r="93" spans="1:16" ht="15" customHeight="1" x14ac:dyDescent="0.2">
      <c r="A93" s="13" t="s">
        <v>18</v>
      </c>
      <c r="B93" s="14">
        <v>45917</v>
      </c>
      <c r="C93" s="15">
        <f t="shared" si="4"/>
        <v>99</v>
      </c>
      <c r="D93" s="13">
        <v>1</v>
      </c>
      <c r="G93" s="15" t="s">
        <v>656</v>
      </c>
      <c r="H93" s="13" t="s">
        <v>657</v>
      </c>
      <c r="I93" s="13">
        <v>131</v>
      </c>
      <c r="J93" s="13">
        <v>5113</v>
      </c>
      <c r="K93" s="13" t="s">
        <v>21</v>
      </c>
      <c r="L93" s="13">
        <v>1</v>
      </c>
      <c r="M93" s="21">
        <v>7575758</v>
      </c>
      <c r="N93" s="21">
        <f t="shared" si="3"/>
        <v>7575758</v>
      </c>
      <c r="O93" s="13" t="s">
        <v>22</v>
      </c>
      <c r="P93" s="13">
        <v>24</v>
      </c>
    </row>
    <row r="94" spans="1:16" ht="15" customHeight="1" x14ac:dyDescent="0.2">
      <c r="A94" s="13" t="s">
        <v>18</v>
      </c>
      <c r="B94" s="14">
        <v>45917</v>
      </c>
      <c r="C94" s="15">
        <f t="shared" si="4"/>
        <v>100</v>
      </c>
      <c r="D94" s="13">
        <v>1</v>
      </c>
      <c r="G94" s="15" t="s">
        <v>656</v>
      </c>
      <c r="H94" s="13" t="s">
        <v>658</v>
      </c>
      <c r="I94" s="13">
        <v>333812</v>
      </c>
      <c r="J94" s="13">
        <v>131</v>
      </c>
      <c r="K94" s="13" t="s">
        <v>21</v>
      </c>
      <c r="L94" s="13">
        <v>1</v>
      </c>
      <c r="M94" s="21">
        <v>75758</v>
      </c>
      <c r="N94" s="21">
        <f t="shared" si="3"/>
        <v>75758</v>
      </c>
      <c r="O94" s="13" t="s">
        <v>22</v>
      </c>
      <c r="P94" s="13">
        <v>25</v>
      </c>
    </row>
    <row r="95" spans="1:16" ht="15" customHeight="1" x14ac:dyDescent="0.2">
      <c r="A95" s="13" t="s">
        <v>89</v>
      </c>
      <c r="B95" s="14">
        <v>45917</v>
      </c>
      <c r="C95" s="15">
        <f t="shared" si="4"/>
        <v>101</v>
      </c>
      <c r="D95" s="13">
        <v>1</v>
      </c>
      <c r="G95" s="15" t="s">
        <v>615</v>
      </c>
      <c r="H95" s="13" t="s">
        <v>282</v>
      </c>
      <c r="I95" s="13">
        <v>1111</v>
      </c>
      <c r="J95" s="13">
        <v>112111</v>
      </c>
      <c r="K95" s="13" t="s">
        <v>21</v>
      </c>
      <c r="L95" s="13">
        <v>1</v>
      </c>
      <c r="M95" s="21">
        <v>20000000</v>
      </c>
      <c r="N95" s="21">
        <f t="shared" si="3"/>
        <v>20000000</v>
      </c>
      <c r="O95" s="13" t="s">
        <v>22</v>
      </c>
      <c r="P95" s="13">
        <v>94</v>
      </c>
    </row>
    <row r="96" spans="1:16" ht="15" customHeight="1" x14ac:dyDescent="0.2">
      <c r="A96" s="13" t="s">
        <v>33</v>
      </c>
      <c r="B96" s="14">
        <v>45917</v>
      </c>
      <c r="C96" s="15">
        <f t="shared" si="4"/>
        <v>102</v>
      </c>
      <c r="D96" s="13">
        <v>1</v>
      </c>
      <c r="G96" s="15" t="s">
        <v>627</v>
      </c>
      <c r="H96" s="13" t="s">
        <v>659</v>
      </c>
      <c r="I96" s="13">
        <v>112111</v>
      </c>
      <c r="J96" s="13">
        <v>131</v>
      </c>
      <c r="K96" s="13" t="s">
        <v>21</v>
      </c>
      <c r="L96" s="13">
        <v>1</v>
      </c>
      <c r="M96" s="21">
        <v>24483871</v>
      </c>
      <c r="N96" s="21">
        <f t="shared" si="3"/>
        <v>24483871</v>
      </c>
      <c r="O96" s="13" t="s">
        <v>22</v>
      </c>
      <c r="P96" s="13">
        <v>95</v>
      </c>
    </row>
    <row r="97" spans="1:16" ht="15" customHeight="1" x14ac:dyDescent="0.2">
      <c r="A97" s="13" t="s">
        <v>18</v>
      </c>
      <c r="B97" s="14">
        <v>45919</v>
      </c>
      <c r="C97" s="15">
        <f t="shared" si="4"/>
        <v>103</v>
      </c>
      <c r="D97" s="13">
        <v>1</v>
      </c>
      <c r="G97" s="15" t="s">
        <v>656</v>
      </c>
      <c r="H97" s="13" t="s">
        <v>660</v>
      </c>
      <c r="I97" s="13">
        <v>131</v>
      </c>
      <c r="J97" s="13">
        <v>5113</v>
      </c>
      <c r="K97" s="13" t="s">
        <v>21</v>
      </c>
      <c r="L97" s="13">
        <v>1</v>
      </c>
      <c r="M97" s="21">
        <v>8553275</v>
      </c>
      <c r="N97" s="21">
        <f t="shared" si="3"/>
        <v>8553275</v>
      </c>
      <c r="O97" s="13" t="s">
        <v>22</v>
      </c>
      <c r="P97" s="13">
        <v>26</v>
      </c>
    </row>
    <row r="98" spans="1:16" ht="15" customHeight="1" x14ac:dyDescent="0.2">
      <c r="A98" s="13" t="s">
        <v>18</v>
      </c>
      <c r="B98" s="14">
        <v>45919</v>
      </c>
      <c r="C98" s="15">
        <f t="shared" si="4"/>
        <v>104</v>
      </c>
      <c r="D98" s="13">
        <v>1</v>
      </c>
      <c r="G98" s="15" t="s">
        <v>656</v>
      </c>
      <c r="H98" s="13" t="s">
        <v>661</v>
      </c>
      <c r="I98" s="13">
        <v>333812</v>
      </c>
      <c r="J98" s="13">
        <v>131</v>
      </c>
      <c r="K98" s="13" t="s">
        <v>21</v>
      </c>
      <c r="L98" s="13">
        <v>1</v>
      </c>
      <c r="M98" s="21">
        <v>85533</v>
      </c>
      <c r="N98" s="21">
        <f t="shared" si="3"/>
        <v>85533</v>
      </c>
      <c r="O98" s="13" t="s">
        <v>22</v>
      </c>
      <c r="P98" s="13">
        <v>27</v>
      </c>
    </row>
    <row r="99" spans="1:16" ht="15" customHeight="1" x14ac:dyDescent="0.2">
      <c r="A99" s="13" t="s">
        <v>18</v>
      </c>
      <c r="B99" s="14">
        <v>45919</v>
      </c>
      <c r="C99" s="15">
        <f t="shared" si="4"/>
        <v>105</v>
      </c>
      <c r="D99" s="13">
        <v>1</v>
      </c>
      <c r="G99" s="15" t="s">
        <v>662</v>
      </c>
      <c r="H99" s="13" t="s">
        <v>663</v>
      </c>
      <c r="I99" s="13">
        <v>64277</v>
      </c>
      <c r="J99" s="13">
        <v>331</v>
      </c>
      <c r="K99" s="13" t="s">
        <v>21</v>
      </c>
      <c r="L99" s="13">
        <v>1</v>
      </c>
      <c r="M99" s="21">
        <v>4576000</v>
      </c>
      <c r="N99" s="21">
        <f t="shared" si="3"/>
        <v>4576000</v>
      </c>
      <c r="O99" s="13" t="s">
        <v>22</v>
      </c>
      <c r="P99" s="13">
        <v>49</v>
      </c>
    </row>
    <row r="100" spans="1:16" ht="15" customHeight="1" x14ac:dyDescent="0.2">
      <c r="A100" s="13" t="s">
        <v>18</v>
      </c>
      <c r="B100" s="14">
        <v>45919</v>
      </c>
      <c r="C100" s="15">
        <f t="shared" si="4"/>
        <v>106</v>
      </c>
      <c r="D100" s="13">
        <v>1</v>
      </c>
      <c r="G100" s="15" t="s">
        <v>664</v>
      </c>
      <c r="H100" s="13" t="s">
        <v>665</v>
      </c>
      <c r="I100" s="13">
        <v>64277</v>
      </c>
      <c r="J100" s="13">
        <v>331</v>
      </c>
      <c r="K100" s="13" t="s">
        <v>21</v>
      </c>
      <c r="L100" s="13">
        <v>1</v>
      </c>
      <c r="M100" s="21">
        <v>982800</v>
      </c>
      <c r="N100" s="21">
        <f t="shared" ref="N100:N123" si="5">M100*L100</f>
        <v>982800</v>
      </c>
      <c r="O100" s="13" t="s">
        <v>22</v>
      </c>
      <c r="P100" s="13">
        <v>50</v>
      </c>
    </row>
    <row r="101" spans="1:16" ht="15" customHeight="1" x14ac:dyDescent="0.2">
      <c r="A101" s="13" t="s">
        <v>33</v>
      </c>
      <c r="B101" s="14">
        <v>45919</v>
      </c>
      <c r="C101" s="15">
        <f t="shared" si="4"/>
        <v>107</v>
      </c>
      <c r="D101" s="13">
        <v>1</v>
      </c>
      <c r="G101" s="15" t="s">
        <v>656</v>
      </c>
      <c r="H101" s="13" t="s">
        <v>666</v>
      </c>
      <c r="I101" s="13">
        <v>112111</v>
      </c>
      <c r="J101" s="13">
        <v>131</v>
      </c>
      <c r="K101" s="13" t="s">
        <v>21</v>
      </c>
      <c r="L101" s="13">
        <v>1</v>
      </c>
      <c r="M101" s="21">
        <v>7500000</v>
      </c>
      <c r="N101" s="21">
        <f t="shared" si="5"/>
        <v>7500000</v>
      </c>
      <c r="O101" s="13" t="s">
        <v>22</v>
      </c>
      <c r="P101" s="13">
        <v>96</v>
      </c>
    </row>
    <row r="102" spans="1:16" ht="15" customHeight="1" x14ac:dyDescent="0.2">
      <c r="A102" s="13" t="s">
        <v>368</v>
      </c>
      <c r="B102" s="14">
        <v>45919</v>
      </c>
      <c r="C102" s="15">
        <f t="shared" si="4"/>
        <v>108</v>
      </c>
      <c r="D102" s="13">
        <v>1</v>
      </c>
      <c r="G102" s="15" t="s">
        <v>662</v>
      </c>
      <c r="H102" s="13" t="s">
        <v>596</v>
      </c>
      <c r="I102" s="13">
        <v>331</v>
      </c>
      <c r="J102" s="13">
        <v>1111</v>
      </c>
      <c r="K102" s="13" t="s">
        <v>21</v>
      </c>
      <c r="L102" s="13">
        <v>1</v>
      </c>
      <c r="M102" s="21">
        <v>4576000</v>
      </c>
      <c r="N102" s="21">
        <f t="shared" si="5"/>
        <v>4576000</v>
      </c>
      <c r="O102" s="13" t="s">
        <v>22</v>
      </c>
      <c r="P102" s="13">
        <v>114</v>
      </c>
    </row>
    <row r="103" spans="1:16" ht="15" customHeight="1" x14ac:dyDescent="0.2">
      <c r="A103" s="13" t="s">
        <v>368</v>
      </c>
      <c r="B103" s="14">
        <v>45919</v>
      </c>
      <c r="C103" s="15">
        <f t="shared" si="4"/>
        <v>109</v>
      </c>
      <c r="D103" s="13">
        <v>1</v>
      </c>
      <c r="G103" s="15" t="s">
        <v>664</v>
      </c>
      <c r="H103" s="13" t="s">
        <v>596</v>
      </c>
      <c r="I103" s="13">
        <v>331</v>
      </c>
      <c r="J103" s="13">
        <v>1111</v>
      </c>
      <c r="K103" s="13" t="s">
        <v>21</v>
      </c>
      <c r="L103" s="13">
        <v>1</v>
      </c>
      <c r="M103" s="21">
        <v>982800</v>
      </c>
      <c r="N103" s="21">
        <f t="shared" si="5"/>
        <v>982800</v>
      </c>
      <c r="O103" s="13" t="s">
        <v>22</v>
      </c>
      <c r="P103" s="13">
        <v>115</v>
      </c>
    </row>
    <row r="104" spans="1:16" ht="15" customHeight="1" x14ac:dyDescent="0.2">
      <c r="A104" s="13" t="s">
        <v>18</v>
      </c>
      <c r="B104" s="14">
        <v>45920</v>
      </c>
      <c r="C104" s="15">
        <f t="shared" si="4"/>
        <v>110</v>
      </c>
      <c r="D104" s="13">
        <v>1</v>
      </c>
      <c r="G104" s="15" t="s">
        <v>667</v>
      </c>
      <c r="H104" s="13" t="s">
        <v>668</v>
      </c>
      <c r="I104" s="13">
        <v>64277</v>
      </c>
      <c r="J104" s="13">
        <v>331</v>
      </c>
      <c r="K104" s="13" t="s">
        <v>21</v>
      </c>
      <c r="L104" s="13">
        <v>1</v>
      </c>
      <c r="M104" s="21">
        <v>1030001</v>
      </c>
      <c r="N104" s="21">
        <f t="shared" si="5"/>
        <v>1030001</v>
      </c>
      <c r="O104" s="13" t="s">
        <v>22</v>
      </c>
      <c r="P104" s="13">
        <v>51</v>
      </c>
    </row>
    <row r="105" spans="1:16" ht="15" customHeight="1" x14ac:dyDescent="0.2">
      <c r="A105" s="13" t="s">
        <v>368</v>
      </c>
      <c r="B105" s="14">
        <v>45920</v>
      </c>
      <c r="C105" s="15">
        <f t="shared" si="4"/>
        <v>111</v>
      </c>
      <c r="D105" s="13">
        <v>1</v>
      </c>
      <c r="G105" s="15" t="s">
        <v>667</v>
      </c>
      <c r="H105" s="13" t="s">
        <v>596</v>
      </c>
      <c r="I105" s="13">
        <v>331</v>
      </c>
      <c r="J105" s="13">
        <v>1111</v>
      </c>
      <c r="K105" s="13" t="s">
        <v>21</v>
      </c>
      <c r="L105" s="13">
        <v>1</v>
      </c>
      <c r="M105" s="21">
        <v>1030001</v>
      </c>
      <c r="N105" s="21">
        <f t="shared" si="5"/>
        <v>1030001</v>
      </c>
      <c r="O105" s="13" t="s">
        <v>22</v>
      </c>
      <c r="P105" s="13">
        <v>116</v>
      </c>
    </row>
    <row r="106" spans="1:16" ht="15" customHeight="1" x14ac:dyDescent="0.2">
      <c r="A106" s="13" t="s">
        <v>18</v>
      </c>
      <c r="B106" s="14">
        <v>45921</v>
      </c>
      <c r="C106" s="15">
        <f t="shared" si="4"/>
        <v>112</v>
      </c>
      <c r="D106" s="13">
        <v>1</v>
      </c>
      <c r="G106" s="15" t="s">
        <v>669</v>
      </c>
      <c r="H106" s="13" t="s">
        <v>670</v>
      </c>
      <c r="I106" s="13">
        <v>64277</v>
      </c>
      <c r="J106" s="13">
        <v>331</v>
      </c>
      <c r="K106" s="13" t="s">
        <v>21</v>
      </c>
      <c r="L106" s="13">
        <v>1</v>
      </c>
      <c r="M106" s="21">
        <v>3830000</v>
      </c>
      <c r="N106" s="21">
        <f t="shared" si="5"/>
        <v>3830000</v>
      </c>
      <c r="O106" s="13" t="s">
        <v>22</v>
      </c>
      <c r="P106" s="13">
        <v>52</v>
      </c>
    </row>
    <row r="107" spans="1:16" ht="15" customHeight="1" x14ac:dyDescent="0.2">
      <c r="A107" s="13" t="s">
        <v>368</v>
      </c>
      <c r="B107" s="14">
        <v>45921</v>
      </c>
      <c r="C107" s="15">
        <f t="shared" si="4"/>
        <v>113</v>
      </c>
      <c r="D107" s="13">
        <v>1</v>
      </c>
      <c r="G107" s="15" t="s">
        <v>669</v>
      </c>
      <c r="H107" s="13" t="s">
        <v>671</v>
      </c>
      <c r="I107" s="13">
        <v>331</v>
      </c>
      <c r="J107" s="13">
        <v>1111</v>
      </c>
      <c r="K107" s="13" t="s">
        <v>21</v>
      </c>
      <c r="L107" s="13">
        <v>1</v>
      </c>
      <c r="M107" s="21">
        <v>3830000</v>
      </c>
      <c r="N107" s="21">
        <f t="shared" si="5"/>
        <v>3830000</v>
      </c>
      <c r="O107" s="13" t="s">
        <v>22</v>
      </c>
      <c r="P107" s="13">
        <v>117</v>
      </c>
    </row>
    <row r="108" spans="1:16" ht="15" customHeight="1" x14ac:dyDescent="0.2">
      <c r="A108" s="13" t="s">
        <v>18</v>
      </c>
      <c r="B108" s="14">
        <v>45922</v>
      </c>
      <c r="C108" s="15">
        <f t="shared" si="4"/>
        <v>114</v>
      </c>
      <c r="D108" s="13">
        <v>1</v>
      </c>
      <c r="G108" s="15" t="s">
        <v>96</v>
      </c>
      <c r="H108" s="13" t="s">
        <v>672</v>
      </c>
      <c r="I108" s="13">
        <v>131</v>
      </c>
      <c r="J108" s="13">
        <v>5113</v>
      </c>
      <c r="K108" s="13" t="s">
        <v>21</v>
      </c>
      <c r="L108" s="13">
        <v>1</v>
      </c>
      <c r="M108" s="21">
        <v>10752688</v>
      </c>
      <c r="N108" s="21">
        <f t="shared" si="5"/>
        <v>10752688</v>
      </c>
      <c r="O108" s="13" t="s">
        <v>22</v>
      </c>
      <c r="P108" s="13">
        <v>28</v>
      </c>
    </row>
    <row r="109" spans="1:16" ht="15" customHeight="1" x14ac:dyDescent="0.2">
      <c r="A109" s="13" t="s">
        <v>18</v>
      </c>
      <c r="B109" s="14">
        <v>45922</v>
      </c>
      <c r="C109" s="15">
        <f t="shared" si="4"/>
        <v>115</v>
      </c>
      <c r="D109" s="13">
        <v>1</v>
      </c>
      <c r="G109" s="15" t="s">
        <v>96</v>
      </c>
      <c r="H109" s="13" t="s">
        <v>673</v>
      </c>
      <c r="I109" s="13">
        <v>333812</v>
      </c>
      <c r="J109" s="13">
        <v>131</v>
      </c>
      <c r="K109" s="13" t="s">
        <v>21</v>
      </c>
      <c r="L109" s="13">
        <v>1</v>
      </c>
      <c r="M109" s="21">
        <v>107527</v>
      </c>
      <c r="N109" s="21">
        <f t="shared" si="5"/>
        <v>107527</v>
      </c>
      <c r="O109" s="13" t="s">
        <v>22</v>
      </c>
      <c r="P109" s="13">
        <v>29</v>
      </c>
    </row>
    <row r="110" spans="1:16" ht="15" customHeight="1" x14ac:dyDescent="0.2">
      <c r="A110" s="13" t="s">
        <v>89</v>
      </c>
      <c r="B110" s="14">
        <v>45922</v>
      </c>
      <c r="C110" s="15">
        <f t="shared" si="4"/>
        <v>116</v>
      </c>
      <c r="D110" s="13">
        <v>1</v>
      </c>
      <c r="G110" s="15" t="s">
        <v>615</v>
      </c>
      <c r="H110" s="13" t="s">
        <v>282</v>
      </c>
      <c r="I110" s="13">
        <v>1111</v>
      </c>
      <c r="J110" s="13">
        <v>112111</v>
      </c>
      <c r="K110" s="13" t="s">
        <v>21</v>
      </c>
      <c r="L110" s="13">
        <v>1</v>
      </c>
      <c r="M110" s="21">
        <v>40000000</v>
      </c>
      <c r="N110" s="21">
        <f t="shared" si="5"/>
        <v>40000000</v>
      </c>
      <c r="O110" s="13" t="s">
        <v>22</v>
      </c>
      <c r="P110" s="13">
        <v>97</v>
      </c>
    </row>
    <row r="111" spans="1:16" ht="15" customHeight="1" x14ac:dyDescent="0.2">
      <c r="A111" s="13" t="s">
        <v>18</v>
      </c>
      <c r="B111" s="14">
        <v>45923</v>
      </c>
      <c r="C111" s="15">
        <f t="shared" si="4"/>
        <v>117</v>
      </c>
      <c r="D111" s="13">
        <v>1</v>
      </c>
      <c r="G111" s="15" t="s">
        <v>96</v>
      </c>
      <c r="H111" s="13" t="s">
        <v>674</v>
      </c>
      <c r="I111" s="13">
        <v>131</v>
      </c>
      <c r="J111" s="13">
        <v>5113</v>
      </c>
      <c r="K111" s="13" t="s">
        <v>21</v>
      </c>
      <c r="L111" s="13">
        <v>1</v>
      </c>
      <c r="M111" s="21">
        <v>322581</v>
      </c>
      <c r="N111" s="21">
        <f t="shared" si="5"/>
        <v>322581</v>
      </c>
      <c r="O111" s="13" t="s">
        <v>22</v>
      </c>
      <c r="P111" s="13">
        <v>30</v>
      </c>
    </row>
    <row r="112" spans="1:16" ht="15" customHeight="1" x14ac:dyDescent="0.2">
      <c r="A112" s="13" t="s">
        <v>18</v>
      </c>
      <c r="B112" s="14">
        <v>45923</v>
      </c>
      <c r="C112" s="15">
        <f t="shared" si="4"/>
        <v>118</v>
      </c>
      <c r="D112" s="13">
        <v>1</v>
      </c>
      <c r="G112" s="15" t="s">
        <v>675</v>
      </c>
      <c r="H112" s="13" t="s">
        <v>676</v>
      </c>
      <c r="I112" s="13">
        <v>64277</v>
      </c>
      <c r="J112" s="13">
        <v>331</v>
      </c>
      <c r="K112" s="13" t="s">
        <v>21</v>
      </c>
      <c r="L112" s="13">
        <v>1</v>
      </c>
      <c r="M112" s="21">
        <v>1617840</v>
      </c>
      <c r="N112" s="21">
        <f t="shared" si="5"/>
        <v>1617840</v>
      </c>
      <c r="O112" s="13" t="s">
        <v>22</v>
      </c>
      <c r="P112" s="13">
        <v>53</v>
      </c>
    </row>
    <row r="113" spans="1:16" ht="15" customHeight="1" x14ac:dyDescent="0.2">
      <c r="A113" s="13" t="s">
        <v>18</v>
      </c>
      <c r="B113" s="14">
        <v>45923</v>
      </c>
      <c r="C113" s="15">
        <f t="shared" si="4"/>
        <v>119</v>
      </c>
      <c r="D113" s="13">
        <v>1</v>
      </c>
      <c r="G113" s="15" t="s">
        <v>677</v>
      </c>
      <c r="H113" s="13" t="s">
        <v>678</v>
      </c>
      <c r="I113" s="13">
        <v>64277</v>
      </c>
      <c r="J113" s="13">
        <v>331</v>
      </c>
      <c r="K113" s="13" t="s">
        <v>21</v>
      </c>
      <c r="L113" s="13">
        <v>1</v>
      </c>
      <c r="M113" s="21">
        <v>5955000</v>
      </c>
      <c r="N113" s="21">
        <f t="shared" si="5"/>
        <v>5955000</v>
      </c>
      <c r="O113" s="13" t="s">
        <v>22</v>
      </c>
      <c r="P113" s="13">
        <v>54</v>
      </c>
    </row>
    <row r="114" spans="1:16" ht="15" customHeight="1" x14ac:dyDescent="0.2">
      <c r="A114" s="13" t="s">
        <v>368</v>
      </c>
      <c r="B114" s="14">
        <v>45923</v>
      </c>
      <c r="C114" s="15">
        <f t="shared" si="4"/>
        <v>120</v>
      </c>
      <c r="D114" s="13">
        <v>1</v>
      </c>
      <c r="G114" s="15" t="s">
        <v>675</v>
      </c>
      <c r="H114" s="13" t="s">
        <v>596</v>
      </c>
      <c r="I114" s="13">
        <v>331</v>
      </c>
      <c r="J114" s="13">
        <v>1111</v>
      </c>
      <c r="K114" s="13" t="s">
        <v>21</v>
      </c>
      <c r="L114" s="13">
        <v>1</v>
      </c>
      <c r="M114" s="21">
        <v>1617840</v>
      </c>
      <c r="N114" s="21">
        <f t="shared" si="5"/>
        <v>1617840</v>
      </c>
      <c r="O114" s="13" t="s">
        <v>22</v>
      </c>
      <c r="P114" s="13">
        <v>118</v>
      </c>
    </row>
    <row r="115" spans="1:16" ht="15" customHeight="1" x14ac:dyDescent="0.2">
      <c r="A115" s="13" t="s">
        <v>368</v>
      </c>
      <c r="B115" s="14">
        <v>45923</v>
      </c>
      <c r="C115" s="15">
        <f t="shared" si="4"/>
        <v>121</v>
      </c>
      <c r="D115" s="13">
        <v>1</v>
      </c>
      <c r="G115" s="15" t="s">
        <v>677</v>
      </c>
      <c r="H115" s="13" t="s">
        <v>671</v>
      </c>
      <c r="I115" s="13">
        <v>331</v>
      </c>
      <c r="J115" s="13">
        <v>1111</v>
      </c>
      <c r="K115" s="13" t="s">
        <v>21</v>
      </c>
      <c r="L115" s="13">
        <v>1</v>
      </c>
      <c r="M115" s="21">
        <v>5955000</v>
      </c>
      <c r="N115" s="21">
        <f t="shared" si="5"/>
        <v>5955000</v>
      </c>
      <c r="O115" s="13" t="s">
        <v>22</v>
      </c>
      <c r="P115" s="13">
        <v>119</v>
      </c>
    </row>
    <row r="116" spans="1:16" ht="15" customHeight="1" x14ac:dyDescent="0.2">
      <c r="A116" s="13" t="s">
        <v>33</v>
      </c>
      <c r="B116" s="14">
        <v>45924</v>
      </c>
      <c r="C116" s="15">
        <f t="shared" si="4"/>
        <v>122</v>
      </c>
      <c r="D116" s="13">
        <v>1</v>
      </c>
      <c r="G116" s="15" t="s">
        <v>656</v>
      </c>
      <c r="H116" s="13" t="s">
        <v>679</v>
      </c>
      <c r="I116" s="13">
        <v>112111</v>
      </c>
      <c r="J116" s="13">
        <v>131</v>
      </c>
      <c r="K116" s="13" t="s">
        <v>21</v>
      </c>
      <c r="L116" s="13">
        <v>1</v>
      </c>
      <c r="M116" s="21">
        <v>8467742</v>
      </c>
      <c r="N116" s="21">
        <f t="shared" si="5"/>
        <v>8467742</v>
      </c>
      <c r="O116" s="13" t="s">
        <v>22</v>
      </c>
      <c r="P116" s="13">
        <v>98</v>
      </c>
    </row>
    <row r="117" spans="1:16" ht="15" customHeight="1" x14ac:dyDescent="0.2">
      <c r="A117" s="13" t="s">
        <v>18</v>
      </c>
      <c r="B117" s="14">
        <v>45925</v>
      </c>
      <c r="C117" s="15">
        <f t="shared" si="4"/>
        <v>123</v>
      </c>
      <c r="D117" s="13">
        <v>1</v>
      </c>
      <c r="G117" s="15" t="s">
        <v>96</v>
      </c>
      <c r="H117" s="13" t="s">
        <v>680</v>
      </c>
      <c r="I117" s="13">
        <v>131</v>
      </c>
      <c r="J117" s="13">
        <v>5113</v>
      </c>
      <c r="K117" s="13" t="s">
        <v>21</v>
      </c>
      <c r="L117" s="13">
        <v>1</v>
      </c>
      <c r="M117" s="21">
        <v>5376344</v>
      </c>
      <c r="N117" s="21">
        <f t="shared" si="5"/>
        <v>5376344</v>
      </c>
      <c r="O117" s="13" t="s">
        <v>22</v>
      </c>
      <c r="P117" s="13">
        <v>31</v>
      </c>
    </row>
    <row r="118" spans="1:16" ht="15" customHeight="1" x14ac:dyDescent="0.2">
      <c r="A118" s="13" t="s">
        <v>18</v>
      </c>
      <c r="B118" s="14">
        <v>45925</v>
      </c>
      <c r="C118" s="15">
        <f t="shared" si="4"/>
        <v>124</v>
      </c>
      <c r="D118" s="13">
        <v>1</v>
      </c>
      <c r="G118" s="15" t="s">
        <v>96</v>
      </c>
      <c r="H118" s="13" t="s">
        <v>681</v>
      </c>
      <c r="I118" s="13">
        <v>131</v>
      </c>
      <c r="J118" s="13">
        <v>5113</v>
      </c>
      <c r="K118" s="13" t="s">
        <v>21</v>
      </c>
      <c r="L118" s="13">
        <v>1</v>
      </c>
      <c r="M118" s="21">
        <v>12903226</v>
      </c>
      <c r="N118" s="21">
        <f t="shared" si="5"/>
        <v>12903226</v>
      </c>
      <c r="O118" s="13" t="s">
        <v>22</v>
      </c>
      <c r="P118" s="13">
        <v>32</v>
      </c>
    </row>
    <row r="119" spans="1:16" ht="15" customHeight="1" x14ac:dyDescent="0.2">
      <c r="A119" s="13" t="s">
        <v>18</v>
      </c>
      <c r="B119" s="14">
        <v>45925</v>
      </c>
      <c r="C119" s="15">
        <f t="shared" si="4"/>
        <v>125</v>
      </c>
      <c r="D119" s="13">
        <v>1</v>
      </c>
      <c r="G119" s="15" t="s">
        <v>682</v>
      </c>
      <c r="H119" s="13" t="s">
        <v>683</v>
      </c>
      <c r="I119" s="13">
        <v>64277</v>
      </c>
      <c r="J119" s="13">
        <v>331</v>
      </c>
      <c r="K119" s="13" t="s">
        <v>21</v>
      </c>
      <c r="L119" s="13">
        <v>1</v>
      </c>
      <c r="M119" s="21">
        <v>944000</v>
      </c>
      <c r="N119" s="21">
        <f t="shared" si="5"/>
        <v>944000</v>
      </c>
      <c r="O119" s="13" t="s">
        <v>22</v>
      </c>
      <c r="P119" s="13">
        <v>55</v>
      </c>
    </row>
    <row r="120" spans="1:16" ht="15" customHeight="1" x14ac:dyDescent="0.2">
      <c r="A120" s="13" t="s">
        <v>368</v>
      </c>
      <c r="B120" s="14">
        <v>45925</v>
      </c>
      <c r="C120" s="15">
        <f t="shared" si="4"/>
        <v>126</v>
      </c>
      <c r="D120" s="13">
        <v>1</v>
      </c>
      <c r="G120" s="15" t="s">
        <v>682</v>
      </c>
      <c r="H120" s="13" t="s">
        <v>684</v>
      </c>
      <c r="I120" s="13">
        <v>331</v>
      </c>
      <c r="J120" s="13">
        <v>1111</v>
      </c>
      <c r="K120" s="13" t="s">
        <v>21</v>
      </c>
      <c r="L120" s="13">
        <v>1</v>
      </c>
      <c r="M120" s="21">
        <v>944000</v>
      </c>
      <c r="N120" s="21">
        <f t="shared" si="5"/>
        <v>944000</v>
      </c>
      <c r="O120" s="13" t="s">
        <v>22</v>
      </c>
      <c r="P120" s="13">
        <v>120</v>
      </c>
    </row>
    <row r="121" spans="1:16" ht="15" customHeight="1" x14ac:dyDescent="0.2">
      <c r="A121" s="13" t="s">
        <v>89</v>
      </c>
      <c r="B121" s="14">
        <v>45927</v>
      </c>
      <c r="C121" s="15">
        <f t="shared" si="4"/>
        <v>127</v>
      </c>
      <c r="D121" s="13">
        <v>1</v>
      </c>
      <c r="G121" s="15" t="s">
        <v>128</v>
      </c>
      <c r="H121" s="13" t="s">
        <v>685</v>
      </c>
      <c r="I121" s="13">
        <v>112111</v>
      </c>
      <c r="J121" s="13">
        <v>5154</v>
      </c>
      <c r="K121" s="13" t="s">
        <v>21</v>
      </c>
      <c r="L121" s="13">
        <v>1</v>
      </c>
      <c r="M121" s="21">
        <v>1017</v>
      </c>
      <c r="N121" s="21">
        <f t="shared" si="5"/>
        <v>1017</v>
      </c>
      <c r="O121" s="13" t="s">
        <v>22</v>
      </c>
      <c r="P121" s="13">
        <v>99</v>
      </c>
    </row>
    <row r="122" spans="1:16" ht="15" customHeight="1" x14ac:dyDescent="0.2">
      <c r="A122" s="13" t="s">
        <v>89</v>
      </c>
      <c r="B122" s="14">
        <v>45929</v>
      </c>
      <c r="C122" s="15">
        <f t="shared" si="4"/>
        <v>128</v>
      </c>
      <c r="D122" s="13">
        <v>1</v>
      </c>
      <c r="G122" s="15" t="s">
        <v>252</v>
      </c>
      <c r="H122" s="13" t="s">
        <v>686</v>
      </c>
      <c r="I122" s="13">
        <v>3383</v>
      </c>
      <c r="J122" s="13">
        <v>112111</v>
      </c>
      <c r="K122" s="13" t="s">
        <v>21</v>
      </c>
      <c r="L122" s="13">
        <v>1</v>
      </c>
      <c r="M122" s="16">
        <v>690300</v>
      </c>
      <c r="N122" s="21">
        <f t="shared" si="5"/>
        <v>690300</v>
      </c>
      <c r="O122" s="13" t="s">
        <v>22</v>
      </c>
      <c r="P122" s="13">
        <v>100</v>
      </c>
    </row>
    <row r="123" spans="1:16" ht="15" customHeight="1" x14ac:dyDescent="0.2">
      <c r="A123" s="13" t="s">
        <v>18</v>
      </c>
      <c r="B123" s="14">
        <v>45930</v>
      </c>
      <c r="C123" s="15">
        <f t="shared" si="4"/>
        <v>129</v>
      </c>
      <c r="D123" s="13">
        <v>1</v>
      </c>
      <c r="G123" s="15" t="s">
        <v>252</v>
      </c>
      <c r="H123" s="13" t="s">
        <v>367</v>
      </c>
      <c r="I123" s="13">
        <v>64271</v>
      </c>
      <c r="J123" s="13">
        <v>3383</v>
      </c>
      <c r="K123" s="13" t="s">
        <v>21</v>
      </c>
      <c r="L123" s="13">
        <v>1</v>
      </c>
      <c r="M123" s="16">
        <v>690300</v>
      </c>
      <c r="N123" s="16">
        <f t="shared" si="5"/>
        <v>690300</v>
      </c>
      <c r="O123" s="13" t="s">
        <v>22</v>
      </c>
      <c r="P123" s="13">
        <v>58</v>
      </c>
    </row>
  </sheetData>
  <autoFilter ref="A3:P123" xr:uid="{00000000-0009-0000-0000-000001000000}">
    <sortState xmlns:xlrd2="http://schemas.microsoft.com/office/spreadsheetml/2017/richdata2" ref="A4:P123">
      <sortCondition ref="B3:B123"/>
    </sortState>
  </autoFilter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2"/>
  <sheetViews>
    <sheetView topLeftCell="A81" zoomScaleNormal="100" workbookViewId="0">
      <selection activeCell="H102" sqref="H102"/>
    </sheetView>
  </sheetViews>
  <sheetFormatPr defaultRowHeight="15" customHeight="1" x14ac:dyDescent="0.2"/>
  <cols>
    <col min="1" max="1" width="9.140625" style="13"/>
    <col min="2" max="3" width="10.7109375" style="13" bestFit="1" customWidth="1"/>
    <col min="4" max="5" width="9.140625" style="13"/>
    <col min="6" max="6" width="9.140625" style="15"/>
    <col min="7" max="7" width="14.85546875" style="15" bestFit="1" customWidth="1"/>
    <col min="8" max="8" width="48" style="15" customWidth="1"/>
    <col min="9" max="12" width="9.140625" style="13"/>
    <col min="13" max="14" width="11.5703125" style="21" bestFit="1" customWidth="1"/>
    <col min="15" max="16384" width="9.140625" style="13"/>
  </cols>
  <sheetData>
    <row r="1" spans="1:16" ht="15" customHeight="1" thickBot="1" x14ac:dyDescent="0.25">
      <c r="A1" s="125" t="s">
        <v>0</v>
      </c>
      <c r="B1" s="125" t="s">
        <v>1</v>
      </c>
      <c r="C1" s="125" t="s">
        <v>2</v>
      </c>
      <c r="D1" s="127" t="s">
        <v>3</v>
      </c>
      <c r="E1" s="132" t="s">
        <v>4</v>
      </c>
      <c r="F1" s="132" t="s">
        <v>5</v>
      </c>
      <c r="G1" s="119" t="s">
        <v>6</v>
      </c>
      <c r="H1" s="135" t="s">
        <v>7</v>
      </c>
      <c r="I1" s="123" t="s">
        <v>8</v>
      </c>
      <c r="J1" s="124"/>
      <c r="K1" s="125" t="s">
        <v>9</v>
      </c>
      <c r="L1" s="125" t="s">
        <v>10</v>
      </c>
      <c r="M1" s="130" t="s">
        <v>11</v>
      </c>
      <c r="N1" s="130" t="s">
        <v>12</v>
      </c>
      <c r="O1" s="1"/>
    </row>
    <row r="2" spans="1:16" ht="15" customHeight="1" thickBot="1" x14ac:dyDescent="0.25">
      <c r="A2" s="126"/>
      <c r="B2" s="126"/>
      <c r="C2" s="126"/>
      <c r="D2" s="129"/>
      <c r="E2" s="133"/>
      <c r="F2" s="134"/>
      <c r="G2" s="120"/>
      <c r="H2" s="136"/>
      <c r="I2" s="19" t="s">
        <v>13</v>
      </c>
      <c r="J2" s="3" t="s">
        <v>14</v>
      </c>
      <c r="K2" s="126"/>
      <c r="L2" s="126"/>
      <c r="M2" s="131"/>
      <c r="N2" s="131"/>
      <c r="O2" s="4"/>
    </row>
    <row r="3" spans="1:16" ht="15" customHeight="1" x14ac:dyDescent="0.2">
      <c r="A3" s="5"/>
      <c r="B3" s="6"/>
      <c r="C3" s="5" t="s">
        <v>687</v>
      </c>
      <c r="D3" s="7"/>
      <c r="E3" s="7"/>
      <c r="F3" s="7"/>
      <c r="G3" s="5" t="s">
        <v>15</v>
      </c>
      <c r="H3" s="8"/>
      <c r="I3" s="9"/>
      <c r="J3" s="9"/>
      <c r="K3" s="10"/>
      <c r="L3" s="11"/>
      <c r="M3" s="20"/>
      <c r="N3" s="20"/>
      <c r="O3" s="13" t="s">
        <v>16</v>
      </c>
      <c r="P3" s="13" t="s">
        <v>17</v>
      </c>
    </row>
    <row r="4" spans="1:16" ht="15" customHeight="1" x14ac:dyDescent="0.2">
      <c r="A4" s="13" t="s">
        <v>18</v>
      </c>
      <c r="B4" s="14">
        <v>45841</v>
      </c>
      <c r="C4" s="15">
        <f>C3+D4</f>
        <v>78</v>
      </c>
      <c r="D4" s="13">
        <v>1</v>
      </c>
      <c r="G4" s="15" t="s">
        <v>158</v>
      </c>
      <c r="H4" s="15" t="s">
        <v>688</v>
      </c>
      <c r="I4" s="22">
        <v>64277</v>
      </c>
      <c r="J4" s="13">
        <v>331</v>
      </c>
      <c r="K4" s="13" t="s">
        <v>21</v>
      </c>
      <c r="L4" s="13">
        <v>1</v>
      </c>
      <c r="M4" s="21">
        <v>3240000</v>
      </c>
      <c r="N4" s="21">
        <f>L4*M4</f>
        <v>3240000</v>
      </c>
      <c r="O4" s="13" t="s">
        <v>22</v>
      </c>
    </row>
    <row r="5" spans="1:16" ht="15" customHeight="1" x14ac:dyDescent="0.2">
      <c r="A5" s="13" t="s">
        <v>18</v>
      </c>
      <c r="B5" s="14">
        <v>45857</v>
      </c>
      <c r="C5" s="15">
        <f t="shared" ref="C5:C68" si="0">C4+D5</f>
        <v>79</v>
      </c>
      <c r="D5" s="13">
        <v>1</v>
      </c>
      <c r="G5" s="15" t="s">
        <v>689</v>
      </c>
      <c r="H5" s="15" t="s">
        <v>690</v>
      </c>
      <c r="I5" s="13">
        <v>64277</v>
      </c>
      <c r="J5" s="13">
        <v>331</v>
      </c>
      <c r="K5" s="13" t="s">
        <v>21</v>
      </c>
      <c r="L5" s="13">
        <v>1</v>
      </c>
      <c r="M5" s="21">
        <v>2381260</v>
      </c>
      <c r="N5" s="21">
        <f t="shared" ref="N5:N25" si="1">L5*M5</f>
        <v>2381260</v>
      </c>
      <c r="O5" s="13" t="s">
        <v>22</v>
      </c>
    </row>
    <row r="6" spans="1:16" ht="15" customHeight="1" x14ac:dyDescent="0.2">
      <c r="A6" s="13" t="s">
        <v>18</v>
      </c>
      <c r="B6" s="14">
        <v>45863</v>
      </c>
      <c r="C6" s="15">
        <f t="shared" si="0"/>
        <v>80</v>
      </c>
      <c r="D6" s="13">
        <v>1</v>
      </c>
      <c r="G6" s="15" t="s">
        <v>691</v>
      </c>
      <c r="H6" s="15" t="s">
        <v>692</v>
      </c>
      <c r="I6" s="13">
        <v>64277</v>
      </c>
      <c r="J6" s="13">
        <v>331</v>
      </c>
      <c r="K6" s="13" t="s">
        <v>21</v>
      </c>
      <c r="L6" s="13">
        <v>1</v>
      </c>
      <c r="M6" s="21">
        <v>300240</v>
      </c>
      <c r="N6" s="21">
        <f t="shared" si="1"/>
        <v>300240</v>
      </c>
      <c r="O6" s="13" t="s">
        <v>22</v>
      </c>
    </row>
    <row r="7" spans="1:16" ht="15" customHeight="1" x14ac:dyDescent="0.2">
      <c r="A7" s="13" t="s">
        <v>18</v>
      </c>
      <c r="B7" s="14">
        <v>45866</v>
      </c>
      <c r="C7" s="15">
        <f t="shared" si="0"/>
        <v>81</v>
      </c>
      <c r="D7" s="13">
        <v>1</v>
      </c>
      <c r="G7" s="15" t="s">
        <v>693</v>
      </c>
      <c r="H7" s="15" t="s">
        <v>694</v>
      </c>
      <c r="I7" s="13">
        <v>64277</v>
      </c>
      <c r="J7" s="13">
        <v>331</v>
      </c>
      <c r="K7" s="13" t="s">
        <v>21</v>
      </c>
      <c r="L7" s="13">
        <v>1</v>
      </c>
      <c r="M7" s="21">
        <v>426600</v>
      </c>
      <c r="N7" s="21">
        <f t="shared" si="1"/>
        <v>426600</v>
      </c>
      <c r="O7" s="13" t="s">
        <v>22</v>
      </c>
    </row>
    <row r="8" spans="1:16" ht="15" customHeight="1" x14ac:dyDescent="0.2">
      <c r="A8" s="13" t="s">
        <v>18</v>
      </c>
      <c r="B8" s="14">
        <v>45867</v>
      </c>
      <c r="C8" s="15">
        <f t="shared" si="0"/>
        <v>82</v>
      </c>
      <c r="D8" s="13">
        <v>1</v>
      </c>
      <c r="G8" s="15" t="s">
        <v>695</v>
      </c>
      <c r="H8" s="15" t="s">
        <v>696</v>
      </c>
      <c r="I8" s="13">
        <v>64276</v>
      </c>
      <c r="J8" s="13">
        <v>331</v>
      </c>
      <c r="K8" s="13" t="s">
        <v>21</v>
      </c>
      <c r="L8" s="13">
        <v>1</v>
      </c>
      <c r="M8" s="21">
        <v>99000</v>
      </c>
      <c r="N8" s="21">
        <f t="shared" si="1"/>
        <v>99000</v>
      </c>
      <c r="O8" s="13" t="s">
        <v>22</v>
      </c>
    </row>
    <row r="9" spans="1:16" ht="15" customHeight="1" x14ac:dyDescent="0.2">
      <c r="A9" s="13" t="s">
        <v>18</v>
      </c>
      <c r="B9" s="14">
        <v>45868</v>
      </c>
      <c r="C9" s="15">
        <f t="shared" si="0"/>
        <v>83</v>
      </c>
      <c r="D9" s="13">
        <v>1</v>
      </c>
      <c r="G9" s="15" t="s">
        <v>697</v>
      </c>
      <c r="H9" s="15" t="s">
        <v>698</v>
      </c>
      <c r="I9" s="13">
        <v>64277</v>
      </c>
      <c r="J9" s="13">
        <v>331</v>
      </c>
      <c r="K9" s="13" t="s">
        <v>21</v>
      </c>
      <c r="L9" s="13">
        <v>1</v>
      </c>
      <c r="M9" s="21">
        <v>6000000</v>
      </c>
      <c r="N9" s="21">
        <f t="shared" si="1"/>
        <v>6000000</v>
      </c>
      <c r="O9" s="13" t="s">
        <v>22</v>
      </c>
    </row>
    <row r="10" spans="1:16" ht="15" customHeight="1" x14ac:dyDescent="0.2">
      <c r="A10" s="13" t="s">
        <v>18</v>
      </c>
      <c r="B10" s="14">
        <v>45869</v>
      </c>
      <c r="C10" s="15">
        <f t="shared" si="0"/>
        <v>84</v>
      </c>
      <c r="D10" s="13">
        <v>1</v>
      </c>
      <c r="G10" s="15" t="s">
        <v>699</v>
      </c>
      <c r="H10" s="15" t="s">
        <v>700</v>
      </c>
      <c r="I10" s="13">
        <v>64277</v>
      </c>
      <c r="J10" s="13">
        <v>331</v>
      </c>
      <c r="K10" s="13" t="s">
        <v>21</v>
      </c>
      <c r="L10" s="13">
        <v>1</v>
      </c>
      <c r="M10" s="21">
        <v>1504001</v>
      </c>
      <c r="N10" s="21">
        <f t="shared" si="1"/>
        <v>1504001</v>
      </c>
      <c r="O10" s="13" t="s">
        <v>22</v>
      </c>
    </row>
    <row r="11" spans="1:16" ht="15" customHeight="1" x14ac:dyDescent="0.2">
      <c r="A11" s="13" t="s">
        <v>18</v>
      </c>
      <c r="B11" s="14">
        <v>45869</v>
      </c>
      <c r="C11" s="15">
        <f t="shared" si="0"/>
        <v>85</v>
      </c>
      <c r="D11" s="13">
        <v>1</v>
      </c>
      <c r="G11" s="15" t="s">
        <v>701</v>
      </c>
      <c r="H11" s="15" t="s">
        <v>702</v>
      </c>
      <c r="I11" s="13">
        <v>64277</v>
      </c>
      <c r="J11" s="13">
        <v>331</v>
      </c>
      <c r="K11" s="13" t="s">
        <v>21</v>
      </c>
      <c r="L11" s="13">
        <v>1</v>
      </c>
      <c r="M11" s="21">
        <v>1015000</v>
      </c>
      <c r="N11" s="21">
        <f t="shared" si="1"/>
        <v>1015000</v>
      </c>
      <c r="O11" s="13" t="s">
        <v>22</v>
      </c>
    </row>
    <row r="12" spans="1:16" ht="15" customHeight="1" x14ac:dyDescent="0.2">
      <c r="A12" s="13" t="s">
        <v>18</v>
      </c>
      <c r="B12" s="14">
        <v>45869</v>
      </c>
      <c r="C12" s="15">
        <f t="shared" si="0"/>
        <v>86</v>
      </c>
      <c r="D12" s="13">
        <v>1</v>
      </c>
      <c r="G12" s="15" t="s">
        <v>703</v>
      </c>
      <c r="H12" s="15" t="s">
        <v>704</v>
      </c>
      <c r="I12" s="13">
        <v>64277</v>
      </c>
      <c r="J12" s="13">
        <v>331</v>
      </c>
      <c r="K12" s="13" t="s">
        <v>21</v>
      </c>
      <c r="L12" s="13">
        <v>1</v>
      </c>
      <c r="M12" s="21">
        <v>357500</v>
      </c>
      <c r="N12" s="21">
        <f t="shared" si="1"/>
        <v>357500</v>
      </c>
      <c r="O12" s="13" t="s">
        <v>22</v>
      </c>
    </row>
    <row r="13" spans="1:16" ht="15" customHeight="1" x14ac:dyDescent="0.2">
      <c r="A13" s="13" t="s">
        <v>18</v>
      </c>
      <c r="B13" s="14">
        <v>45869</v>
      </c>
      <c r="C13" s="15">
        <f t="shared" si="0"/>
        <v>87</v>
      </c>
      <c r="D13" s="13">
        <v>1</v>
      </c>
      <c r="G13" s="15" t="s">
        <v>158</v>
      </c>
      <c r="H13" s="15" t="s">
        <v>705</v>
      </c>
      <c r="I13" s="22">
        <v>64277</v>
      </c>
      <c r="J13" s="13">
        <v>331</v>
      </c>
      <c r="K13" s="13" t="s">
        <v>21</v>
      </c>
      <c r="L13" s="13">
        <v>1</v>
      </c>
      <c r="M13" s="21">
        <v>3240000</v>
      </c>
      <c r="N13" s="21">
        <f t="shared" si="1"/>
        <v>3240000</v>
      </c>
      <c r="O13" s="13" t="s">
        <v>22</v>
      </c>
    </row>
    <row r="14" spans="1:16" ht="15" customHeight="1" x14ac:dyDescent="0.2">
      <c r="A14" s="13" t="s">
        <v>18</v>
      </c>
      <c r="B14" s="14">
        <v>45870</v>
      </c>
      <c r="C14" s="15">
        <f t="shared" si="0"/>
        <v>88</v>
      </c>
      <c r="D14" s="13">
        <v>1</v>
      </c>
      <c r="G14" s="15" t="s">
        <v>706</v>
      </c>
      <c r="H14" s="15" t="s">
        <v>707</v>
      </c>
      <c r="I14" s="13">
        <v>64277</v>
      </c>
      <c r="J14" s="13">
        <v>331</v>
      </c>
      <c r="K14" s="13" t="s">
        <v>21</v>
      </c>
      <c r="L14" s="13">
        <v>1</v>
      </c>
      <c r="M14" s="21">
        <v>11861000</v>
      </c>
      <c r="N14" s="21">
        <f t="shared" si="1"/>
        <v>11861000</v>
      </c>
      <c r="O14" s="13" t="s">
        <v>22</v>
      </c>
    </row>
    <row r="15" spans="1:16" ht="15" customHeight="1" x14ac:dyDescent="0.2">
      <c r="A15" s="13" t="s">
        <v>18</v>
      </c>
      <c r="B15" s="14">
        <v>45878</v>
      </c>
      <c r="C15" s="15">
        <f t="shared" si="0"/>
        <v>89</v>
      </c>
      <c r="D15" s="13">
        <v>1</v>
      </c>
      <c r="G15" s="15" t="s">
        <v>708</v>
      </c>
      <c r="H15" s="15" t="s">
        <v>709</v>
      </c>
      <c r="I15" s="13">
        <v>64277</v>
      </c>
      <c r="J15" s="13">
        <v>331</v>
      </c>
      <c r="K15" s="13" t="s">
        <v>21</v>
      </c>
      <c r="L15" s="13">
        <v>1</v>
      </c>
      <c r="M15" s="21">
        <v>350000</v>
      </c>
      <c r="N15" s="21">
        <f t="shared" si="1"/>
        <v>350000</v>
      </c>
      <c r="O15" s="13" t="s">
        <v>22</v>
      </c>
    </row>
    <row r="16" spans="1:16" ht="15" customHeight="1" x14ac:dyDescent="0.2">
      <c r="A16" s="13" t="s">
        <v>18</v>
      </c>
      <c r="B16" s="14">
        <v>45894</v>
      </c>
      <c r="C16" s="15">
        <f t="shared" si="0"/>
        <v>90</v>
      </c>
      <c r="D16" s="13">
        <v>1</v>
      </c>
      <c r="G16" s="15" t="s">
        <v>710</v>
      </c>
      <c r="H16" s="15" t="s">
        <v>711</v>
      </c>
      <c r="I16" s="13">
        <v>64277</v>
      </c>
      <c r="J16" s="13">
        <v>331</v>
      </c>
      <c r="K16" s="13" t="s">
        <v>21</v>
      </c>
      <c r="L16" s="13">
        <v>1</v>
      </c>
      <c r="M16" s="21">
        <v>124000</v>
      </c>
      <c r="N16" s="21">
        <f t="shared" si="1"/>
        <v>124000</v>
      </c>
      <c r="O16" s="13" t="s">
        <v>22</v>
      </c>
    </row>
    <row r="17" spans="1:15" ht="15" customHeight="1" x14ac:dyDescent="0.2">
      <c r="A17" s="13" t="s">
        <v>18</v>
      </c>
      <c r="B17" s="14">
        <v>45899</v>
      </c>
      <c r="C17" s="15">
        <f t="shared" si="0"/>
        <v>91</v>
      </c>
      <c r="D17" s="13">
        <v>1</v>
      </c>
      <c r="G17" s="15" t="s">
        <v>712</v>
      </c>
      <c r="H17" s="15" t="s">
        <v>713</v>
      </c>
      <c r="I17" s="13">
        <v>64277</v>
      </c>
      <c r="J17" s="13">
        <v>331</v>
      </c>
      <c r="K17" s="13" t="s">
        <v>21</v>
      </c>
      <c r="L17" s="13">
        <v>1</v>
      </c>
      <c r="M17" s="21">
        <v>430920</v>
      </c>
      <c r="N17" s="21">
        <f t="shared" si="1"/>
        <v>430920</v>
      </c>
      <c r="O17" s="13" t="s">
        <v>22</v>
      </c>
    </row>
    <row r="18" spans="1:15" ht="15" customHeight="1" x14ac:dyDescent="0.2">
      <c r="A18" s="13" t="s">
        <v>18</v>
      </c>
      <c r="B18" s="14">
        <v>45900</v>
      </c>
      <c r="C18" s="15">
        <f t="shared" si="0"/>
        <v>92</v>
      </c>
      <c r="D18" s="13">
        <v>1</v>
      </c>
      <c r="G18" s="15" t="s">
        <v>158</v>
      </c>
      <c r="H18" s="15" t="s">
        <v>714</v>
      </c>
      <c r="I18" s="22">
        <v>64277</v>
      </c>
      <c r="J18" s="13">
        <v>331</v>
      </c>
      <c r="K18" s="13" t="s">
        <v>21</v>
      </c>
      <c r="L18" s="13">
        <v>1</v>
      </c>
      <c r="M18" s="21">
        <v>3240000</v>
      </c>
      <c r="N18" s="21">
        <f t="shared" si="1"/>
        <v>3240000</v>
      </c>
      <c r="O18" s="13" t="s">
        <v>22</v>
      </c>
    </row>
    <row r="19" spans="1:15" ht="15" customHeight="1" x14ac:dyDescent="0.2">
      <c r="A19" s="13" t="s">
        <v>18</v>
      </c>
      <c r="B19" s="14">
        <v>45921</v>
      </c>
      <c r="C19" s="15">
        <f t="shared" si="0"/>
        <v>93</v>
      </c>
      <c r="D19" s="13">
        <v>1</v>
      </c>
      <c r="G19" s="15" t="s">
        <v>715</v>
      </c>
      <c r="H19" s="15" t="s">
        <v>716</v>
      </c>
      <c r="I19" s="13">
        <v>64277</v>
      </c>
      <c r="J19" s="13">
        <v>331</v>
      </c>
      <c r="K19" s="13" t="s">
        <v>21</v>
      </c>
      <c r="L19" s="13">
        <v>1</v>
      </c>
      <c r="M19" s="21">
        <v>567773</v>
      </c>
      <c r="N19" s="21">
        <f t="shared" si="1"/>
        <v>567773</v>
      </c>
      <c r="O19" s="13" t="s">
        <v>22</v>
      </c>
    </row>
    <row r="20" spans="1:15" ht="15" customHeight="1" x14ac:dyDescent="0.2">
      <c r="A20" s="13" t="s">
        <v>18</v>
      </c>
      <c r="B20" s="14">
        <v>45921</v>
      </c>
      <c r="C20" s="15">
        <f t="shared" si="0"/>
        <v>94</v>
      </c>
      <c r="D20" s="13">
        <v>1</v>
      </c>
      <c r="G20" s="15" t="s">
        <v>717</v>
      </c>
      <c r="H20" s="15" t="s">
        <v>718</v>
      </c>
      <c r="I20" s="13">
        <v>64277</v>
      </c>
      <c r="J20" s="13">
        <v>331</v>
      </c>
      <c r="K20" s="13" t="s">
        <v>21</v>
      </c>
      <c r="L20" s="13">
        <v>1</v>
      </c>
      <c r="M20" s="21">
        <v>309960</v>
      </c>
      <c r="N20" s="21">
        <f t="shared" si="1"/>
        <v>309960</v>
      </c>
      <c r="O20" s="13" t="s">
        <v>22</v>
      </c>
    </row>
    <row r="21" spans="1:15" ht="15" customHeight="1" x14ac:dyDescent="0.2">
      <c r="A21" s="13" t="s">
        <v>18</v>
      </c>
      <c r="B21" s="14">
        <v>45925</v>
      </c>
      <c r="C21" s="15">
        <f t="shared" si="0"/>
        <v>95</v>
      </c>
      <c r="D21" s="13">
        <v>1</v>
      </c>
      <c r="G21" s="15" t="s">
        <v>719</v>
      </c>
      <c r="H21" s="15" t="s">
        <v>720</v>
      </c>
      <c r="I21" s="13">
        <v>64277</v>
      </c>
      <c r="J21" s="13">
        <v>331</v>
      </c>
      <c r="K21" s="13" t="s">
        <v>21</v>
      </c>
      <c r="L21" s="13">
        <v>1</v>
      </c>
      <c r="M21" s="21">
        <v>178000</v>
      </c>
      <c r="N21" s="21">
        <f t="shared" si="1"/>
        <v>178000</v>
      </c>
      <c r="O21" s="13" t="s">
        <v>22</v>
      </c>
    </row>
    <row r="22" spans="1:15" ht="15" customHeight="1" x14ac:dyDescent="0.2">
      <c r="A22" s="13" t="s">
        <v>18</v>
      </c>
      <c r="B22" s="14">
        <v>45925</v>
      </c>
      <c r="C22" s="15">
        <f t="shared" si="0"/>
        <v>96</v>
      </c>
      <c r="D22" s="13">
        <v>1</v>
      </c>
      <c r="G22" s="15" t="s">
        <v>721</v>
      </c>
      <c r="H22" s="15" t="s">
        <v>722</v>
      </c>
      <c r="I22" s="13">
        <v>64277</v>
      </c>
      <c r="J22" s="13">
        <v>331</v>
      </c>
      <c r="K22" s="13" t="s">
        <v>21</v>
      </c>
      <c r="L22" s="13">
        <v>1</v>
      </c>
      <c r="M22" s="21">
        <v>1198000</v>
      </c>
      <c r="N22" s="21">
        <f t="shared" si="1"/>
        <v>1198000</v>
      </c>
      <c r="O22" s="13" t="s">
        <v>22</v>
      </c>
    </row>
    <row r="23" spans="1:15" ht="15" customHeight="1" x14ac:dyDescent="0.2">
      <c r="A23" s="13" t="s">
        <v>18</v>
      </c>
      <c r="B23" s="14">
        <v>45925</v>
      </c>
      <c r="C23" s="15">
        <f t="shared" si="0"/>
        <v>97</v>
      </c>
      <c r="D23" s="13">
        <v>1</v>
      </c>
      <c r="G23" s="15" t="s">
        <v>723</v>
      </c>
      <c r="H23" s="15" t="s">
        <v>724</v>
      </c>
      <c r="I23" s="13">
        <v>64277</v>
      </c>
      <c r="J23" s="13">
        <v>331</v>
      </c>
      <c r="K23" s="13" t="s">
        <v>21</v>
      </c>
      <c r="L23" s="13">
        <v>1</v>
      </c>
      <c r="M23" s="21">
        <v>346820</v>
      </c>
      <c r="N23" s="21">
        <f t="shared" si="1"/>
        <v>346820</v>
      </c>
      <c r="O23" s="13" t="s">
        <v>22</v>
      </c>
    </row>
    <row r="24" spans="1:15" ht="15" customHeight="1" x14ac:dyDescent="0.2">
      <c r="A24" s="13" t="s">
        <v>18</v>
      </c>
      <c r="B24" s="14">
        <v>45926</v>
      </c>
      <c r="C24" s="15">
        <f t="shared" si="0"/>
        <v>98</v>
      </c>
      <c r="D24" s="13">
        <v>1</v>
      </c>
      <c r="G24" s="15" t="s">
        <v>46</v>
      </c>
      <c r="H24" s="15" t="s">
        <v>725</v>
      </c>
      <c r="I24" s="13">
        <v>64277</v>
      </c>
      <c r="J24" s="13">
        <v>331</v>
      </c>
      <c r="K24" s="13" t="s">
        <v>21</v>
      </c>
      <c r="L24" s="13">
        <v>1</v>
      </c>
      <c r="M24" s="21">
        <v>1140480</v>
      </c>
      <c r="N24" s="21">
        <f t="shared" si="1"/>
        <v>1140480</v>
      </c>
      <c r="O24" s="13" t="s">
        <v>22</v>
      </c>
    </row>
    <row r="25" spans="1:15" ht="15" customHeight="1" x14ac:dyDescent="0.2">
      <c r="A25" s="13" t="s">
        <v>18</v>
      </c>
      <c r="B25" s="14">
        <v>45928</v>
      </c>
      <c r="C25" s="15">
        <f t="shared" si="0"/>
        <v>99</v>
      </c>
      <c r="D25" s="13">
        <v>1</v>
      </c>
      <c r="G25" s="15" t="s">
        <v>719</v>
      </c>
      <c r="H25" s="15" t="s">
        <v>726</v>
      </c>
      <c r="I25" s="13">
        <v>64277</v>
      </c>
      <c r="J25" s="13">
        <v>331</v>
      </c>
      <c r="K25" s="13" t="s">
        <v>21</v>
      </c>
      <c r="L25" s="13">
        <v>1</v>
      </c>
      <c r="M25" s="21">
        <v>378000</v>
      </c>
      <c r="N25" s="21">
        <f t="shared" si="1"/>
        <v>378000</v>
      </c>
      <c r="O25" s="13" t="s">
        <v>22</v>
      </c>
    </row>
    <row r="26" spans="1:15" ht="15" customHeight="1" x14ac:dyDescent="0.2">
      <c r="A26" s="13" t="s">
        <v>368</v>
      </c>
      <c r="B26" s="14">
        <v>45841</v>
      </c>
      <c r="C26" s="15">
        <f t="shared" si="0"/>
        <v>100</v>
      </c>
      <c r="D26" s="13">
        <v>1</v>
      </c>
      <c r="G26" s="15" t="s">
        <v>158</v>
      </c>
      <c r="H26" s="15" t="s">
        <v>727</v>
      </c>
      <c r="I26" s="13">
        <v>331</v>
      </c>
      <c r="J26" s="13">
        <v>1111</v>
      </c>
      <c r="K26" s="13" t="s">
        <v>21</v>
      </c>
      <c r="L26" s="13">
        <v>1</v>
      </c>
      <c r="M26" s="21">
        <v>3240000</v>
      </c>
      <c r="N26" s="21">
        <f t="shared" ref="N26:N117" si="2">L26*M26</f>
        <v>3240000</v>
      </c>
      <c r="O26" s="13" t="s">
        <v>22</v>
      </c>
    </row>
    <row r="27" spans="1:15" ht="15" customHeight="1" x14ac:dyDescent="0.2">
      <c r="A27" s="13" t="s">
        <v>368</v>
      </c>
      <c r="B27" s="14">
        <v>45857</v>
      </c>
      <c r="C27" s="15">
        <f t="shared" si="0"/>
        <v>101</v>
      </c>
      <c r="D27" s="13">
        <v>1</v>
      </c>
      <c r="G27" s="15" t="s">
        <v>689</v>
      </c>
      <c r="H27" s="15" t="s">
        <v>728</v>
      </c>
      <c r="I27" s="13">
        <v>331</v>
      </c>
      <c r="J27" s="13">
        <v>1111</v>
      </c>
      <c r="K27" s="13" t="s">
        <v>21</v>
      </c>
      <c r="L27" s="13">
        <v>1</v>
      </c>
      <c r="M27" s="21">
        <v>2381260</v>
      </c>
      <c r="N27" s="21">
        <f t="shared" si="2"/>
        <v>2381260</v>
      </c>
      <c r="O27" s="13" t="s">
        <v>22</v>
      </c>
    </row>
    <row r="28" spans="1:15" ht="15" customHeight="1" x14ac:dyDescent="0.2">
      <c r="A28" s="13" t="s">
        <v>368</v>
      </c>
      <c r="B28" s="14">
        <v>45863</v>
      </c>
      <c r="C28" s="15">
        <f t="shared" si="0"/>
        <v>102</v>
      </c>
      <c r="D28" s="13">
        <v>1</v>
      </c>
      <c r="G28" s="15" t="s">
        <v>691</v>
      </c>
      <c r="H28" s="15" t="s">
        <v>729</v>
      </c>
      <c r="I28" s="13">
        <v>331</v>
      </c>
      <c r="J28" s="13">
        <v>1111</v>
      </c>
      <c r="K28" s="13" t="s">
        <v>21</v>
      </c>
      <c r="L28" s="13">
        <v>1</v>
      </c>
      <c r="M28" s="21">
        <v>300240</v>
      </c>
      <c r="N28" s="21">
        <f t="shared" si="2"/>
        <v>300240</v>
      </c>
      <c r="O28" s="13" t="s">
        <v>22</v>
      </c>
    </row>
    <row r="29" spans="1:15" ht="15" customHeight="1" x14ac:dyDescent="0.2">
      <c r="A29" s="13" t="s">
        <v>368</v>
      </c>
      <c r="B29" s="14">
        <v>45866</v>
      </c>
      <c r="C29" s="15">
        <f t="shared" si="0"/>
        <v>103</v>
      </c>
      <c r="D29" s="13">
        <v>1</v>
      </c>
      <c r="G29" s="15" t="s">
        <v>693</v>
      </c>
      <c r="H29" s="15" t="s">
        <v>730</v>
      </c>
      <c r="I29" s="13">
        <v>331</v>
      </c>
      <c r="J29" s="13">
        <v>1111</v>
      </c>
      <c r="K29" s="13" t="s">
        <v>21</v>
      </c>
      <c r="L29" s="13">
        <v>1</v>
      </c>
      <c r="M29" s="21">
        <v>426600</v>
      </c>
      <c r="N29" s="21">
        <f t="shared" si="2"/>
        <v>426600</v>
      </c>
      <c r="O29" s="13" t="s">
        <v>22</v>
      </c>
    </row>
    <row r="30" spans="1:15" ht="15" customHeight="1" x14ac:dyDescent="0.2">
      <c r="A30" s="13" t="s">
        <v>368</v>
      </c>
      <c r="B30" s="14">
        <v>45867</v>
      </c>
      <c r="C30" s="15">
        <f t="shared" si="0"/>
        <v>104</v>
      </c>
      <c r="D30" s="13">
        <v>1</v>
      </c>
      <c r="G30" s="15" t="s">
        <v>695</v>
      </c>
      <c r="H30" s="15" t="s">
        <v>731</v>
      </c>
      <c r="I30" s="13">
        <v>331</v>
      </c>
      <c r="J30" s="13">
        <v>1111</v>
      </c>
      <c r="K30" s="13" t="s">
        <v>21</v>
      </c>
      <c r="L30" s="13">
        <v>1</v>
      </c>
      <c r="M30" s="21">
        <v>99000</v>
      </c>
      <c r="N30" s="21">
        <f t="shared" si="2"/>
        <v>99000</v>
      </c>
      <c r="O30" s="13" t="s">
        <v>22</v>
      </c>
    </row>
    <row r="31" spans="1:15" ht="15" customHeight="1" x14ac:dyDescent="0.2">
      <c r="A31" s="13" t="s">
        <v>368</v>
      </c>
      <c r="B31" s="14">
        <v>45868</v>
      </c>
      <c r="C31" s="15">
        <f t="shared" si="0"/>
        <v>105</v>
      </c>
      <c r="D31" s="13">
        <v>1</v>
      </c>
      <c r="G31" s="15" t="s">
        <v>697</v>
      </c>
      <c r="H31" s="15" t="s">
        <v>732</v>
      </c>
      <c r="I31" s="13">
        <v>331</v>
      </c>
      <c r="J31" s="13">
        <v>1111</v>
      </c>
      <c r="K31" s="13" t="s">
        <v>21</v>
      </c>
      <c r="L31" s="13">
        <v>1</v>
      </c>
      <c r="M31" s="21">
        <v>6000000</v>
      </c>
      <c r="N31" s="21">
        <f t="shared" si="2"/>
        <v>6000000</v>
      </c>
      <c r="O31" s="13" t="s">
        <v>22</v>
      </c>
    </row>
    <row r="32" spans="1:15" ht="15" customHeight="1" x14ac:dyDescent="0.2">
      <c r="A32" s="13" t="s">
        <v>368</v>
      </c>
      <c r="B32" s="14">
        <v>45869</v>
      </c>
      <c r="C32" s="15">
        <f t="shared" si="0"/>
        <v>106</v>
      </c>
      <c r="D32" s="13">
        <v>1</v>
      </c>
      <c r="G32" s="15" t="s">
        <v>699</v>
      </c>
      <c r="H32" s="15" t="s">
        <v>733</v>
      </c>
      <c r="I32" s="13">
        <v>331</v>
      </c>
      <c r="J32" s="13">
        <v>1111</v>
      </c>
      <c r="K32" s="13" t="s">
        <v>21</v>
      </c>
      <c r="L32" s="13">
        <v>1</v>
      </c>
      <c r="M32" s="21">
        <v>1504001</v>
      </c>
      <c r="N32" s="21">
        <f t="shared" si="2"/>
        <v>1504001</v>
      </c>
      <c r="O32" s="13" t="s">
        <v>22</v>
      </c>
    </row>
    <row r="33" spans="1:15" ht="15" customHeight="1" x14ac:dyDescent="0.2">
      <c r="A33" s="13" t="s">
        <v>368</v>
      </c>
      <c r="B33" s="14">
        <v>45869</v>
      </c>
      <c r="C33" s="15">
        <f t="shared" si="0"/>
        <v>107</v>
      </c>
      <c r="D33" s="13">
        <v>1</v>
      </c>
      <c r="G33" s="15" t="s">
        <v>701</v>
      </c>
      <c r="H33" s="15" t="s">
        <v>734</v>
      </c>
      <c r="I33" s="13">
        <v>331</v>
      </c>
      <c r="J33" s="13">
        <v>1111</v>
      </c>
      <c r="K33" s="13" t="s">
        <v>21</v>
      </c>
      <c r="L33" s="13">
        <v>1</v>
      </c>
      <c r="M33" s="21">
        <v>1015000</v>
      </c>
      <c r="N33" s="21">
        <f t="shared" si="2"/>
        <v>1015000</v>
      </c>
      <c r="O33" s="13" t="s">
        <v>22</v>
      </c>
    </row>
    <row r="34" spans="1:15" ht="15" customHeight="1" x14ac:dyDescent="0.2">
      <c r="A34" s="13" t="s">
        <v>368</v>
      </c>
      <c r="B34" s="14">
        <v>45869</v>
      </c>
      <c r="C34" s="15">
        <f t="shared" si="0"/>
        <v>108</v>
      </c>
      <c r="D34" s="13">
        <v>1</v>
      </c>
      <c r="G34" s="15" t="s">
        <v>703</v>
      </c>
      <c r="H34" s="15" t="s">
        <v>735</v>
      </c>
      <c r="I34" s="13">
        <v>331</v>
      </c>
      <c r="J34" s="13">
        <v>1111</v>
      </c>
      <c r="K34" s="13" t="s">
        <v>21</v>
      </c>
      <c r="L34" s="13">
        <v>1</v>
      </c>
      <c r="M34" s="21">
        <v>357500</v>
      </c>
      <c r="N34" s="21">
        <f t="shared" si="2"/>
        <v>357500</v>
      </c>
      <c r="O34" s="13" t="s">
        <v>22</v>
      </c>
    </row>
    <row r="35" spans="1:15" ht="15" customHeight="1" x14ac:dyDescent="0.2">
      <c r="A35" s="13" t="s">
        <v>368</v>
      </c>
      <c r="B35" s="14">
        <v>45869</v>
      </c>
      <c r="C35" s="15">
        <f t="shared" si="0"/>
        <v>109</v>
      </c>
      <c r="D35" s="13">
        <v>1</v>
      </c>
      <c r="G35" s="15" t="s">
        <v>158</v>
      </c>
      <c r="H35" s="15" t="s">
        <v>736</v>
      </c>
      <c r="I35" s="13">
        <v>331</v>
      </c>
      <c r="J35" s="13">
        <v>1111</v>
      </c>
      <c r="K35" s="13" t="s">
        <v>21</v>
      </c>
      <c r="L35" s="13">
        <v>1</v>
      </c>
      <c r="M35" s="21">
        <v>3240000</v>
      </c>
      <c r="N35" s="21">
        <f t="shared" si="2"/>
        <v>3240000</v>
      </c>
      <c r="O35" s="13" t="s">
        <v>22</v>
      </c>
    </row>
    <row r="36" spans="1:15" ht="15" customHeight="1" x14ac:dyDescent="0.2">
      <c r="A36" s="13" t="s">
        <v>368</v>
      </c>
      <c r="B36" s="14">
        <v>45870</v>
      </c>
      <c r="C36" s="15">
        <f t="shared" si="0"/>
        <v>110</v>
      </c>
      <c r="D36" s="13">
        <v>1</v>
      </c>
      <c r="G36" s="15" t="s">
        <v>706</v>
      </c>
      <c r="H36" s="15" t="s">
        <v>737</v>
      </c>
      <c r="I36" s="13">
        <v>331</v>
      </c>
      <c r="J36" s="13">
        <v>1111</v>
      </c>
      <c r="K36" s="13" t="s">
        <v>21</v>
      </c>
      <c r="L36" s="13">
        <v>1</v>
      </c>
      <c r="M36" s="21">
        <v>11861000</v>
      </c>
      <c r="N36" s="21">
        <f t="shared" si="2"/>
        <v>11861000</v>
      </c>
      <c r="O36" s="13" t="s">
        <v>22</v>
      </c>
    </row>
    <row r="37" spans="1:15" ht="15" customHeight="1" x14ac:dyDescent="0.2">
      <c r="A37" s="13" t="s">
        <v>368</v>
      </c>
      <c r="B37" s="14">
        <v>45878</v>
      </c>
      <c r="C37" s="15">
        <f t="shared" si="0"/>
        <v>111</v>
      </c>
      <c r="D37" s="13">
        <v>1</v>
      </c>
      <c r="G37" s="15" t="s">
        <v>708</v>
      </c>
      <c r="H37" s="15" t="s">
        <v>738</v>
      </c>
      <c r="I37" s="13">
        <v>331</v>
      </c>
      <c r="J37" s="13">
        <v>1111</v>
      </c>
      <c r="K37" s="13" t="s">
        <v>21</v>
      </c>
      <c r="L37" s="13">
        <v>1</v>
      </c>
      <c r="M37" s="21">
        <v>350000</v>
      </c>
      <c r="N37" s="21">
        <f t="shared" si="2"/>
        <v>350000</v>
      </c>
      <c r="O37" s="13" t="s">
        <v>22</v>
      </c>
    </row>
    <row r="38" spans="1:15" ht="15" customHeight="1" x14ac:dyDescent="0.2">
      <c r="A38" s="13" t="s">
        <v>368</v>
      </c>
      <c r="B38" s="14">
        <v>45894</v>
      </c>
      <c r="C38" s="15">
        <f t="shared" si="0"/>
        <v>112</v>
      </c>
      <c r="D38" s="13">
        <v>1</v>
      </c>
      <c r="G38" s="15" t="s">
        <v>710</v>
      </c>
      <c r="H38" s="15" t="s">
        <v>739</v>
      </c>
      <c r="I38" s="13">
        <v>331</v>
      </c>
      <c r="J38" s="13">
        <v>1111</v>
      </c>
      <c r="K38" s="13" t="s">
        <v>21</v>
      </c>
      <c r="L38" s="13">
        <v>1</v>
      </c>
      <c r="M38" s="21">
        <v>124000</v>
      </c>
      <c r="N38" s="21">
        <f t="shared" si="2"/>
        <v>124000</v>
      </c>
      <c r="O38" s="13" t="s">
        <v>22</v>
      </c>
    </row>
    <row r="39" spans="1:15" ht="15" customHeight="1" x14ac:dyDescent="0.2">
      <c r="A39" s="13" t="s">
        <v>368</v>
      </c>
      <c r="B39" s="14">
        <v>45899</v>
      </c>
      <c r="C39" s="15">
        <f t="shared" si="0"/>
        <v>113</v>
      </c>
      <c r="D39" s="13">
        <v>1</v>
      </c>
      <c r="G39" s="15" t="s">
        <v>712</v>
      </c>
      <c r="H39" s="15" t="s">
        <v>740</v>
      </c>
      <c r="I39" s="13">
        <v>331</v>
      </c>
      <c r="J39" s="13">
        <v>1111</v>
      </c>
      <c r="K39" s="13" t="s">
        <v>21</v>
      </c>
      <c r="L39" s="13">
        <v>1</v>
      </c>
      <c r="M39" s="21">
        <v>430920</v>
      </c>
      <c r="N39" s="21">
        <f t="shared" si="2"/>
        <v>430920</v>
      </c>
      <c r="O39" s="13" t="s">
        <v>22</v>
      </c>
    </row>
    <row r="40" spans="1:15" ht="15" customHeight="1" x14ac:dyDescent="0.2">
      <c r="A40" s="13" t="s">
        <v>368</v>
      </c>
      <c r="B40" s="14">
        <v>45900</v>
      </c>
      <c r="C40" s="15">
        <f t="shared" si="0"/>
        <v>114</v>
      </c>
      <c r="D40" s="13">
        <v>1</v>
      </c>
      <c r="G40" s="15" t="s">
        <v>158</v>
      </c>
      <c r="H40" s="15" t="s">
        <v>741</v>
      </c>
      <c r="I40" s="13">
        <v>331</v>
      </c>
      <c r="J40" s="13">
        <v>1111</v>
      </c>
      <c r="K40" s="13" t="s">
        <v>21</v>
      </c>
      <c r="L40" s="13">
        <v>1</v>
      </c>
      <c r="M40" s="21">
        <v>3240000</v>
      </c>
      <c r="N40" s="21">
        <f t="shared" si="2"/>
        <v>3240000</v>
      </c>
      <c r="O40" s="13" t="s">
        <v>22</v>
      </c>
    </row>
    <row r="41" spans="1:15" ht="15" customHeight="1" x14ac:dyDescent="0.2">
      <c r="A41" s="13" t="s">
        <v>368</v>
      </c>
      <c r="B41" s="14">
        <v>45921</v>
      </c>
      <c r="C41" s="15">
        <f t="shared" si="0"/>
        <v>115</v>
      </c>
      <c r="D41" s="13">
        <v>1</v>
      </c>
      <c r="G41" s="15" t="s">
        <v>715</v>
      </c>
      <c r="H41" s="15" t="s">
        <v>742</v>
      </c>
      <c r="I41" s="13">
        <v>331</v>
      </c>
      <c r="J41" s="13">
        <v>1111</v>
      </c>
      <c r="K41" s="13" t="s">
        <v>21</v>
      </c>
      <c r="L41" s="13">
        <v>1</v>
      </c>
      <c r="M41" s="21">
        <v>567773</v>
      </c>
      <c r="N41" s="21">
        <f t="shared" si="2"/>
        <v>567773</v>
      </c>
      <c r="O41" s="13" t="s">
        <v>22</v>
      </c>
    </row>
    <row r="42" spans="1:15" ht="15" customHeight="1" x14ac:dyDescent="0.2">
      <c r="A42" s="13" t="s">
        <v>368</v>
      </c>
      <c r="B42" s="14">
        <v>45921</v>
      </c>
      <c r="C42" s="15">
        <f t="shared" si="0"/>
        <v>116</v>
      </c>
      <c r="D42" s="13">
        <v>1</v>
      </c>
      <c r="G42" s="15" t="s">
        <v>717</v>
      </c>
      <c r="H42" s="15" t="s">
        <v>743</v>
      </c>
      <c r="I42" s="13">
        <v>331</v>
      </c>
      <c r="J42" s="13">
        <v>1111</v>
      </c>
      <c r="K42" s="13" t="s">
        <v>21</v>
      </c>
      <c r="L42" s="13">
        <v>1</v>
      </c>
      <c r="M42" s="21">
        <v>309960</v>
      </c>
      <c r="N42" s="21">
        <f t="shared" si="2"/>
        <v>309960</v>
      </c>
      <c r="O42" s="13" t="s">
        <v>22</v>
      </c>
    </row>
    <row r="43" spans="1:15" ht="15" customHeight="1" x14ac:dyDescent="0.2">
      <c r="A43" s="13" t="s">
        <v>368</v>
      </c>
      <c r="B43" s="14">
        <v>45925</v>
      </c>
      <c r="C43" s="15">
        <f t="shared" si="0"/>
        <v>117</v>
      </c>
      <c r="D43" s="13">
        <v>1</v>
      </c>
      <c r="G43" s="15" t="s">
        <v>719</v>
      </c>
      <c r="H43" s="15" t="s">
        <v>744</v>
      </c>
      <c r="I43" s="13">
        <v>331</v>
      </c>
      <c r="J43" s="13">
        <v>1111</v>
      </c>
      <c r="K43" s="13" t="s">
        <v>21</v>
      </c>
      <c r="L43" s="13">
        <v>1</v>
      </c>
      <c r="M43" s="21">
        <v>178000</v>
      </c>
      <c r="N43" s="21">
        <f t="shared" si="2"/>
        <v>178000</v>
      </c>
      <c r="O43" s="13" t="s">
        <v>22</v>
      </c>
    </row>
    <row r="44" spans="1:15" ht="15" customHeight="1" x14ac:dyDescent="0.2">
      <c r="A44" s="13" t="s">
        <v>368</v>
      </c>
      <c r="B44" s="14">
        <v>45925</v>
      </c>
      <c r="C44" s="15">
        <f t="shared" si="0"/>
        <v>118</v>
      </c>
      <c r="D44" s="13">
        <v>1</v>
      </c>
      <c r="G44" s="15" t="s">
        <v>721</v>
      </c>
      <c r="H44" s="15" t="s">
        <v>745</v>
      </c>
      <c r="I44" s="13">
        <v>331</v>
      </c>
      <c r="J44" s="13">
        <v>1111</v>
      </c>
      <c r="K44" s="13" t="s">
        <v>21</v>
      </c>
      <c r="L44" s="13">
        <v>1</v>
      </c>
      <c r="M44" s="21">
        <v>1198000</v>
      </c>
      <c r="N44" s="21">
        <f t="shared" si="2"/>
        <v>1198000</v>
      </c>
      <c r="O44" s="13" t="s">
        <v>22</v>
      </c>
    </row>
    <row r="45" spans="1:15" ht="15" customHeight="1" x14ac:dyDescent="0.2">
      <c r="A45" s="13" t="s">
        <v>368</v>
      </c>
      <c r="B45" s="14">
        <v>45925</v>
      </c>
      <c r="C45" s="15">
        <f t="shared" si="0"/>
        <v>119</v>
      </c>
      <c r="D45" s="13">
        <v>1</v>
      </c>
      <c r="G45" s="15" t="s">
        <v>723</v>
      </c>
      <c r="H45" s="15" t="s">
        <v>746</v>
      </c>
      <c r="I45" s="13">
        <v>331</v>
      </c>
      <c r="J45" s="13">
        <v>1111</v>
      </c>
      <c r="K45" s="13" t="s">
        <v>21</v>
      </c>
      <c r="L45" s="13">
        <v>1</v>
      </c>
      <c r="M45" s="21">
        <v>346820</v>
      </c>
      <c r="N45" s="21">
        <f t="shared" si="2"/>
        <v>346820</v>
      </c>
      <c r="O45" s="13" t="s">
        <v>22</v>
      </c>
    </row>
    <row r="46" spans="1:15" ht="15" customHeight="1" x14ac:dyDescent="0.2">
      <c r="A46" s="13" t="s">
        <v>368</v>
      </c>
      <c r="B46" s="14">
        <v>45926</v>
      </c>
      <c r="C46" s="15">
        <f t="shared" si="0"/>
        <v>120</v>
      </c>
      <c r="D46" s="13">
        <v>1</v>
      </c>
      <c r="G46" s="15" t="s">
        <v>46</v>
      </c>
      <c r="H46" s="15" t="s">
        <v>747</v>
      </c>
      <c r="I46" s="13">
        <v>331</v>
      </c>
      <c r="J46" s="13">
        <v>1111</v>
      </c>
      <c r="K46" s="13" t="s">
        <v>21</v>
      </c>
      <c r="L46" s="13">
        <v>1</v>
      </c>
      <c r="M46" s="21">
        <v>1140480</v>
      </c>
      <c r="N46" s="21">
        <f t="shared" si="2"/>
        <v>1140480</v>
      </c>
      <c r="O46" s="13" t="s">
        <v>22</v>
      </c>
    </row>
    <row r="47" spans="1:15" ht="15" customHeight="1" x14ac:dyDescent="0.2">
      <c r="A47" s="13" t="s">
        <v>368</v>
      </c>
      <c r="B47" s="14">
        <v>45928</v>
      </c>
      <c r="C47" s="15">
        <f t="shared" si="0"/>
        <v>121</v>
      </c>
      <c r="D47" s="13">
        <v>1</v>
      </c>
      <c r="G47" s="15" t="s">
        <v>719</v>
      </c>
      <c r="H47" s="15" t="s">
        <v>748</v>
      </c>
      <c r="I47" s="13">
        <v>331</v>
      </c>
      <c r="J47" s="13">
        <v>1111</v>
      </c>
      <c r="K47" s="13" t="s">
        <v>21</v>
      </c>
      <c r="L47" s="13">
        <v>1</v>
      </c>
      <c r="M47" s="21">
        <v>378000</v>
      </c>
      <c r="N47" s="21">
        <f t="shared" si="2"/>
        <v>378000</v>
      </c>
      <c r="O47" s="13" t="s">
        <v>22</v>
      </c>
    </row>
    <row r="48" spans="1:15" ht="15" customHeight="1" x14ac:dyDescent="0.2">
      <c r="A48" s="13" t="s">
        <v>18</v>
      </c>
      <c r="B48" s="14">
        <v>45869</v>
      </c>
      <c r="C48" s="15">
        <f t="shared" si="0"/>
        <v>122</v>
      </c>
      <c r="D48" s="13">
        <v>1</v>
      </c>
      <c r="G48" s="15" t="s">
        <v>252</v>
      </c>
      <c r="H48" s="15" t="s">
        <v>147</v>
      </c>
      <c r="I48" s="13">
        <v>64271</v>
      </c>
      <c r="J48" s="13">
        <v>3383</v>
      </c>
      <c r="K48" s="13" t="s">
        <v>21</v>
      </c>
      <c r="L48" s="13">
        <v>1</v>
      </c>
      <c r="M48" s="21">
        <v>690300</v>
      </c>
      <c r="N48" s="21">
        <f t="shared" si="2"/>
        <v>690300</v>
      </c>
      <c r="O48" s="13" t="s">
        <v>22</v>
      </c>
    </row>
    <row r="49" spans="1:15" ht="15" customHeight="1" x14ac:dyDescent="0.2">
      <c r="A49" s="13" t="s">
        <v>18</v>
      </c>
      <c r="B49" s="14">
        <v>45900</v>
      </c>
      <c r="C49" s="15">
        <f t="shared" si="0"/>
        <v>123</v>
      </c>
      <c r="D49" s="13">
        <v>1</v>
      </c>
      <c r="G49" s="15" t="s">
        <v>252</v>
      </c>
      <c r="H49" s="15" t="s">
        <v>280</v>
      </c>
      <c r="I49" s="13">
        <v>64271</v>
      </c>
      <c r="J49" s="13">
        <v>3383</v>
      </c>
      <c r="K49" s="13" t="s">
        <v>21</v>
      </c>
      <c r="L49" s="13">
        <v>1</v>
      </c>
      <c r="M49" s="21">
        <v>690300</v>
      </c>
      <c r="N49" s="21">
        <f t="shared" si="2"/>
        <v>690300</v>
      </c>
      <c r="O49" s="13" t="s">
        <v>22</v>
      </c>
    </row>
    <row r="50" spans="1:15" ht="15" customHeight="1" x14ac:dyDescent="0.2">
      <c r="A50" s="13" t="s">
        <v>18</v>
      </c>
      <c r="B50" s="14">
        <v>45930</v>
      </c>
      <c r="C50" s="15">
        <f t="shared" si="0"/>
        <v>124</v>
      </c>
      <c r="D50" s="13">
        <v>1</v>
      </c>
      <c r="G50" s="15" t="s">
        <v>252</v>
      </c>
      <c r="H50" s="15" t="s">
        <v>367</v>
      </c>
      <c r="I50" s="13">
        <v>64271</v>
      </c>
      <c r="J50" s="13">
        <v>3383</v>
      </c>
      <c r="K50" s="13" t="s">
        <v>21</v>
      </c>
      <c r="L50" s="13">
        <v>1</v>
      </c>
      <c r="M50" s="21">
        <v>690300</v>
      </c>
      <c r="N50" s="21">
        <f t="shared" si="2"/>
        <v>690300</v>
      </c>
      <c r="O50" s="13" t="s">
        <v>22</v>
      </c>
    </row>
    <row r="51" spans="1:15" ht="15" customHeight="1" x14ac:dyDescent="0.2">
      <c r="A51" s="13" t="s">
        <v>18</v>
      </c>
      <c r="B51" s="14">
        <v>45856</v>
      </c>
      <c r="C51" s="15">
        <f t="shared" si="0"/>
        <v>125</v>
      </c>
      <c r="D51" s="13">
        <v>1</v>
      </c>
      <c r="G51" s="15" t="s">
        <v>749</v>
      </c>
      <c r="H51" s="15" t="s">
        <v>750</v>
      </c>
      <c r="I51" s="13">
        <v>131</v>
      </c>
      <c r="J51" s="13">
        <v>5113</v>
      </c>
      <c r="K51" s="13" t="s">
        <v>21</v>
      </c>
      <c r="L51" s="13">
        <v>1</v>
      </c>
      <c r="M51" s="21">
        <v>9677419</v>
      </c>
      <c r="N51" s="21">
        <f t="shared" si="2"/>
        <v>9677419</v>
      </c>
      <c r="O51" s="13" t="s">
        <v>22</v>
      </c>
    </row>
    <row r="52" spans="1:15" ht="15" customHeight="1" x14ac:dyDescent="0.2">
      <c r="A52" s="13" t="s">
        <v>18</v>
      </c>
      <c r="B52" s="14">
        <v>45856</v>
      </c>
      <c r="C52" s="15">
        <f t="shared" si="0"/>
        <v>126</v>
      </c>
      <c r="D52" s="13">
        <v>1</v>
      </c>
      <c r="G52" s="15" t="s">
        <v>751</v>
      </c>
      <c r="H52" s="15" t="s">
        <v>752</v>
      </c>
      <c r="I52" s="13">
        <v>131</v>
      </c>
      <c r="J52" s="13">
        <v>5113</v>
      </c>
      <c r="K52" s="13" t="s">
        <v>21</v>
      </c>
      <c r="L52" s="13">
        <v>1</v>
      </c>
      <c r="M52" s="21">
        <v>9677419</v>
      </c>
      <c r="N52" s="21">
        <f t="shared" si="2"/>
        <v>9677419</v>
      </c>
      <c r="O52" s="13" t="s">
        <v>22</v>
      </c>
    </row>
    <row r="53" spans="1:15" ht="15" customHeight="1" x14ac:dyDescent="0.2">
      <c r="A53" s="13" t="s">
        <v>18</v>
      </c>
      <c r="B53" s="14">
        <v>45856</v>
      </c>
      <c r="C53" s="15">
        <f t="shared" si="0"/>
        <v>127</v>
      </c>
      <c r="D53" s="13">
        <v>1</v>
      </c>
      <c r="G53" s="15" t="s">
        <v>753</v>
      </c>
      <c r="H53" s="15" t="s">
        <v>754</v>
      </c>
      <c r="I53" s="13">
        <v>131</v>
      </c>
      <c r="J53" s="13">
        <v>5113</v>
      </c>
      <c r="K53" s="13" t="s">
        <v>21</v>
      </c>
      <c r="L53" s="13">
        <v>1</v>
      </c>
      <c r="M53" s="21">
        <v>4838709</v>
      </c>
      <c r="N53" s="21">
        <f t="shared" si="2"/>
        <v>4838709</v>
      </c>
      <c r="O53" s="13" t="s">
        <v>22</v>
      </c>
    </row>
    <row r="54" spans="1:15" ht="15" customHeight="1" x14ac:dyDescent="0.2">
      <c r="A54" s="13" t="s">
        <v>18</v>
      </c>
      <c r="B54" s="14">
        <v>45856</v>
      </c>
      <c r="C54" s="15">
        <f t="shared" si="0"/>
        <v>128</v>
      </c>
      <c r="D54" s="13">
        <v>1</v>
      </c>
      <c r="G54" s="15" t="s">
        <v>632</v>
      </c>
      <c r="H54" s="15" t="s">
        <v>755</v>
      </c>
      <c r="I54" s="13">
        <v>131</v>
      </c>
      <c r="J54" s="13">
        <v>5113</v>
      </c>
      <c r="K54" s="13" t="s">
        <v>21</v>
      </c>
      <c r="L54" s="13">
        <v>1</v>
      </c>
      <c r="M54" s="21">
        <v>9677419</v>
      </c>
      <c r="N54" s="21">
        <f t="shared" si="2"/>
        <v>9677419</v>
      </c>
      <c r="O54" s="13" t="s">
        <v>22</v>
      </c>
    </row>
    <row r="55" spans="1:15" ht="15" customHeight="1" x14ac:dyDescent="0.2">
      <c r="A55" s="13" t="s">
        <v>18</v>
      </c>
      <c r="B55" s="14">
        <v>45856</v>
      </c>
      <c r="C55" s="15">
        <f t="shared" si="0"/>
        <v>129</v>
      </c>
      <c r="D55" s="13">
        <v>1</v>
      </c>
      <c r="G55" s="15" t="s">
        <v>756</v>
      </c>
      <c r="H55" s="15" t="s">
        <v>757</v>
      </c>
      <c r="I55" s="13">
        <v>131</v>
      </c>
      <c r="J55" s="13">
        <v>5113</v>
      </c>
      <c r="K55" s="13" t="s">
        <v>21</v>
      </c>
      <c r="L55" s="13">
        <v>1</v>
      </c>
      <c r="M55" s="21">
        <v>10215054</v>
      </c>
      <c r="N55" s="21">
        <f t="shared" si="2"/>
        <v>10215054</v>
      </c>
      <c r="O55" s="13" t="s">
        <v>22</v>
      </c>
    </row>
    <row r="56" spans="1:15" ht="15" customHeight="1" x14ac:dyDescent="0.2">
      <c r="A56" s="13" t="s">
        <v>18</v>
      </c>
      <c r="B56" s="14">
        <v>45856</v>
      </c>
      <c r="C56" s="15">
        <f t="shared" si="0"/>
        <v>130</v>
      </c>
      <c r="D56" s="13">
        <v>1</v>
      </c>
      <c r="G56" s="15" t="s">
        <v>756</v>
      </c>
      <c r="H56" s="15" t="s">
        <v>758</v>
      </c>
      <c r="I56" s="13">
        <v>333812</v>
      </c>
      <c r="J56" s="13">
        <v>131</v>
      </c>
      <c r="K56" s="13" t="s">
        <v>21</v>
      </c>
      <c r="L56" s="13">
        <v>1</v>
      </c>
      <c r="M56" s="21">
        <v>102151</v>
      </c>
      <c r="N56" s="21">
        <f t="shared" ref="N56" si="3">L56*M56</f>
        <v>102151</v>
      </c>
      <c r="O56" s="13" t="s">
        <v>22</v>
      </c>
    </row>
    <row r="57" spans="1:15" ht="15" customHeight="1" x14ac:dyDescent="0.2">
      <c r="A57" s="13" t="s">
        <v>18</v>
      </c>
      <c r="B57" s="14">
        <v>45856</v>
      </c>
      <c r="C57" s="15">
        <f t="shared" si="0"/>
        <v>131</v>
      </c>
      <c r="D57" s="13">
        <v>1</v>
      </c>
      <c r="G57" s="15" t="s">
        <v>756</v>
      </c>
      <c r="H57" s="15" t="s">
        <v>759</v>
      </c>
      <c r="I57" s="13">
        <v>131</v>
      </c>
      <c r="J57" s="13">
        <v>5113</v>
      </c>
      <c r="K57" s="13" t="s">
        <v>21</v>
      </c>
      <c r="L57" s="13">
        <v>1</v>
      </c>
      <c r="M57" s="21">
        <v>9139784</v>
      </c>
      <c r="N57" s="21">
        <f t="shared" si="2"/>
        <v>9139784</v>
      </c>
      <c r="O57" s="13" t="s">
        <v>22</v>
      </c>
    </row>
    <row r="58" spans="1:15" ht="15" customHeight="1" x14ac:dyDescent="0.2">
      <c r="A58" s="13" t="s">
        <v>18</v>
      </c>
      <c r="B58" s="14">
        <v>45856</v>
      </c>
      <c r="C58" s="15">
        <f t="shared" si="0"/>
        <v>132</v>
      </c>
      <c r="D58" s="13">
        <v>1</v>
      </c>
      <c r="G58" s="15" t="s">
        <v>756</v>
      </c>
      <c r="H58" s="15" t="s">
        <v>760</v>
      </c>
      <c r="I58" s="13">
        <v>333812</v>
      </c>
      <c r="J58" s="13">
        <v>131</v>
      </c>
      <c r="K58" s="13" t="s">
        <v>21</v>
      </c>
      <c r="L58" s="13">
        <v>1</v>
      </c>
      <c r="M58" s="21">
        <v>91398</v>
      </c>
      <c r="N58" s="21">
        <f t="shared" ref="N58" si="4">L58*M58</f>
        <v>91398</v>
      </c>
      <c r="O58" s="13" t="s">
        <v>22</v>
      </c>
    </row>
    <row r="59" spans="1:15" ht="15" customHeight="1" x14ac:dyDescent="0.2">
      <c r="A59" s="13" t="s">
        <v>18</v>
      </c>
      <c r="B59" s="14">
        <v>45856</v>
      </c>
      <c r="C59" s="15">
        <f t="shared" si="0"/>
        <v>133</v>
      </c>
      <c r="D59" s="13">
        <v>1</v>
      </c>
      <c r="G59" s="15" t="s">
        <v>761</v>
      </c>
      <c r="H59" s="15" t="s">
        <v>762</v>
      </c>
      <c r="I59" s="13">
        <v>131</v>
      </c>
      <c r="J59" s="13">
        <v>5113</v>
      </c>
      <c r="K59" s="13" t="s">
        <v>21</v>
      </c>
      <c r="L59" s="13">
        <v>1</v>
      </c>
      <c r="M59" s="21">
        <v>9000000</v>
      </c>
      <c r="N59" s="21">
        <f t="shared" si="2"/>
        <v>9000000</v>
      </c>
      <c r="O59" s="13" t="s">
        <v>22</v>
      </c>
    </row>
    <row r="60" spans="1:15" ht="15" customHeight="1" x14ac:dyDescent="0.2">
      <c r="A60" s="13" t="s">
        <v>18</v>
      </c>
      <c r="B60" s="14">
        <v>45859</v>
      </c>
      <c r="C60" s="15">
        <f t="shared" si="0"/>
        <v>134</v>
      </c>
      <c r="D60" s="13">
        <v>1</v>
      </c>
      <c r="G60" s="15" t="s">
        <v>756</v>
      </c>
      <c r="H60" s="15" t="s">
        <v>763</v>
      </c>
      <c r="I60" s="13">
        <v>131</v>
      </c>
      <c r="J60" s="13">
        <v>5113</v>
      </c>
      <c r="K60" s="13" t="s">
        <v>21</v>
      </c>
      <c r="L60" s="13">
        <v>1</v>
      </c>
      <c r="M60" s="21">
        <v>9139785</v>
      </c>
      <c r="N60" s="21">
        <f t="shared" si="2"/>
        <v>9139785</v>
      </c>
      <c r="O60" s="13" t="s">
        <v>22</v>
      </c>
    </row>
    <row r="61" spans="1:15" ht="15" customHeight="1" x14ac:dyDescent="0.2">
      <c r="A61" s="13" t="s">
        <v>18</v>
      </c>
      <c r="B61" s="14">
        <v>45859</v>
      </c>
      <c r="C61" s="15">
        <f t="shared" si="0"/>
        <v>135</v>
      </c>
      <c r="D61" s="13">
        <v>1</v>
      </c>
      <c r="G61" s="15" t="s">
        <v>756</v>
      </c>
      <c r="H61" s="15" t="s">
        <v>764</v>
      </c>
      <c r="I61" s="13">
        <v>131</v>
      </c>
      <c r="J61" s="13">
        <v>5113</v>
      </c>
      <c r="K61" s="13" t="s">
        <v>21</v>
      </c>
      <c r="L61" s="13">
        <v>1</v>
      </c>
      <c r="M61" s="21">
        <v>9139785</v>
      </c>
      <c r="N61" s="21">
        <f t="shared" si="2"/>
        <v>9139785</v>
      </c>
      <c r="O61" s="13" t="s">
        <v>22</v>
      </c>
    </row>
    <row r="62" spans="1:15" ht="15" customHeight="1" x14ac:dyDescent="0.2">
      <c r="A62" s="13" t="s">
        <v>18</v>
      </c>
      <c r="B62" s="14">
        <v>45861</v>
      </c>
      <c r="C62" s="15">
        <f t="shared" si="0"/>
        <v>136</v>
      </c>
      <c r="D62" s="13">
        <v>1</v>
      </c>
      <c r="G62" s="15" t="s">
        <v>756</v>
      </c>
      <c r="H62" s="15" t="s">
        <v>765</v>
      </c>
      <c r="I62" s="13">
        <v>131</v>
      </c>
      <c r="J62" s="13">
        <v>5113</v>
      </c>
      <c r="K62" s="13" t="s">
        <v>21</v>
      </c>
      <c r="L62" s="13">
        <v>1</v>
      </c>
      <c r="M62" s="21">
        <v>1075269</v>
      </c>
      <c r="N62" s="21">
        <f t="shared" si="2"/>
        <v>1075269</v>
      </c>
      <c r="O62" s="13" t="s">
        <v>22</v>
      </c>
    </row>
    <row r="63" spans="1:15" ht="15" customHeight="1" x14ac:dyDescent="0.2">
      <c r="A63" s="13" t="s">
        <v>18</v>
      </c>
      <c r="B63" s="14">
        <v>45862</v>
      </c>
      <c r="C63" s="15">
        <f t="shared" si="0"/>
        <v>137</v>
      </c>
      <c r="D63" s="13">
        <v>1</v>
      </c>
      <c r="G63" s="15" t="s">
        <v>761</v>
      </c>
      <c r="H63" s="15" t="s">
        <v>766</v>
      </c>
      <c r="I63" s="13">
        <v>131</v>
      </c>
      <c r="J63" s="13">
        <v>5113</v>
      </c>
      <c r="K63" s="13" t="s">
        <v>21</v>
      </c>
      <c r="L63" s="13">
        <v>1</v>
      </c>
      <c r="M63" s="21">
        <v>10354839</v>
      </c>
      <c r="N63" s="21">
        <f t="shared" si="2"/>
        <v>10354839</v>
      </c>
      <c r="O63" s="13" t="s">
        <v>22</v>
      </c>
    </row>
    <row r="64" spans="1:15" ht="15" customHeight="1" x14ac:dyDescent="0.2">
      <c r="A64" s="13" t="s">
        <v>18</v>
      </c>
      <c r="B64" s="14">
        <v>45866</v>
      </c>
      <c r="C64" s="15">
        <f t="shared" si="0"/>
        <v>138</v>
      </c>
      <c r="D64" s="13">
        <v>1</v>
      </c>
      <c r="G64" s="15" t="s">
        <v>753</v>
      </c>
      <c r="H64" s="15" t="s">
        <v>767</v>
      </c>
      <c r="I64" s="13">
        <v>131</v>
      </c>
      <c r="J64" s="13">
        <v>5113</v>
      </c>
      <c r="K64" s="13" t="s">
        <v>21</v>
      </c>
      <c r="L64" s="13">
        <v>1</v>
      </c>
      <c r="M64" s="21">
        <v>4838710</v>
      </c>
      <c r="N64" s="21">
        <f t="shared" si="2"/>
        <v>4838710</v>
      </c>
      <c r="O64" s="13" t="s">
        <v>22</v>
      </c>
    </row>
    <row r="65" spans="1:15" ht="15" customHeight="1" x14ac:dyDescent="0.2">
      <c r="A65" s="13" t="s">
        <v>18</v>
      </c>
      <c r="B65" s="14">
        <v>45867</v>
      </c>
      <c r="C65" s="15">
        <f t="shared" si="0"/>
        <v>139</v>
      </c>
      <c r="D65" s="13">
        <v>1</v>
      </c>
      <c r="G65" s="15" t="s">
        <v>768</v>
      </c>
      <c r="H65" s="15" t="s">
        <v>769</v>
      </c>
      <c r="I65" s="13">
        <v>131</v>
      </c>
      <c r="J65" s="13">
        <v>5113</v>
      </c>
      <c r="K65" s="13" t="s">
        <v>21</v>
      </c>
      <c r="L65" s="13">
        <v>1</v>
      </c>
      <c r="M65" s="21">
        <v>15053763</v>
      </c>
      <c r="N65" s="21">
        <f t="shared" si="2"/>
        <v>15053763</v>
      </c>
      <c r="O65" s="13" t="s">
        <v>22</v>
      </c>
    </row>
    <row r="66" spans="1:15" ht="15" customHeight="1" x14ac:dyDescent="0.2">
      <c r="A66" s="13" t="s">
        <v>18</v>
      </c>
      <c r="B66" s="14">
        <v>45867</v>
      </c>
      <c r="C66" s="15">
        <f t="shared" si="0"/>
        <v>140</v>
      </c>
      <c r="D66" s="13">
        <v>1</v>
      </c>
      <c r="G66" s="15" t="s">
        <v>768</v>
      </c>
      <c r="H66" s="15" t="s">
        <v>770</v>
      </c>
      <c r="I66" s="13">
        <v>333812</v>
      </c>
      <c r="J66" s="13">
        <v>131</v>
      </c>
      <c r="K66" s="13" t="s">
        <v>21</v>
      </c>
      <c r="L66" s="13">
        <v>1</v>
      </c>
      <c r="M66" s="21">
        <v>150538</v>
      </c>
      <c r="N66" s="21">
        <f t="shared" ref="N66" si="5">L66*M66</f>
        <v>150538</v>
      </c>
      <c r="O66" s="13" t="s">
        <v>22</v>
      </c>
    </row>
    <row r="67" spans="1:15" ht="15" customHeight="1" x14ac:dyDescent="0.2">
      <c r="A67" s="13" t="s">
        <v>18</v>
      </c>
      <c r="B67" s="14">
        <v>45867</v>
      </c>
      <c r="C67" s="15">
        <f t="shared" si="0"/>
        <v>141</v>
      </c>
      <c r="D67" s="13">
        <v>1</v>
      </c>
      <c r="G67" s="15" t="s">
        <v>771</v>
      </c>
      <c r="H67" s="15" t="s">
        <v>772</v>
      </c>
      <c r="I67" s="13">
        <v>131</v>
      </c>
      <c r="J67" s="13">
        <v>5113</v>
      </c>
      <c r="K67" s="13" t="s">
        <v>21</v>
      </c>
      <c r="L67" s="13">
        <v>1</v>
      </c>
      <c r="M67" s="21">
        <v>8602151</v>
      </c>
      <c r="N67" s="21">
        <f t="shared" si="2"/>
        <v>8602151</v>
      </c>
      <c r="O67" s="13" t="s">
        <v>22</v>
      </c>
    </row>
    <row r="68" spans="1:15" ht="15" customHeight="1" x14ac:dyDescent="0.2">
      <c r="A68" s="13" t="s">
        <v>18</v>
      </c>
      <c r="B68" s="14">
        <v>45867</v>
      </c>
      <c r="C68" s="15">
        <f t="shared" si="0"/>
        <v>142</v>
      </c>
      <c r="D68" s="13">
        <v>1</v>
      </c>
      <c r="G68" s="15" t="s">
        <v>771</v>
      </c>
      <c r="H68" s="15" t="s">
        <v>773</v>
      </c>
      <c r="I68" s="13">
        <v>333812</v>
      </c>
      <c r="J68" s="13">
        <v>131</v>
      </c>
      <c r="K68" s="13" t="s">
        <v>21</v>
      </c>
      <c r="L68" s="13">
        <v>1</v>
      </c>
      <c r="M68" s="21">
        <v>86022</v>
      </c>
      <c r="N68" s="21">
        <f t="shared" si="2"/>
        <v>86022</v>
      </c>
      <c r="O68" s="13" t="s">
        <v>22</v>
      </c>
    </row>
    <row r="69" spans="1:15" ht="15" customHeight="1" x14ac:dyDescent="0.2">
      <c r="A69" s="13" t="s">
        <v>18</v>
      </c>
      <c r="B69" s="14">
        <v>45867</v>
      </c>
      <c r="C69" s="15">
        <f t="shared" ref="C69:C132" si="6">C68+D69</f>
        <v>143</v>
      </c>
      <c r="D69" s="13">
        <v>1</v>
      </c>
      <c r="G69" s="15" t="s">
        <v>774</v>
      </c>
      <c r="H69" s="15" t="s">
        <v>775</v>
      </c>
      <c r="I69" s="13">
        <v>131</v>
      </c>
      <c r="J69" s="13">
        <v>5113</v>
      </c>
      <c r="K69" s="13" t="s">
        <v>21</v>
      </c>
      <c r="L69" s="13">
        <v>1</v>
      </c>
      <c r="M69" s="21">
        <v>12121212</v>
      </c>
      <c r="N69" s="21">
        <f t="shared" si="2"/>
        <v>12121212</v>
      </c>
      <c r="O69" s="13" t="s">
        <v>22</v>
      </c>
    </row>
    <row r="70" spans="1:15" ht="15" customHeight="1" x14ac:dyDescent="0.2">
      <c r="A70" s="13" t="s">
        <v>18</v>
      </c>
      <c r="B70" s="14">
        <v>45867</v>
      </c>
      <c r="C70" s="15">
        <f t="shared" si="6"/>
        <v>144</v>
      </c>
      <c r="D70" s="13">
        <v>1</v>
      </c>
      <c r="G70" s="15" t="s">
        <v>774</v>
      </c>
      <c r="H70" s="15" t="s">
        <v>776</v>
      </c>
      <c r="I70" s="13">
        <v>333812</v>
      </c>
      <c r="J70" s="13">
        <v>131</v>
      </c>
      <c r="K70" s="13" t="s">
        <v>21</v>
      </c>
      <c r="L70" s="13">
        <v>1</v>
      </c>
      <c r="M70" s="21">
        <v>121212</v>
      </c>
      <c r="N70" s="21">
        <f t="shared" si="2"/>
        <v>121212</v>
      </c>
      <c r="O70" s="13" t="s">
        <v>22</v>
      </c>
    </row>
    <row r="71" spans="1:15" ht="15" customHeight="1" x14ac:dyDescent="0.2">
      <c r="A71" s="13" t="s">
        <v>18</v>
      </c>
      <c r="B71" s="14">
        <v>45867</v>
      </c>
      <c r="C71" s="15">
        <f t="shared" si="6"/>
        <v>145</v>
      </c>
      <c r="D71" s="13">
        <v>1</v>
      </c>
      <c r="G71" s="15" t="s">
        <v>777</v>
      </c>
      <c r="H71" s="15" t="s">
        <v>778</v>
      </c>
      <c r="I71" s="13">
        <v>131</v>
      </c>
      <c r="J71" s="13">
        <v>5113</v>
      </c>
      <c r="K71" s="13" t="s">
        <v>21</v>
      </c>
      <c r="L71" s="13">
        <v>1</v>
      </c>
      <c r="M71" s="21">
        <v>8064516</v>
      </c>
      <c r="N71" s="21">
        <f t="shared" si="2"/>
        <v>8064516</v>
      </c>
      <c r="O71" s="13" t="s">
        <v>22</v>
      </c>
    </row>
    <row r="72" spans="1:15" ht="15" customHeight="1" x14ac:dyDescent="0.2">
      <c r="A72" s="13" t="s">
        <v>18</v>
      </c>
      <c r="B72" s="14">
        <v>45868</v>
      </c>
      <c r="C72" s="15">
        <f t="shared" si="6"/>
        <v>146</v>
      </c>
      <c r="D72" s="13">
        <v>1</v>
      </c>
      <c r="G72" s="15" t="s">
        <v>756</v>
      </c>
      <c r="H72" s="15" t="s">
        <v>779</v>
      </c>
      <c r="I72" s="13">
        <v>131</v>
      </c>
      <c r="J72" s="13">
        <v>5113</v>
      </c>
      <c r="K72" s="13" t="s">
        <v>21</v>
      </c>
      <c r="L72" s="13">
        <v>1</v>
      </c>
      <c r="M72" s="21">
        <v>9139785</v>
      </c>
      <c r="N72" s="21">
        <f t="shared" si="2"/>
        <v>9139785</v>
      </c>
      <c r="O72" s="13" t="s">
        <v>22</v>
      </c>
    </row>
    <row r="73" spans="1:15" ht="15" customHeight="1" x14ac:dyDescent="0.2">
      <c r="A73" s="13" t="s">
        <v>18</v>
      </c>
      <c r="B73" s="14">
        <v>45868</v>
      </c>
      <c r="C73" s="15">
        <f t="shared" si="6"/>
        <v>147</v>
      </c>
      <c r="D73" s="13">
        <v>1</v>
      </c>
      <c r="G73" s="15" t="s">
        <v>756</v>
      </c>
      <c r="H73" s="15" t="s">
        <v>780</v>
      </c>
      <c r="I73" s="13">
        <v>333812</v>
      </c>
      <c r="J73" s="13">
        <v>131</v>
      </c>
      <c r="K73" s="13" t="s">
        <v>21</v>
      </c>
      <c r="L73" s="13">
        <v>1</v>
      </c>
      <c r="M73" s="21">
        <v>91398</v>
      </c>
      <c r="N73" s="21">
        <f t="shared" si="2"/>
        <v>91398</v>
      </c>
      <c r="O73" s="13" t="s">
        <v>22</v>
      </c>
    </row>
    <row r="74" spans="1:15" ht="15" customHeight="1" x14ac:dyDescent="0.2">
      <c r="A74" s="13" t="s">
        <v>18</v>
      </c>
      <c r="B74" s="14">
        <v>45868</v>
      </c>
      <c r="C74" s="15">
        <f t="shared" si="6"/>
        <v>148</v>
      </c>
      <c r="D74" s="13">
        <v>1</v>
      </c>
      <c r="G74" s="15" t="s">
        <v>781</v>
      </c>
      <c r="H74" s="15" t="s">
        <v>782</v>
      </c>
      <c r="I74" s="13">
        <v>131</v>
      </c>
      <c r="J74" s="13">
        <v>5113</v>
      </c>
      <c r="K74" s="13" t="s">
        <v>21</v>
      </c>
      <c r="L74" s="13">
        <v>1</v>
      </c>
      <c r="M74" s="21">
        <v>2150538</v>
      </c>
      <c r="N74" s="21">
        <f t="shared" si="2"/>
        <v>2150538</v>
      </c>
      <c r="O74" s="13" t="s">
        <v>22</v>
      </c>
    </row>
    <row r="75" spans="1:15" ht="15" customHeight="1" x14ac:dyDescent="0.2">
      <c r="A75" s="13" t="s">
        <v>18</v>
      </c>
      <c r="B75" s="14">
        <v>45868</v>
      </c>
      <c r="C75" s="15">
        <f t="shared" si="6"/>
        <v>149</v>
      </c>
      <c r="D75" s="13">
        <v>1</v>
      </c>
      <c r="G75" s="15" t="s">
        <v>781</v>
      </c>
      <c r="H75" s="15" t="s">
        <v>783</v>
      </c>
      <c r="I75" s="13">
        <v>333812</v>
      </c>
      <c r="J75" s="13">
        <v>131</v>
      </c>
      <c r="K75" s="13" t="s">
        <v>21</v>
      </c>
      <c r="L75" s="13">
        <v>1</v>
      </c>
      <c r="M75" s="21">
        <v>21505</v>
      </c>
      <c r="N75" s="21">
        <f t="shared" si="2"/>
        <v>21505</v>
      </c>
      <c r="O75" s="13" t="s">
        <v>22</v>
      </c>
    </row>
    <row r="76" spans="1:15" ht="15" customHeight="1" x14ac:dyDescent="0.2">
      <c r="A76" s="13" t="s">
        <v>18</v>
      </c>
      <c r="B76" s="14">
        <v>45873</v>
      </c>
      <c r="C76" s="15">
        <f t="shared" si="6"/>
        <v>150</v>
      </c>
      <c r="D76" s="13">
        <v>1</v>
      </c>
      <c r="G76" s="15" t="s">
        <v>784</v>
      </c>
      <c r="H76" s="15" t="s">
        <v>785</v>
      </c>
      <c r="I76" s="13">
        <v>131</v>
      </c>
      <c r="J76" s="13">
        <v>5113</v>
      </c>
      <c r="K76" s="13" t="s">
        <v>21</v>
      </c>
      <c r="L76" s="13">
        <v>1</v>
      </c>
      <c r="M76" s="21">
        <v>9677419</v>
      </c>
      <c r="N76" s="21">
        <f t="shared" si="2"/>
        <v>9677419</v>
      </c>
      <c r="O76" s="13" t="s">
        <v>22</v>
      </c>
    </row>
    <row r="77" spans="1:15" ht="15" customHeight="1" x14ac:dyDescent="0.2">
      <c r="A77" s="13" t="s">
        <v>18</v>
      </c>
      <c r="B77" s="14">
        <v>45873</v>
      </c>
      <c r="C77" s="15">
        <f t="shared" si="6"/>
        <v>151</v>
      </c>
      <c r="D77" s="13">
        <v>1</v>
      </c>
      <c r="G77" s="15" t="s">
        <v>784</v>
      </c>
      <c r="H77" s="15" t="s">
        <v>786</v>
      </c>
      <c r="I77" s="13">
        <v>333812</v>
      </c>
      <c r="J77" s="13">
        <v>131</v>
      </c>
      <c r="K77" s="13" t="s">
        <v>21</v>
      </c>
      <c r="L77" s="13">
        <v>1</v>
      </c>
      <c r="M77" s="21">
        <v>96774</v>
      </c>
      <c r="N77" s="21">
        <f t="shared" si="2"/>
        <v>96774</v>
      </c>
      <c r="O77" s="13" t="s">
        <v>22</v>
      </c>
    </row>
    <row r="78" spans="1:15" ht="15" customHeight="1" x14ac:dyDescent="0.2">
      <c r="A78" s="13" t="s">
        <v>18</v>
      </c>
      <c r="B78" s="14">
        <v>45873</v>
      </c>
      <c r="C78" s="15">
        <f t="shared" si="6"/>
        <v>152</v>
      </c>
      <c r="D78" s="13">
        <v>1</v>
      </c>
      <c r="G78" s="15" t="s">
        <v>774</v>
      </c>
      <c r="H78" s="15" t="s">
        <v>787</v>
      </c>
      <c r="I78" s="13">
        <v>131</v>
      </c>
      <c r="J78" s="13">
        <v>5113</v>
      </c>
      <c r="K78" s="13" t="s">
        <v>21</v>
      </c>
      <c r="L78" s="13">
        <v>1</v>
      </c>
      <c r="M78" s="21">
        <v>12609971</v>
      </c>
      <c r="N78" s="21">
        <f t="shared" si="2"/>
        <v>12609971</v>
      </c>
      <c r="O78" s="13" t="s">
        <v>22</v>
      </c>
    </row>
    <row r="79" spans="1:15" ht="15" customHeight="1" x14ac:dyDescent="0.2">
      <c r="A79" s="13" t="s">
        <v>18</v>
      </c>
      <c r="B79" s="14">
        <v>45873</v>
      </c>
      <c r="C79" s="15">
        <f t="shared" si="6"/>
        <v>153</v>
      </c>
      <c r="D79" s="13">
        <v>1</v>
      </c>
      <c r="G79" s="15" t="s">
        <v>774</v>
      </c>
      <c r="H79" s="15" t="s">
        <v>788</v>
      </c>
      <c r="I79" s="13">
        <v>333812</v>
      </c>
      <c r="J79" s="13">
        <v>131</v>
      </c>
      <c r="K79" s="13" t="s">
        <v>21</v>
      </c>
      <c r="L79" s="13">
        <v>1</v>
      </c>
      <c r="M79" s="21">
        <v>126100</v>
      </c>
      <c r="N79" s="21">
        <f t="shared" ref="N79" si="7">L79*M79</f>
        <v>126100</v>
      </c>
      <c r="O79" s="13" t="s">
        <v>22</v>
      </c>
    </row>
    <row r="80" spans="1:15" ht="15" customHeight="1" x14ac:dyDescent="0.2">
      <c r="A80" s="13" t="s">
        <v>18</v>
      </c>
      <c r="B80" s="14">
        <v>45876</v>
      </c>
      <c r="C80" s="15">
        <f t="shared" si="6"/>
        <v>154</v>
      </c>
      <c r="D80" s="13">
        <v>1</v>
      </c>
      <c r="G80" s="15" t="s">
        <v>756</v>
      </c>
      <c r="H80" s="15" t="s">
        <v>789</v>
      </c>
      <c r="I80" s="13">
        <v>131</v>
      </c>
      <c r="J80" s="13">
        <v>5113</v>
      </c>
      <c r="K80" s="13" t="s">
        <v>21</v>
      </c>
      <c r="L80" s="13">
        <v>1</v>
      </c>
      <c r="M80" s="21">
        <v>9139785</v>
      </c>
      <c r="N80" s="21">
        <f t="shared" si="2"/>
        <v>9139785</v>
      </c>
      <c r="O80" s="13" t="s">
        <v>22</v>
      </c>
    </row>
    <row r="81" spans="1:15" ht="15" customHeight="1" x14ac:dyDescent="0.2">
      <c r="A81" s="13" t="s">
        <v>18</v>
      </c>
      <c r="B81" s="14">
        <v>45876</v>
      </c>
      <c r="C81" s="15">
        <f t="shared" si="6"/>
        <v>155</v>
      </c>
      <c r="D81" s="13">
        <v>1</v>
      </c>
      <c r="G81" s="15" t="s">
        <v>756</v>
      </c>
      <c r="H81" s="15" t="s">
        <v>790</v>
      </c>
      <c r="I81" s="13">
        <v>333812</v>
      </c>
      <c r="J81" s="13">
        <v>131</v>
      </c>
      <c r="K81" s="13" t="s">
        <v>21</v>
      </c>
      <c r="L81" s="13">
        <v>1</v>
      </c>
      <c r="M81" s="21">
        <v>91398</v>
      </c>
      <c r="N81" s="21">
        <f t="shared" si="2"/>
        <v>91398</v>
      </c>
      <c r="O81" s="13" t="s">
        <v>22</v>
      </c>
    </row>
    <row r="82" spans="1:15" ht="15" customHeight="1" x14ac:dyDescent="0.2">
      <c r="A82" s="13" t="s">
        <v>18</v>
      </c>
      <c r="B82" s="14">
        <v>45877</v>
      </c>
      <c r="C82" s="15">
        <f t="shared" si="6"/>
        <v>156</v>
      </c>
      <c r="D82" s="13">
        <v>1</v>
      </c>
      <c r="G82" s="15" t="s">
        <v>791</v>
      </c>
      <c r="H82" s="15" t="s">
        <v>792</v>
      </c>
      <c r="I82" s="13">
        <v>131</v>
      </c>
      <c r="J82" s="13">
        <v>5113</v>
      </c>
      <c r="K82" s="13" t="s">
        <v>21</v>
      </c>
      <c r="L82" s="13">
        <v>1</v>
      </c>
      <c r="M82" s="21">
        <v>9677419</v>
      </c>
      <c r="N82" s="21">
        <f t="shared" si="2"/>
        <v>9677419</v>
      </c>
      <c r="O82" s="13" t="s">
        <v>22</v>
      </c>
    </row>
    <row r="83" spans="1:15" ht="15" customHeight="1" x14ac:dyDescent="0.2">
      <c r="A83" s="13" t="s">
        <v>18</v>
      </c>
      <c r="B83" s="14">
        <v>45877</v>
      </c>
      <c r="C83" s="15">
        <f t="shared" si="6"/>
        <v>157</v>
      </c>
      <c r="D83" s="13">
        <v>1</v>
      </c>
      <c r="G83" s="15" t="s">
        <v>791</v>
      </c>
      <c r="H83" s="15" t="s">
        <v>793</v>
      </c>
      <c r="I83" s="13">
        <v>333812</v>
      </c>
      <c r="J83" s="13">
        <v>131</v>
      </c>
      <c r="K83" s="13" t="s">
        <v>21</v>
      </c>
      <c r="L83" s="13">
        <v>1</v>
      </c>
      <c r="M83" s="21">
        <v>96774</v>
      </c>
      <c r="N83" s="21">
        <f t="shared" si="2"/>
        <v>96774</v>
      </c>
      <c r="O83" s="13" t="s">
        <v>22</v>
      </c>
    </row>
    <row r="84" spans="1:15" ht="15" customHeight="1" x14ac:dyDescent="0.2">
      <c r="A84" s="13" t="s">
        <v>18</v>
      </c>
      <c r="B84" s="14">
        <v>45880</v>
      </c>
      <c r="C84" s="15">
        <f t="shared" si="6"/>
        <v>158</v>
      </c>
      <c r="D84" s="13">
        <v>1</v>
      </c>
      <c r="G84" s="15" t="s">
        <v>749</v>
      </c>
      <c r="H84" s="15" t="s">
        <v>794</v>
      </c>
      <c r="I84" s="13">
        <v>131</v>
      </c>
      <c r="J84" s="13">
        <v>5113</v>
      </c>
      <c r="K84" s="13" t="s">
        <v>21</v>
      </c>
      <c r="L84" s="13">
        <v>1</v>
      </c>
      <c r="M84" s="21">
        <v>9677419</v>
      </c>
      <c r="N84" s="21">
        <f t="shared" si="2"/>
        <v>9677419</v>
      </c>
      <c r="O84" s="13" t="s">
        <v>22</v>
      </c>
    </row>
    <row r="85" spans="1:15" ht="15" customHeight="1" x14ac:dyDescent="0.2">
      <c r="A85" s="13" t="s">
        <v>18</v>
      </c>
      <c r="B85" s="14">
        <v>45880</v>
      </c>
      <c r="C85" s="15">
        <f t="shared" si="6"/>
        <v>159</v>
      </c>
      <c r="D85" s="13">
        <v>1</v>
      </c>
      <c r="G85" s="15" t="s">
        <v>749</v>
      </c>
      <c r="H85" s="15" t="s">
        <v>795</v>
      </c>
      <c r="I85" s="13">
        <v>333812</v>
      </c>
      <c r="J85" s="13">
        <v>131</v>
      </c>
      <c r="K85" s="13" t="s">
        <v>21</v>
      </c>
      <c r="L85" s="13">
        <v>1</v>
      </c>
      <c r="M85" s="21">
        <v>96774</v>
      </c>
      <c r="N85" s="21">
        <f t="shared" si="2"/>
        <v>96774</v>
      </c>
      <c r="O85" s="13" t="s">
        <v>22</v>
      </c>
    </row>
    <row r="86" spans="1:15" ht="15" customHeight="1" x14ac:dyDescent="0.2">
      <c r="A86" s="13" t="s">
        <v>18</v>
      </c>
      <c r="B86" s="14">
        <v>45883</v>
      </c>
      <c r="C86" s="15">
        <f t="shared" si="6"/>
        <v>160</v>
      </c>
      <c r="D86" s="13">
        <v>1</v>
      </c>
      <c r="G86" s="15" t="s">
        <v>791</v>
      </c>
      <c r="H86" s="15" t="s">
        <v>796</v>
      </c>
      <c r="I86" s="13">
        <v>131</v>
      </c>
      <c r="J86" s="13">
        <v>5113</v>
      </c>
      <c r="K86" s="13" t="s">
        <v>21</v>
      </c>
      <c r="L86" s="13">
        <v>1</v>
      </c>
      <c r="M86" s="21">
        <v>4242424</v>
      </c>
      <c r="N86" s="21">
        <f t="shared" si="2"/>
        <v>4242424</v>
      </c>
      <c r="O86" s="13" t="s">
        <v>22</v>
      </c>
    </row>
    <row r="87" spans="1:15" ht="15" customHeight="1" x14ac:dyDescent="0.2">
      <c r="A87" s="13" t="s">
        <v>18</v>
      </c>
      <c r="B87" s="14">
        <v>45883</v>
      </c>
      <c r="C87" s="15">
        <f t="shared" si="6"/>
        <v>161</v>
      </c>
      <c r="D87" s="13">
        <v>1</v>
      </c>
      <c r="G87" s="15" t="s">
        <v>791</v>
      </c>
      <c r="H87" s="15" t="s">
        <v>797</v>
      </c>
      <c r="I87" s="13">
        <v>333812</v>
      </c>
      <c r="J87" s="13">
        <v>131</v>
      </c>
      <c r="K87" s="13" t="s">
        <v>21</v>
      </c>
      <c r="L87" s="13">
        <v>1</v>
      </c>
      <c r="M87" s="21">
        <v>42424</v>
      </c>
      <c r="N87" s="21">
        <f t="shared" si="2"/>
        <v>42424</v>
      </c>
      <c r="O87" s="13" t="s">
        <v>22</v>
      </c>
    </row>
    <row r="88" spans="1:15" ht="15" customHeight="1" x14ac:dyDescent="0.2">
      <c r="A88" s="13" t="s">
        <v>18</v>
      </c>
      <c r="B88" s="14">
        <v>45890</v>
      </c>
      <c r="C88" s="15">
        <f t="shared" si="6"/>
        <v>162</v>
      </c>
      <c r="D88" s="13">
        <v>1</v>
      </c>
      <c r="G88" s="15" t="s">
        <v>96</v>
      </c>
      <c r="H88" s="15" t="s">
        <v>798</v>
      </c>
      <c r="I88" s="13">
        <v>131</v>
      </c>
      <c r="J88" s="13">
        <v>5113</v>
      </c>
      <c r="K88" s="13" t="s">
        <v>21</v>
      </c>
      <c r="L88" s="13">
        <v>1</v>
      </c>
      <c r="M88" s="21">
        <v>9677419</v>
      </c>
      <c r="N88" s="21">
        <f t="shared" si="2"/>
        <v>9677419</v>
      </c>
      <c r="O88" s="13" t="s">
        <v>22</v>
      </c>
    </row>
    <row r="89" spans="1:15" ht="15" customHeight="1" x14ac:dyDescent="0.2">
      <c r="A89" s="13" t="s">
        <v>18</v>
      </c>
      <c r="B89" s="14">
        <v>45890</v>
      </c>
      <c r="C89" s="15">
        <f t="shared" si="6"/>
        <v>163</v>
      </c>
      <c r="D89" s="13">
        <v>1</v>
      </c>
      <c r="G89" s="15" t="s">
        <v>96</v>
      </c>
      <c r="H89" s="15" t="s">
        <v>799</v>
      </c>
      <c r="I89" s="13">
        <v>333812</v>
      </c>
      <c r="J89" s="13">
        <v>131</v>
      </c>
      <c r="K89" s="13" t="s">
        <v>21</v>
      </c>
      <c r="L89" s="13">
        <v>1</v>
      </c>
      <c r="M89" s="21">
        <v>96774</v>
      </c>
      <c r="N89" s="21">
        <f t="shared" si="2"/>
        <v>96774</v>
      </c>
      <c r="O89" s="13" t="s">
        <v>22</v>
      </c>
    </row>
    <row r="90" spans="1:15" ht="15" customHeight="1" x14ac:dyDescent="0.2">
      <c r="A90" s="13" t="s">
        <v>18</v>
      </c>
      <c r="B90" s="14">
        <v>45892</v>
      </c>
      <c r="C90" s="15">
        <f t="shared" si="6"/>
        <v>164</v>
      </c>
      <c r="D90" s="13">
        <v>1</v>
      </c>
      <c r="G90" s="15" t="s">
        <v>791</v>
      </c>
      <c r="H90" s="15" t="s">
        <v>800</v>
      </c>
      <c r="I90" s="13">
        <v>131</v>
      </c>
      <c r="J90" s="13">
        <v>5113</v>
      </c>
      <c r="K90" s="13" t="s">
        <v>21</v>
      </c>
      <c r="L90" s="13">
        <v>1</v>
      </c>
      <c r="M90" s="21">
        <v>4278918</v>
      </c>
      <c r="N90" s="21">
        <f t="shared" si="2"/>
        <v>4278918</v>
      </c>
      <c r="O90" s="13" t="s">
        <v>22</v>
      </c>
    </row>
    <row r="91" spans="1:15" ht="15" customHeight="1" x14ac:dyDescent="0.2">
      <c r="A91" s="13" t="s">
        <v>18</v>
      </c>
      <c r="B91" s="14">
        <v>45892</v>
      </c>
      <c r="C91" s="15">
        <f t="shared" si="6"/>
        <v>165</v>
      </c>
      <c r="D91" s="13">
        <v>1</v>
      </c>
      <c r="G91" s="15" t="s">
        <v>791</v>
      </c>
      <c r="H91" s="15" t="s">
        <v>801</v>
      </c>
      <c r="I91" s="13">
        <v>333812</v>
      </c>
      <c r="J91" s="13">
        <v>131</v>
      </c>
      <c r="K91" s="13" t="s">
        <v>21</v>
      </c>
      <c r="L91" s="13">
        <v>1</v>
      </c>
      <c r="M91" s="21">
        <v>42789</v>
      </c>
      <c r="N91" s="21">
        <f t="shared" si="2"/>
        <v>42789</v>
      </c>
      <c r="O91" s="13" t="s">
        <v>22</v>
      </c>
    </row>
    <row r="92" spans="1:15" ht="15" customHeight="1" x14ac:dyDescent="0.2">
      <c r="A92" s="13" t="s">
        <v>18</v>
      </c>
      <c r="B92" s="14">
        <v>45894</v>
      </c>
      <c r="C92" s="15">
        <f t="shared" si="6"/>
        <v>166</v>
      </c>
      <c r="D92" s="13">
        <v>1</v>
      </c>
      <c r="G92" s="15" t="s">
        <v>802</v>
      </c>
      <c r="H92" s="15" t="s">
        <v>803</v>
      </c>
      <c r="I92" s="13">
        <v>131</v>
      </c>
      <c r="J92" s="13">
        <v>5113</v>
      </c>
      <c r="K92" s="13" t="s">
        <v>21</v>
      </c>
      <c r="L92" s="13">
        <v>1</v>
      </c>
      <c r="M92" s="21">
        <v>1935484</v>
      </c>
      <c r="N92" s="21">
        <f t="shared" si="2"/>
        <v>1935484</v>
      </c>
      <c r="O92" s="13" t="s">
        <v>22</v>
      </c>
    </row>
    <row r="93" spans="1:15" ht="15" customHeight="1" x14ac:dyDescent="0.2">
      <c r="A93" s="13" t="s">
        <v>18</v>
      </c>
      <c r="B93" s="14">
        <v>45894</v>
      </c>
      <c r="C93" s="15">
        <f t="shared" si="6"/>
        <v>167</v>
      </c>
      <c r="D93" s="13">
        <v>1</v>
      </c>
      <c r="G93" s="15" t="s">
        <v>802</v>
      </c>
      <c r="H93" s="15" t="s">
        <v>804</v>
      </c>
      <c r="I93" s="13">
        <v>333812</v>
      </c>
      <c r="J93" s="13">
        <v>131</v>
      </c>
      <c r="K93" s="13" t="s">
        <v>21</v>
      </c>
      <c r="L93" s="13">
        <v>1</v>
      </c>
      <c r="M93" s="21">
        <v>19355</v>
      </c>
      <c r="N93" s="21">
        <f t="shared" si="2"/>
        <v>19355</v>
      </c>
      <c r="O93" s="13" t="s">
        <v>22</v>
      </c>
    </row>
    <row r="94" spans="1:15" ht="15" customHeight="1" x14ac:dyDescent="0.2">
      <c r="A94" s="13" t="s">
        <v>18</v>
      </c>
      <c r="B94" s="14">
        <v>45894</v>
      </c>
      <c r="C94" s="15">
        <f t="shared" si="6"/>
        <v>168</v>
      </c>
      <c r="D94" s="13">
        <v>1</v>
      </c>
      <c r="G94" s="15" t="s">
        <v>756</v>
      </c>
      <c r="H94" s="15" t="s">
        <v>805</v>
      </c>
      <c r="I94" s="13">
        <v>131</v>
      </c>
      <c r="J94" s="13">
        <v>5113</v>
      </c>
      <c r="K94" s="13" t="s">
        <v>21</v>
      </c>
      <c r="L94" s="13">
        <v>1</v>
      </c>
      <c r="M94" s="21">
        <v>9139785</v>
      </c>
      <c r="N94" s="21">
        <f t="shared" si="2"/>
        <v>9139785</v>
      </c>
      <c r="O94" s="13" t="s">
        <v>22</v>
      </c>
    </row>
    <row r="95" spans="1:15" ht="15" customHeight="1" x14ac:dyDescent="0.2">
      <c r="A95" s="13" t="s">
        <v>18</v>
      </c>
      <c r="B95" s="14">
        <v>45894</v>
      </c>
      <c r="C95" s="15">
        <f t="shared" si="6"/>
        <v>169</v>
      </c>
      <c r="D95" s="13">
        <v>1</v>
      </c>
      <c r="G95" s="15" t="s">
        <v>756</v>
      </c>
      <c r="H95" s="15" t="s">
        <v>806</v>
      </c>
      <c r="I95" s="13">
        <v>333812</v>
      </c>
      <c r="J95" s="13">
        <v>131</v>
      </c>
      <c r="K95" s="13" t="s">
        <v>21</v>
      </c>
      <c r="L95" s="13">
        <v>1</v>
      </c>
      <c r="M95" s="21">
        <v>91398</v>
      </c>
      <c r="N95" s="21">
        <f t="shared" si="2"/>
        <v>91398</v>
      </c>
      <c r="O95" s="13" t="s">
        <v>22</v>
      </c>
    </row>
    <row r="96" spans="1:15" ht="15" customHeight="1" x14ac:dyDescent="0.2">
      <c r="A96" s="13" t="s">
        <v>18</v>
      </c>
      <c r="B96" s="14">
        <v>45897</v>
      </c>
      <c r="C96" s="15">
        <f t="shared" si="6"/>
        <v>170</v>
      </c>
      <c r="D96" s="13">
        <v>1</v>
      </c>
      <c r="G96" s="15" t="s">
        <v>807</v>
      </c>
      <c r="H96" s="15" t="s">
        <v>808</v>
      </c>
      <c r="I96" s="13">
        <v>131</v>
      </c>
      <c r="J96" s="13">
        <v>5113</v>
      </c>
      <c r="K96" s="13" t="s">
        <v>21</v>
      </c>
      <c r="L96" s="13">
        <v>1</v>
      </c>
      <c r="M96" s="21">
        <v>9677419</v>
      </c>
      <c r="N96" s="21">
        <f t="shared" si="2"/>
        <v>9677419</v>
      </c>
      <c r="O96" s="13" t="s">
        <v>22</v>
      </c>
    </row>
    <row r="97" spans="1:15" ht="15" customHeight="1" x14ac:dyDescent="0.2">
      <c r="A97" s="13" t="s">
        <v>18</v>
      </c>
      <c r="B97" s="14">
        <v>45897</v>
      </c>
      <c r="C97" s="15">
        <f t="shared" si="6"/>
        <v>171</v>
      </c>
      <c r="D97" s="13">
        <v>1</v>
      </c>
      <c r="G97" s="15" t="s">
        <v>807</v>
      </c>
      <c r="H97" s="15" t="s">
        <v>809</v>
      </c>
      <c r="I97" s="13">
        <v>333812</v>
      </c>
      <c r="J97" s="13">
        <v>131</v>
      </c>
      <c r="K97" s="13" t="s">
        <v>21</v>
      </c>
      <c r="L97" s="13">
        <v>1</v>
      </c>
      <c r="M97" s="21">
        <v>96774</v>
      </c>
      <c r="N97" s="21">
        <f t="shared" si="2"/>
        <v>96774</v>
      </c>
      <c r="O97" s="13" t="s">
        <v>22</v>
      </c>
    </row>
    <row r="98" spans="1:15" ht="15" customHeight="1" x14ac:dyDescent="0.2">
      <c r="A98" s="13" t="s">
        <v>18</v>
      </c>
      <c r="B98" s="14">
        <v>45898</v>
      </c>
      <c r="C98" s="15">
        <f t="shared" si="6"/>
        <v>172</v>
      </c>
      <c r="D98" s="13">
        <v>1</v>
      </c>
      <c r="G98" s="15" t="s">
        <v>810</v>
      </c>
      <c r="H98" s="15" t="s">
        <v>811</v>
      </c>
      <c r="I98" s="13">
        <v>131</v>
      </c>
      <c r="J98" s="13">
        <v>5113</v>
      </c>
      <c r="K98" s="13" t="s">
        <v>21</v>
      </c>
      <c r="L98" s="13">
        <v>1</v>
      </c>
      <c r="M98" s="21">
        <v>8602150</v>
      </c>
      <c r="N98" s="21">
        <f t="shared" si="2"/>
        <v>8602150</v>
      </c>
      <c r="O98" s="13" t="s">
        <v>22</v>
      </c>
    </row>
    <row r="99" spans="1:15" ht="15" customHeight="1" x14ac:dyDescent="0.2">
      <c r="A99" s="13" t="s">
        <v>18</v>
      </c>
      <c r="B99" s="14">
        <v>45898</v>
      </c>
      <c r="C99" s="15">
        <f t="shared" si="6"/>
        <v>173</v>
      </c>
      <c r="D99" s="13">
        <v>1</v>
      </c>
      <c r="G99" s="15" t="s">
        <v>810</v>
      </c>
      <c r="H99" s="15" t="s">
        <v>812</v>
      </c>
      <c r="I99" s="13">
        <v>333812</v>
      </c>
      <c r="J99" s="13">
        <v>131</v>
      </c>
      <c r="K99" s="13" t="s">
        <v>21</v>
      </c>
      <c r="L99" s="13">
        <v>1</v>
      </c>
      <c r="M99" s="21">
        <v>86021</v>
      </c>
      <c r="N99" s="21">
        <f t="shared" si="2"/>
        <v>86021</v>
      </c>
      <c r="O99" s="13" t="s">
        <v>22</v>
      </c>
    </row>
    <row r="100" spans="1:15" ht="15" customHeight="1" x14ac:dyDescent="0.2">
      <c r="A100" s="13" t="s">
        <v>18</v>
      </c>
      <c r="B100" s="14">
        <v>45905</v>
      </c>
      <c r="C100" s="15">
        <f t="shared" si="6"/>
        <v>174</v>
      </c>
      <c r="D100" s="13">
        <v>1</v>
      </c>
      <c r="G100" s="15" t="s">
        <v>617</v>
      </c>
      <c r="H100" s="15" t="s">
        <v>813</v>
      </c>
      <c r="I100" s="13">
        <v>131</v>
      </c>
      <c r="J100" s="13">
        <v>5113</v>
      </c>
      <c r="K100" s="13" t="s">
        <v>21</v>
      </c>
      <c r="L100" s="13">
        <v>1</v>
      </c>
      <c r="M100" s="21">
        <v>9677419</v>
      </c>
      <c r="N100" s="21">
        <f t="shared" si="2"/>
        <v>9677419</v>
      </c>
      <c r="O100" s="13" t="s">
        <v>22</v>
      </c>
    </row>
    <row r="101" spans="1:15" ht="15" customHeight="1" x14ac:dyDescent="0.2">
      <c r="A101" s="13" t="s">
        <v>18</v>
      </c>
      <c r="B101" s="14">
        <v>45905</v>
      </c>
      <c r="C101" s="15">
        <f t="shared" si="6"/>
        <v>175</v>
      </c>
      <c r="D101" s="13">
        <v>1</v>
      </c>
      <c r="G101" s="15" t="s">
        <v>617</v>
      </c>
      <c r="H101" s="15" t="s">
        <v>814</v>
      </c>
      <c r="I101" s="13">
        <v>333812</v>
      </c>
      <c r="J101" s="13">
        <v>131</v>
      </c>
      <c r="K101" s="13" t="s">
        <v>21</v>
      </c>
      <c r="L101" s="13">
        <v>1</v>
      </c>
      <c r="M101" s="21">
        <v>96774</v>
      </c>
      <c r="N101" s="21">
        <f t="shared" si="2"/>
        <v>96774</v>
      </c>
      <c r="O101" s="13" t="s">
        <v>22</v>
      </c>
    </row>
    <row r="102" spans="1:15" ht="15" customHeight="1" x14ac:dyDescent="0.2">
      <c r="A102" s="13" t="s">
        <v>18</v>
      </c>
      <c r="B102" s="14">
        <v>45905</v>
      </c>
      <c r="C102" s="15">
        <f t="shared" si="6"/>
        <v>176</v>
      </c>
      <c r="D102" s="13">
        <v>1</v>
      </c>
      <c r="G102" s="15" t="s">
        <v>815</v>
      </c>
      <c r="H102" s="15" t="s">
        <v>816</v>
      </c>
      <c r="I102" s="13">
        <v>131</v>
      </c>
      <c r="J102" s="13">
        <v>5113</v>
      </c>
      <c r="K102" s="13" t="s">
        <v>21</v>
      </c>
      <c r="L102" s="13">
        <v>1</v>
      </c>
      <c r="M102" s="21">
        <v>9139785</v>
      </c>
      <c r="N102" s="21">
        <f t="shared" si="2"/>
        <v>9139785</v>
      </c>
      <c r="O102" s="13" t="s">
        <v>22</v>
      </c>
    </row>
    <row r="103" spans="1:15" ht="15" customHeight="1" x14ac:dyDescent="0.2">
      <c r="A103" s="13" t="s">
        <v>18</v>
      </c>
      <c r="B103" s="14">
        <v>45905</v>
      </c>
      <c r="C103" s="15">
        <f t="shared" si="6"/>
        <v>177</v>
      </c>
      <c r="D103" s="13">
        <v>1</v>
      </c>
      <c r="G103" s="15" t="s">
        <v>815</v>
      </c>
      <c r="H103" s="15" t="s">
        <v>817</v>
      </c>
      <c r="I103" s="13">
        <v>333812</v>
      </c>
      <c r="J103" s="13">
        <v>131</v>
      </c>
      <c r="K103" s="13" t="s">
        <v>21</v>
      </c>
      <c r="L103" s="13">
        <v>1</v>
      </c>
      <c r="M103" s="21">
        <v>91398</v>
      </c>
      <c r="N103" s="21">
        <f t="shared" si="2"/>
        <v>91398</v>
      </c>
      <c r="O103" s="13" t="s">
        <v>22</v>
      </c>
    </row>
    <row r="104" spans="1:15" ht="15" customHeight="1" x14ac:dyDescent="0.2">
      <c r="A104" s="13" t="s">
        <v>18</v>
      </c>
      <c r="B104" s="14">
        <v>45909</v>
      </c>
      <c r="C104" s="15">
        <f t="shared" si="6"/>
        <v>178</v>
      </c>
      <c r="D104" s="13">
        <v>1</v>
      </c>
      <c r="G104" s="15" t="s">
        <v>818</v>
      </c>
      <c r="H104" s="15" t="s">
        <v>819</v>
      </c>
      <c r="I104" s="13">
        <v>131</v>
      </c>
      <c r="J104" s="13">
        <v>5113</v>
      </c>
      <c r="K104" s="13" t="s">
        <v>21</v>
      </c>
      <c r="L104" s="13">
        <v>1</v>
      </c>
      <c r="M104" s="21">
        <v>1935484</v>
      </c>
      <c r="N104" s="21">
        <f t="shared" si="2"/>
        <v>1935484</v>
      </c>
      <c r="O104" s="13" t="s">
        <v>22</v>
      </c>
    </row>
    <row r="105" spans="1:15" ht="15" customHeight="1" x14ac:dyDescent="0.2">
      <c r="A105" s="13" t="s">
        <v>18</v>
      </c>
      <c r="B105" s="14">
        <v>45909</v>
      </c>
      <c r="C105" s="15">
        <f t="shared" si="6"/>
        <v>179</v>
      </c>
      <c r="D105" s="13">
        <v>1</v>
      </c>
      <c r="G105" s="15" t="s">
        <v>818</v>
      </c>
      <c r="H105" s="15" t="s">
        <v>820</v>
      </c>
      <c r="I105" s="13">
        <v>333812</v>
      </c>
      <c r="J105" s="13">
        <v>131</v>
      </c>
      <c r="K105" s="13" t="s">
        <v>21</v>
      </c>
      <c r="L105" s="13">
        <v>1</v>
      </c>
      <c r="M105" s="21">
        <v>19355</v>
      </c>
      <c r="N105" s="21">
        <f t="shared" si="2"/>
        <v>19355</v>
      </c>
      <c r="O105" s="13" t="s">
        <v>22</v>
      </c>
    </row>
    <row r="106" spans="1:15" ht="15" customHeight="1" x14ac:dyDescent="0.2">
      <c r="A106" s="13" t="s">
        <v>18</v>
      </c>
      <c r="B106" s="14">
        <v>45910</v>
      </c>
      <c r="C106" s="15">
        <f t="shared" si="6"/>
        <v>180</v>
      </c>
      <c r="D106" s="13">
        <v>1</v>
      </c>
      <c r="G106" s="15" t="s">
        <v>821</v>
      </c>
      <c r="H106" s="15" t="s">
        <v>822</v>
      </c>
      <c r="I106" s="13">
        <v>131</v>
      </c>
      <c r="J106" s="13">
        <v>5113</v>
      </c>
      <c r="K106" s="13" t="s">
        <v>21</v>
      </c>
      <c r="L106" s="13">
        <v>1</v>
      </c>
      <c r="M106" s="21">
        <v>8602150</v>
      </c>
      <c r="N106" s="21">
        <f t="shared" si="2"/>
        <v>8602150</v>
      </c>
      <c r="O106" s="13" t="s">
        <v>22</v>
      </c>
    </row>
    <row r="107" spans="1:15" ht="15" customHeight="1" x14ac:dyDescent="0.2">
      <c r="A107" s="13" t="s">
        <v>18</v>
      </c>
      <c r="B107" s="14">
        <v>45910</v>
      </c>
      <c r="C107" s="15">
        <f t="shared" si="6"/>
        <v>181</v>
      </c>
      <c r="D107" s="13">
        <v>1</v>
      </c>
      <c r="G107" s="15" t="s">
        <v>821</v>
      </c>
      <c r="H107" s="15" t="s">
        <v>823</v>
      </c>
      <c r="I107" s="13">
        <v>333812</v>
      </c>
      <c r="J107" s="13">
        <v>131</v>
      </c>
      <c r="K107" s="13" t="s">
        <v>21</v>
      </c>
      <c r="L107" s="13">
        <v>1</v>
      </c>
      <c r="M107" s="21">
        <v>86021</v>
      </c>
      <c r="N107" s="21">
        <f t="shared" si="2"/>
        <v>86021</v>
      </c>
      <c r="O107" s="13" t="s">
        <v>22</v>
      </c>
    </row>
    <row r="108" spans="1:15" ht="15" customHeight="1" x14ac:dyDescent="0.2">
      <c r="A108" s="13" t="s">
        <v>18</v>
      </c>
      <c r="B108" s="14">
        <v>45915</v>
      </c>
      <c r="C108" s="15">
        <f t="shared" si="6"/>
        <v>182</v>
      </c>
      <c r="D108" s="13">
        <v>1</v>
      </c>
      <c r="G108" s="15" t="s">
        <v>821</v>
      </c>
      <c r="H108" s="15" t="s">
        <v>824</v>
      </c>
      <c r="I108" s="13">
        <v>131</v>
      </c>
      <c r="J108" s="13">
        <v>5113</v>
      </c>
      <c r="K108" s="13" t="s">
        <v>21</v>
      </c>
      <c r="L108" s="13">
        <v>1</v>
      </c>
      <c r="M108" s="21">
        <v>8602150</v>
      </c>
      <c r="N108" s="21">
        <f t="shared" si="2"/>
        <v>8602150</v>
      </c>
      <c r="O108" s="13" t="s">
        <v>22</v>
      </c>
    </row>
    <row r="109" spans="1:15" ht="15" customHeight="1" x14ac:dyDescent="0.2">
      <c r="A109" s="13" t="s">
        <v>18</v>
      </c>
      <c r="B109" s="14">
        <v>45915</v>
      </c>
      <c r="C109" s="15">
        <f t="shared" si="6"/>
        <v>183</v>
      </c>
      <c r="D109" s="13">
        <v>1</v>
      </c>
      <c r="G109" s="15" t="s">
        <v>821</v>
      </c>
      <c r="H109" s="15" t="s">
        <v>825</v>
      </c>
      <c r="I109" s="13">
        <v>333812</v>
      </c>
      <c r="J109" s="13">
        <v>131</v>
      </c>
      <c r="K109" s="13" t="s">
        <v>21</v>
      </c>
      <c r="L109" s="13">
        <v>1</v>
      </c>
      <c r="M109" s="21">
        <v>86021</v>
      </c>
      <c r="N109" s="21">
        <f t="shared" si="2"/>
        <v>86021</v>
      </c>
      <c r="O109" s="13" t="s">
        <v>22</v>
      </c>
    </row>
    <row r="110" spans="1:15" ht="15" customHeight="1" x14ac:dyDescent="0.2">
      <c r="A110" s="13" t="s">
        <v>18</v>
      </c>
      <c r="B110" s="14">
        <v>45915</v>
      </c>
      <c r="C110" s="15">
        <f t="shared" si="6"/>
        <v>184</v>
      </c>
      <c r="D110" s="13">
        <v>1</v>
      </c>
      <c r="G110" s="15" t="s">
        <v>826</v>
      </c>
      <c r="H110" s="15" t="s">
        <v>827</v>
      </c>
      <c r="I110" s="13">
        <v>131</v>
      </c>
      <c r="J110" s="13">
        <v>5113</v>
      </c>
      <c r="K110" s="13" t="s">
        <v>21</v>
      </c>
      <c r="L110" s="13">
        <v>1</v>
      </c>
      <c r="M110" s="21">
        <v>2150537</v>
      </c>
      <c r="N110" s="21">
        <f t="shared" si="2"/>
        <v>2150537</v>
      </c>
      <c r="O110" s="13" t="s">
        <v>22</v>
      </c>
    </row>
    <row r="111" spans="1:15" ht="15" customHeight="1" x14ac:dyDescent="0.2">
      <c r="A111" s="13" t="s">
        <v>18</v>
      </c>
      <c r="B111" s="14">
        <v>45915</v>
      </c>
      <c r="C111" s="15">
        <f t="shared" si="6"/>
        <v>185</v>
      </c>
      <c r="D111" s="13">
        <v>1</v>
      </c>
      <c r="G111" s="15" t="s">
        <v>826</v>
      </c>
      <c r="H111" s="15" t="s">
        <v>828</v>
      </c>
      <c r="I111" s="13">
        <v>333812</v>
      </c>
      <c r="J111" s="13">
        <v>131</v>
      </c>
      <c r="K111" s="13" t="s">
        <v>21</v>
      </c>
      <c r="L111" s="13">
        <v>1</v>
      </c>
      <c r="M111" s="21">
        <v>21505</v>
      </c>
      <c r="N111" s="21">
        <f t="shared" si="2"/>
        <v>21505</v>
      </c>
      <c r="O111" s="13" t="s">
        <v>22</v>
      </c>
    </row>
    <row r="112" spans="1:15" ht="15" customHeight="1" x14ac:dyDescent="0.2">
      <c r="A112" s="13" t="s">
        <v>18</v>
      </c>
      <c r="B112" s="14">
        <v>45922</v>
      </c>
      <c r="C112" s="15">
        <f t="shared" si="6"/>
        <v>186</v>
      </c>
      <c r="D112" s="13">
        <v>1</v>
      </c>
      <c r="G112" s="15" t="s">
        <v>829</v>
      </c>
      <c r="H112" s="15" t="s">
        <v>830</v>
      </c>
      <c r="I112" s="13">
        <v>131</v>
      </c>
      <c r="J112" s="13">
        <v>5113</v>
      </c>
      <c r="K112" s="13" t="s">
        <v>21</v>
      </c>
      <c r="L112" s="13">
        <v>1</v>
      </c>
      <c r="M112" s="21">
        <v>10752688</v>
      </c>
      <c r="N112" s="21">
        <f t="shared" si="2"/>
        <v>10752688</v>
      </c>
      <c r="O112" s="13" t="s">
        <v>22</v>
      </c>
    </row>
    <row r="113" spans="1:15" ht="15" customHeight="1" x14ac:dyDescent="0.2">
      <c r="A113" s="13" t="s">
        <v>18</v>
      </c>
      <c r="B113" s="14">
        <v>45922</v>
      </c>
      <c r="C113" s="15">
        <f t="shared" si="6"/>
        <v>187</v>
      </c>
      <c r="D113" s="13">
        <v>1</v>
      </c>
      <c r="G113" s="15" t="s">
        <v>829</v>
      </c>
      <c r="H113" s="15" t="s">
        <v>831</v>
      </c>
      <c r="I113" s="13">
        <v>333812</v>
      </c>
      <c r="J113" s="13">
        <v>131</v>
      </c>
      <c r="K113" s="13" t="s">
        <v>21</v>
      </c>
      <c r="L113" s="13">
        <v>1</v>
      </c>
      <c r="M113" s="21">
        <v>107527</v>
      </c>
      <c r="N113" s="21">
        <f t="shared" si="2"/>
        <v>107527</v>
      </c>
      <c r="O113" s="13" t="s">
        <v>22</v>
      </c>
    </row>
    <row r="114" spans="1:15" ht="15" customHeight="1" x14ac:dyDescent="0.2">
      <c r="A114" s="13" t="s">
        <v>18</v>
      </c>
      <c r="B114" s="14">
        <v>45925</v>
      </c>
      <c r="C114" s="15">
        <f t="shared" si="6"/>
        <v>188</v>
      </c>
      <c r="D114" s="13">
        <v>1</v>
      </c>
      <c r="G114" s="15" t="s">
        <v>832</v>
      </c>
      <c r="H114" s="15" t="s">
        <v>833</v>
      </c>
      <c r="I114" s="13">
        <v>131</v>
      </c>
      <c r="J114" s="13">
        <v>5113</v>
      </c>
      <c r="K114" s="13" t="s">
        <v>21</v>
      </c>
      <c r="L114" s="13">
        <v>1</v>
      </c>
      <c r="M114" s="21">
        <v>3787879</v>
      </c>
      <c r="N114" s="21">
        <f t="shared" si="2"/>
        <v>3787879</v>
      </c>
      <c r="O114" s="13" t="s">
        <v>22</v>
      </c>
    </row>
    <row r="115" spans="1:15" ht="15" customHeight="1" x14ac:dyDescent="0.2">
      <c r="A115" s="13" t="s">
        <v>18</v>
      </c>
      <c r="B115" s="14">
        <v>45925</v>
      </c>
      <c r="C115" s="15">
        <f t="shared" si="6"/>
        <v>189</v>
      </c>
      <c r="D115" s="13">
        <v>1</v>
      </c>
      <c r="G115" s="15" t="s">
        <v>832</v>
      </c>
      <c r="H115" s="15" t="s">
        <v>834</v>
      </c>
      <c r="I115" s="13">
        <v>333812</v>
      </c>
      <c r="J115" s="13">
        <v>131</v>
      </c>
      <c r="K115" s="13" t="s">
        <v>21</v>
      </c>
      <c r="L115" s="13">
        <v>1</v>
      </c>
      <c r="M115" s="21">
        <v>37879</v>
      </c>
      <c r="N115" s="21">
        <f t="shared" si="2"/>
        <v>37879</v>
      </c>
      <c r="O115" s="13" t="s">
        <v>22</v>
      </c>
    </row>
    <row r="116" spans="1:15" ht="15" customHeight="1" x14ac:dyDescent="0.2">
      <c r="A116" s="13" t="s">
        <v>18</v>
      </c>
      <c r="B116" s="14">
        <v>45929</v>
      </c>
      <c r="C116" s="15">
        <f t="shared" si="6"/>
        <v>190</v>
      </c>
      <c r="D116" s="13">
        <v>1</v>
      </c>
      <c r="G116" s="15" t="s">
        <v>832</v>
      </c>
      <c r="H116" s="15" t="s">
        <v>835</v>
      </c>
      <c r="I116" s="13">
        <v>131</v>
      </c>
      <c r="J116" s="13">
        <v>5113</v>
      </c>
      <c r="K116" s="13" t="s">
        <v>21</v>
      </c>
      <c r="L116" s="13">
        <v>1</v>
      </c>
      <c r="M116" s="21">
        <v>4276637</v>
      </c>
      <c r="N116" s="21">
        <f t="shared" si="2"/>
        <v>4276637</v>
      </c>
      <c r="O116" s="13" t="s">
        <v>22</v>
      </c>
    </row>
    <row r="117" spans="1:15" ht="15" customHeight="1" x14ac:dyDescent="0.2">
      <c r="A117" s="13" t="s">
        <v>18</v>
      </c>
      <c r="B117" s="14">
        <v>45929</v>
      </c>
      <c r="C117" s="15">
        <f t="shared" si="6"/>
        <v>191</v>
      </c>
      <c r="D117" s="13">
        <v>1</v>
      </c>
      <c r="G117" s="15" t="s">
        <v>832</v>
      </c>
      <c r="H117" s="15" t="s">
        <v>836</v>
      </c>
      <c r="I117" s="13">
        <v>333812</v>
      </c>
      <c r="J117" s="13">
        <v>131</v>
      </c>
      <c r="K117" s="13" t="s">
        <v>21</v>
      </c>
      <c r="L117" s="13">
        <v>1</v>
      </c>
      <c r="M117" s="21">
        <v>42766</v>
      </c>
      <c r="N117" s="21">
        <f t="shared" si="2"/>
        <v>42766</v>
      </c>
      <c r="O117" s="13" t="s">
        <v>22</v>
      </c>
    </row>
    <row r="118" spans="1:15" ht="15" customHeight="1" x14ac:dyDescent="0.2">
      <c r="A118" s="13" t="s">
        <v>18</v>
      </c>
      <c r="B118" s="14">
        <v>45929</v>
      </c>
      <c r="C118" s="15">
        <f t="shared" si="6"/>
        <v>192</v>
      </c>
      <c r="D118" s="13">
        <v>1</v>
      </c>
      <c r="G118" s="15" t="s">
        <v>821</v>
      </c>
      <c r="H118" s="15" t="s">
        <v>837</v>
      </c>
      <c r="I118" s="13">
        <v>131</v>
      </c>
      <c r="J118" s="13">
        <v>5113</v>
      </c>
      <c r="K118" s="13" t="s">
        <v>21</v>
      </c>
      <c r="L118" s="13">
        <v>1</v>
      </c>
      <c r="M118" s="21">
        <v>8602150</v>
      </c>
      <c r="N118" s="21">
        <f t="shared" ref="N118:N142" si="8">L118*M118</f>
        <v>8602150</v>
      </c>
      <c r="O118" s="13" t="s">
        <v>22</v>
      </c>
    </row>
    <row r="119" spans="1:15" ht="15" customHeight="1" x14ac:dyDescent="0.2">
      <c r="A119" s="13" t="s">
        <v>18</v>
      </c>
      <c r="B119" s="14">
        <v>45929</v>
      </c>
      <c r="C119" s="15">
        <f t="shared" si="6"/>
        <v>193</v>
      </c>
      <c r="D119" s="13">
        <v>1</v>
      </c>
      <c r="G119" s="15" t="s">
        <v>821</v>
      </c>
      <c r="H119" s="15" t="s">
        <v>838</v>
      </c>
      <c r="I119" s="13">
        <v>333812</v>
      </c>
      <c r="J119" s="13">
        <v>131</v>
      </c>
      <c r="K119" s="13" t="s">
        <v>21</v>
      </c>
      <c r="L119" s="13">
        <v>1</v>
      </c>
      <c r="M119" s="21">
        <v>86021</v>
      </c>
      <c r="N119" s="21">
        <f t="shared" si="8"/>
        <v>86021</v>
      </c>
      <c r="O119" s="13" t="s">
        <v>22</v>
      </c>
    </row>
    <row r="120" spans="1:15" ht="15" customHeight="1" x14ac:dyDescent="0.2">
      <c r="A120" s="13" t="s">
        <v>18</v>
      </c>
      <c r="B120" s="14">
        <v>45930</v>
      </c>
      <c r="C120" s="15">
        <f t="shared" si="6"/>
        <v>194</v>
      </c>
      <c r="D120" s="13">
        <v>1</v>
      </c>
      <c r="G120" s="15" t="s">
        <v>839</v>
      </c>
      <c r="H120" s="15" t="s">
        <v>840</v>
      </c>
      <c r="I120" s="13">
        <v>131</v>
      </c>
      <c r="J120" s="13">
        <v>5113</v>
      </c>
      <c r="K120" s="13" t="s">
        <v>21</v>
      </c>
      <c r="L120" s="13">
        <v>1</v>
      </c>
      <c r="M120" s="21">
        <v>8602150</v>
      </c>
      <c r="N120" s="21">
        <f t="shared" si="8"/>
        <v>8602150</v>
      </c>
      <c r="O120" s="13" t="s">
        <v>22</v>
      </c>
    </row>
    <row r="121" spans="1:15" ht="15" customHeight="1" x14ac:dyDescent="0.2">
      <c r="A121" s="13" t="s">
        <v>18</v>
      </c>
      <c r="B121" s="14">
        <v>45930</v>
      </c>
      <c r="C121" s="15">
        <f t="shared" si="6"/>
        <v>195</v>
      </c>
      <c r="D121" s="13">
        <v>1</v>
      </c>
      <c r="G121" s="15" t="s">
        <v>839</v>
      </c>
      <c r="H121" s="15" t="s">
        <v>841</v>
      </c>
      <c r="I121" s="13">
        <v>333812</v>
      </c>
      <c r="J121" s="13">
        <v>131</v>
      </c>
      <c r="K121" s="13" t="s">
        <v>21</v>
      </c>
      <c r="L121" s="13">
        <v>1</v>
      </c>
      <c r="M121" s="21">
        <v>86021</v>
      </c>
      <c r="N121" s="21">
        <f t="shared" ref="N121" si="9">L121*M121</f>
        <v>86021</v>
      </c>
      <c r="O121" s="13" t="s">
        <v>22</v>
      </c>
    </row>
    <row r="122" spans="1:15" ht="15" customHeight="1" x14ac:dyDescent="0.2">
      <c r="A122" s="13" t="s">
        <v>18</v>
      </c>
      <c r="B122" s="14">
        <v>45840</v>
      </c>
      <c r="C122" s="15">
        <f t="shared" si="6"/>
        <v>196</v>
      </c>
      <c r="D122" s="13">
        <v>1</v>
      </c>
      <c r="G122" s="15" t="s">
        <v>31</v>
      </c>
      <c r="H122" s="15" t="s">
        <v>842</v>
      </c>
      <c r="I122" s="13">
        <v>131</v>
      </c>
      <c r="J122" s="13">
        <v>5118</v>
      </c>
      <c r="K122" s="13" t="s">
        <v>21</v>
      </c>
      <c r="L122" s="13">
        <v>1</v>
      </c>
      <c r="M122" s="21">
        <v>32633455</v>
      </c>
      <c r="N122" s="21">
        <f t="shared" ref="N122" si="10">L122*M122</f>
        <v>32633455</v>
      </c>
      <c r="O122" s="13" t="s">
        <v>22</v>
      </c>
    </row>
    <row r="123" spans="1:15" ht="15" customHeight="1" x14ac:dyDescent="0.2">
      <c r="A123" s="13" t="s">
        <v>18</v>
      </c>
      <c r="B123" s="14">
        <v>45873</v>
      </c>
      <c r="C123" s="15">
        <f t="shared" si="6"/>
        <v>197</v>
      </c>
      <c r="D123" s="13">
        <v>1</v>
      </c>
      <c r="G123" s="15" t="s">
        <v>31</v>
      </c>
      <c r="H123" s="15" t="s">
        <v>842</v>
      </c>
      <c r="I123" s="13">
        <v>131</v>
      </c>
      <c r="J123" s="13">
        <v>5118</v>
      </c>
      <c r="K123" s="13" t="s">
        <v>21</v>
      </c>
      <c r="L123" s="13">
        <v>1</v>
      </c>
      <c r="M123" s="21">
        <v>28182941</v>
      </c>
      <c r="N123" s="21">
        <f t="shared" ref="N123:N124" si="11">L123*M123</f>
        <v>28182941</v>
      </c>
      <c r="O123" s="13" t="s">
        <v>22</v>
      </c>
    </row>
    <row r="124" spans="1:15" ht="15" customHeight="1" x14ac:dyDescent="0.2">
      <c r="A124" s="13" t="s">
        <v>18</v>
      </c>
      <c r="B124" s="14">
        <v>45905</v>
      </c>
      <c r="C124" s="15">
        <f t="shared" si="6"/>
        <v>198</v>
      </c>
      <c r="D124" s="13">
        <v>1</v>
      </c>
      <c r="G124" s="15" t="s">
        <v>31</v>
      </c>
      <c r="H124" s="15" t="s">
        <v>842</v>
      </c>
      <c r="I124" s="13">
        <v>131</v>
      </c>
      <c r="J124" s="13">
        <v>5118</v>
      </c>
      <c r="K124" s="13" t="s">
        <v>21</v>
      </c>
      <c r="L124" s="13">
        <v>1</v>
      </c>
      <c r="M124" s="21">
        <v>26699418</v>
      </c>
      <c r="N124" s="21">
        <f t="shared" si="11"/>
        <v>26699418</v>
      </c>
      <c r="O124" s="13" t="s">
        <v>22</v>
      </c>
    </row>
    <row r="125" spans="1:15" ht="15" customHeight="1" x14ac:dyDescent="0.2">
      <c r="A125" s="13" t="s">
        <v>33</v>
      </c>
      <c r="B125" s="14">
        <v>45840</v>
      </c>
      <c r="C125" s="15">
        <f t="shared" si="6"/>
        <v>199</v>
      </c>
      <c r="D125" s="13">
        <v>1</v>
      </c>
      <c r="G125" s="15" t="s">
        <v>31</v>
      </c>
      <c r="H125" s="15" t="s">
        <v>843</v>
      </c>
      <c r="I125" s="13">
        <v>112111</v>
      </c>
      <c r="J125" s="13">
        <v>131</v>
      </c>
      <c r="K125" s="13" t="s">
        <v>21</v>
      </c>
      <c r="L125" s="13">
        <v>1</v>
      </c>
      <c r="M125" s="21">
        <v>32633455</v>
      </c>
      <c r="N125" s="21">
        <f t="shared" si="8"/>
        <v>32633455</v>
      </c>
      <c r="O125" s="13" t="s">
        <v>22</v>
      </c>
    </row>
    <row r="126" spans="1:15" ht="15" customHeight="1" x14ac:dyDescent="0.2">
      <c r="A126" s="13" t="s">
        <v>89</v>
      </c>
      <c r="B126" s="14">
        <v>45840</v>
      </c>
      <c r="C126" s="15">
        <f t="shared" si="6"/>
        <v>200</v>
      </c>
      <c r="D126" s="13">
        <v>1</v>
      </c>
      <c r="G126" s="15" t="s">
        <v>844</v>
      </c>
      <c r="H126" s="15" t="s">
        <v>282</v>
      </c>
      <c r="I126" s="13">
        <v>1111</v>
      </c>
      <c r="J126" s="13">
        <v>112111</v>
      </c>
      <c r="K126" s="13" t="s">
        <v>21</v>
      </c>
      <c r="L126" s="13">
        <v>1</v>
      </c>
      <c r="M126" s="21">
        <v>32000000</v>
      </c>
      <c r="N126" s="21">
        <f t="shared" si="8"/>
        <v>32000000</v>
      </c>
      <c r="O126" s="13" t="s">
        <v>22</v>
      </c>
    </row>
    <row r="127" spans="1:15" ht="15" customHeight="1" x14ac:dyDescent="0.2">
      <c r="A127" s="13" t="s">
        <v>33</v>
      </c>
      <c r="B127" s="14">
        <v>45841</v>
      </c>
      <c r="C127" s="15">
        <f t="shared" si="6"/>
        <v>201</v>
      </c>
      <c r="D127" s="13">
        <v>1</v>
      </c>
      <c r="G127" s="15" t="s">
        <v>756</v>
      </c>
      <c r="H127" s="15" t="s">
        <v>845</v>
      </c>
      <c r="I127" s="13">
        <v>112111</v>
      </c>
      <c r="J127" s="13">
        <v>131</v>
      </c>
      <c r="K127" s="13" t="s">
        <v>21</v>
      </c>
      <c r="L127" s="13">
        <v>1</v>
      </c>
      <c r="M127" s="21">
        <v>9139785</v>
      </c>
      <c r="N127" s="21">
        <f t="shared" si="8"/>
        <v>9139785</v>
      </c>
      <c r="O127" s="13" t="s">
        <v>22</v>
      </c>
    </row>
    <row r="128" spans="1:15" ht="15" customHeight="1" x14ac:dyDescent="0.2">
      <c r="A128" s="13" t="s">
        <v>89</v>
      </c>
      <c r="B128" s="14">
        <v>45841</v>
      </c>
      <c r="C128" s="15">
        <f t="shared" si="6"/>
        <v>202</v>
      </c>
      <c r="D128" s="13">
        <v>1</v>
      </c>
      <c r="G128" s="15" t="s">
        <v>844</v>
      </c>
      <c r="H128" s="15" t="s">
        <v>282</v>
      </c>
      <c r="I128" s="13">
        <v>1111</v>
      </c>
      <c r="J128" s="13">
        <v>112111</v>
      </c>
      <c r="K128" s="13" t="s">
        <v>21</v>
      </c>
      <c r="L128" s="13">
        <v>1</v>
      </c>
      <c r="M128" s="21">
        <v>9000000</v>
      </c>
      <c r="N128" s="21">
        <f t="shared" si="8"/>
        <v>9000000</v>
      </c>
      <c r="O128" s="13" t="s">
        <v>22</v>
      </c>
    </row>
    <row r="129" spans="1:15" ht="15" customHeight="1" x14ac:dyDescent="0.2">
      <c r="A129" s="13" t="s">
        <v>33</v>
      </c>
      <c r="B129" s="14">
        <v>45842</v>
      </c>
      <c r="C129" s="15">
        <f t="shared" si="6"/>
        <v>203</v>
      </c>
      <c r="D129" s="13">
        <v>1</v>
      </c>
      <c r="G129" s="15" t="s">
        <v>239</v>
      </c>
      <c r="H129" s="15" t="s">
        <v>846</v>
      </c>
      <c r="I129" s="13">
        <v>112111</v>
      </c>
      <c r="J129" s="13">
        <v>131</v>
      </c>
      <c r="K129" s="13" t="s">
        <v>21</v>
      </c>
      <c r="L129" s="13">
        <v>1</v>
      </c>
      <c r="M129" s="21">
        <v>10752688</v>
      </c>
      <c r="N129" s="21">
        <f t="shared" si="8"/>
        <v>10752688</v>
      </c>
      <c r="O129" s="13" t="s">
        <v>22</v>
      </c>
    </row>
    <row r="130" spans="1:15" ht="15" customHeight="1" x14ac:dyDescent="0.2">
      <c r="A130" s="13" t="s">
        <v>33</v>
      </c>
      <c r="B130" s="14">
        <v>45842</v>
      </c>
      <c r="C130" s="15">
        <f t="shared" si="6"/>
        <v>204</v>
      </c>
      <c r="D130" s="13">
        <v>1</v>
      </c>
      <c r="G130" s="15" t="s">
        <v>756</v>
      </c>
      <c r="H130" s="15" t="s">
        <v>847</v>
      </c>
      <c r="I130" s="13">
        <v>112111</v>
      </c>
      <c r="J130" s="13">
        <v>131</v>
      </c>
      <c r="K130" s="13" t="s">
        <v>21</v>
      </c>
      <c r="L130" s="13">
        <v>1</v>
      </c>
      <c r="M130" s="21">
        <v>9139785</v>
      </c>
      <c r="N130" s="21">
        <f t="shared" si="8"/>
        <v>9139785</v>
      </c>
      <c r="O130" s="13" t="s">
        <v>22</v>
      </c>
    </row>
    <row r="131" spans="1:15" ht="15" customHeight="1" x14ac:dyDescent="0.2">
      <c r="A131" s="13" t="s">
        <v>89</v>
      </c>
      <c r="B131" s="14">
        <v>45842</v>
      </c>
      <c r="C131" s="15">
        <f t="shared" si="6"/>
        <v>205</v>
      </c>
      <c r="D131" s="13">
        <v>1</v>
      </c>
      <c r="G131" s="15" t="s">
        <v>844</v>
      </c>
      <c r="H131" s="15" t="s">
        <v>282</v>
      </c>
      <c r="I131" s="13">
        <v>1111</v>
      </c>
      <c r="J131" s="13">
        <v>112111</v>
      </c>
      <c r="K131" s="13" t="s">
        <v>21</v>
      </c>
      <c r="L131" s="13">
        <v>1</v>
      </c>
      <c r="M131" s="21">
        <v>18000000</v>
      </c>
      <c r="N131" s="21">
        <f t="shared" si="8"/>
        <v>18000000</v>
      </c>
      <c r="O131" s="13" t="s">
        <v>22</v>
      </c>
    </row>
    <row r="132" spans="1:15" ht="15" customHeight="1" x14ac:dyDescent="0.2">
      <c r="A132" s="13" t="s">
        <v>33</v>
      </c>
      <c r="B132" s="14">
        <v>45846</v>
      </c>
      <c r="C132" s="15">
        <f t="shared" si="6"/>
        <v>206</v>
      </c>
      <c r="D132" s="13">
        <v>1</v>
      </c>
      <c r="G132" s="15" t="s">
        <v>632</v>
      </c>
      <c r="H132" s="15" t="s">
        <v>848</v>
      </c>
      <c r="I132" s="13">
        <v>112111</v>
      </c>
      <c r="J132" s="13">
        <v>131</v>
      </c>
      <c r="K132" s="13" t="s">
        <v>21</v>
      </c>
      <c r="L132" s="13">
        <v>1</v>
      </c>
      <c r="M132" s="21">
        <v>9677419</v>
      </c>
      <c r="N132" s="21">
        <f t="shared" si="8"/>
        <v>9677419</v>
      </c>
      <c r="O132" s="13" t="s">
        <v>22</v>
      </c>
    </row>
    <row r="133" spans="1:15" ht="15" customHeight="1" x14ac:dyDescent="0.2">
      <c r="A133" s="13" t="s">
        <v>33</v>
      </c>
      <c r="B133" s="14">
        <v>45847</v>
      </c>
      <c r="C133" s="15">
        <f t="shared" ref="C133:C196" si="12">C132+D133</f>
        <v>207</v>
      </c>
      <c r="D133" s="13">
        <v>1</v>
      </c>
      <c r="G133" s="15" t="s">
        <v>761</v>
      </c>
      <c r="H133" s="15" t="s">
        <v>849</v>
      </c>
      <c r="I133" s="13">
        <v>112111</v>
      </c>
      <c r="J133" s="13">
        <v>131</v>
      </c>
      <c r="K133" s="13" t="s">
        <v>21</v>
      </c>
      <c r="L133" s="13">
        <v>1</v>
      </c>
      <c r="M133" s="21">
        <v>9000000</v>
      </c>
      <c r="N133" s="21">
        <f t="shared" si="8"/>
        <v>9000000</v>
      </c>
      <c r="O133" s="13" t="s">
        <v>22</v>
      </c>
    </row>
    <row r="134" spans="1:15" ht="15" customHeight="1" x14ac:dyDescent="0.2">
      <c r="A134" s="13" t="s">
        <v>89</v>
      </c>
      <c r="B134" s="14">
        <v>45851</v>
      </c>
      <c r="C134" s="15">
        <f t="shared" si="12"/>
        <v>208</v>
      </c>
      <c r="D134" s="13">
        <v>1</v>
      </c>
      <c r="G134" s="15" t="s">
        <v>844</v>
      </c>
      <c r="H134" s="15" t="s">
        <v>282</v>
      </c>
      <c r="I134" s="13">
        <v>1111</v>
      </c>
      <c r="J134" s="13">
        <v>112111</v>
      </c>
      <c r="K134" s="13" t="s">
        <v>21</v>
      </c>
      <c r="L134" s="13">
        <v>1</v>
      </c>
      <c r="M134" s="21">
        <v>2000000</v>
      </c>
      <c r="N134" s="21">
        <f t="shared" ref="N134" si="13">L134*M134</f>
        <v>2000000</v>
      </c>
      <c r="O134" s="13" t="s">
        <v>22</v>
      </c>
    </row>
    <row r="135" spans="1:15" ht="15" customHeight="1" x14ac:dyDescent="0.2">
      <c r="A135" s="13" t="s">
        <v>89</v>
      </c>
      <c r="B135" s="14">
        <v>45852</v>
      </c>
      <c r="C135" s="15">
        <f t="shared" si="12"/>
        <v>209</v>
      </c>
      <c r="D135" s="13">
        <v>1</v>
      </c>
      <c r="G135" s="15" t="s">
        <v>844</v>
      </c>
      <c r="H135" s="15" t="s">
        <v>282</v>
      </c>
      <c r="I135" s="13">
        <v>1111</v>
      </c>
      <c r="J135" s="13">
        <v>112111</v>
      </c>
      <c r="K135" s="13" t="s">
        <v>21</v>
      </c>
      <c r="L135" s="13">
        <v>1</v>
      </c>
      <c r="M135" s="21">
        <v>17000000</v>
      </c>
      <c r="N135" s="21">
        <f t="shared" ref="N135" si="14">L135*M135</f>
        <v>17000000</v>
      </c>
      <c r="O135" s="13" t="s">
        <v>22</v>
      </c>
    </row>
    <row r="136" spans="1:15" ht="15" customHeight="1" x14ac:dyDescent="0.2">
      <c r="A136" s="13" t="s">
        <v>89</v>
      </c>
      <c r="B136" s="14">
        <v>45854</v>
      </c>
      <c r="C136" s="15">
        <f t="shared" si="12"/>
        <v>210</v>
      </c>
      <c r="D136" s="13">
        <v>1</v>
      </c>
      <c r="G136" s="15" t="s">
        <v>844</v>
      </c>
      <c r="H136" s="15" t="s">
        <v>282</v>
      </c>
      <c r="I136" s="13">
        <v>1111</v>
      </c>
      <c r="J136" s="13">
        <v>112111</v>
      </c>
      <c r="K136" s="13" t="s">
        <v>21</v>
      </c>
      <c r="L136" s="13">
        <v>1</v>
      </c>
      <c r="M136" s="21">
        <v>10000000</v>
      </c>
      <c r="N136" s="21">
        <f t="shared" ref="N136:N137" si="15">L136*M136</f>
        <v>10000000</v>
      </c>
      <c r="O136" s="13" t="s">
        <v>22</v>
      </c>
    </row>
    <row r="137" spans="1:15" ht="15" customHeight="1" x14ac:dyDescent="0.2">
      <c r="A137" s="13" t="s">
        <v>33</v>
      </c>
      <c r="B137" s="14">
        <v>45854</v>
      </c>
      <c r="C137" s="15">
        <f t="shared" si="12"/>
        <v>211</v>
      </c>
      <c r="D137" s="13">
        <v>1</v>
      </c>
      <c r="G137" s="15" t="s">
        <v>751</v>
      </c>
      <c r="H137" s="15" t="s">
        <v>850</v>
      </c>
      <c r="I137" s="13">
        <v>112111</v>
      </c>
      <c r="J137" s="13">
        <v>131</v>
      </c>
      <c r="K137" s="13" t="s">
        <v>21</v>
      </c>
      <c r="L137" s="13">
        <v>1</v>
      </c>
      <c r="M137" s="21">
        <v>9000000</v>
      </c>
      <c r="N137" s="21">
        <f t="shared" si="15"/>
        <v>9000000</v>
      </c>
      <c r="O137" s="13" t="s">
        <v>22</v>
      </c>
    </row>
    <row r="138" spans="1:15" ht="15" customHeight="1" x14ac:dyDescent="0.2">
      <c r="A138" s="13" t="s">
        <v>33</v>
      </c>
      <c r="B138" s="14">
        <v>45855</v>
      </c>
      <c r="C138" s="15">
        <f t="shared" si="12"/>
        <v>212</v>
      </c>
      <c r="D138" s="13">
        <v>1</v>
      </c>
      <c r="G138" s="15" t="s">
        <v>751</v>
      </c>
      <c r="H138" s="15" t="s">
        <v>850</v>
      </c>
      <c r="I138" s="13">
        <v>112111</v>
      </c>
      <c r="J138" s="13">
        <v>131</v>
      </c>
      <c r="K138" s="13" t="s">
        <v>21</v>
      </c>
      <c r="L138" s="13">
        <v>1</v>
      </c>
      <c r="M138" s="21">
        <v>677419</v>
      </c>
      <c r="N138" s="21">
        <f t="shared" si="8"/>
        <v>677419</v>
      </c>
      <c r="O138" s="13" t="s">
        <v>22</v>
      </c>
    </row>
    <row r="139" spans="1:15" ht="15" customHeight="1" x14ac:dyDescent="0.2">
      <c r="A139" s="13" t="s">
        <v>33</v>
      </c>
      <c r="B139" s="14">
        <v>45857</v>
      </c>
      <c r="C139" s="15">
        <f t="shared" si="12"/>
        <v>213</v>
      </c>
      <c r="D139" s="13">
        <v>1</v>
      </c>
      <c r="G139" s="15" t="s">
        <v>851</v>
      </c>
      <c r="H139" s="15" t="s">
        <v>129</v>
      </c>
      <c r="I139" s="13">
        <v>112111</v>
      </c>
      <c r="J139" s="13">
        <v>5154</v>
      </c>
      <c r="K139" s="13" t="s">
        <v>21</v>
      </c>
      <c r="L139" s="13">
        <v>1</v>
      </c>
      <c r="M139" s="21">
        <v>318</v>
      </c>
      <c r="N139" s="21">
        <f t="shared" si="8"/>
        <v>318</v>
      </c>
      <c r="O139" s="13" t="s">
        <v>22</v>
      </c>
    </row>
    <row r="140" spans="1:15" ht="15" customHeight="1" x14ac:dyDescent="0.2">
      <c r="A140" s="13" t="s">
        <v>33</v>
      </c>
      <c r="B140" s="14">
        <v>45859</v>
      </c>
      <c r="C140" s="15">
        <f t="shared" si="12"/>
        <v>214</v>
      </c>
      <c r="D140" s="13">
        <v>1</v>
      </c>
      <c r="G140" s="15" t="s">
        <v>753</v>
      </c>
      <c r="H140" s="15" t="s">
        <v>852</v>
      </c>
      <c r="I140" s="13">
        <v>112111</v>
      </c>
      <c r="J140" s="13">
        <v>131</v>
      </c>
      <c r="K140" s="13" t="s">
        <v>21</v>
      </c>
      <c r="L140" s="13">
        <v>1</v>
      </c>
      <c r="M140" s="21">
        <v>4838709</v>
      </c>
      <c r="N140" s="21">
        <f t="shared" si="8"/>
        <v>4838709</v>
      </c>
      <c r="O140" s="13" t="s">
        <v>22</v>
      </c>
    </row>
    <row r="141" spans="1:15" ht="15" customHeight="1" x14ac:dyDescent="0.2">
      <c r="A141" s="13" t="s">
        <v>33</v>
      </c>
      <c r="B141" s="14">
        <v>45860</v>
      </c>
      <c r="C141" s="15">
        <f t="shared" si="12"/>
        <v>215</v>
      </c>
      <c r="D141" s="13">
        <v>1</v>
      </c>
      <c r="G141" s="15" t="s">
        <v>749</v>
      </c>
      <c r="H141" s="15" t="s">
        <v>853</v>
      </c>
      <c r="I141" s="13">
        <v>112111</v>
      </c>
      <c r="J141" s="13">
        <v>131</v>
      </c>
      <c r="K141" s="13" t="s">
        <v>21</v>
      </c>
      <c r="L141" s="13">
        <v>1</v>
      </c>
      <c r="M141" s="21">
        <v>9677419</v>
      </c>
      <c r="N141" s="21">
        <f t="shared" si="8"/>
        <v>9677419</v>
      </c>
      <c r="O141" s="13" t="s">
        <v>22</v>
      </c>
    </row>
    <row r="142" spans="1:15" ht="15" customHeight="1" x14ac:dyDescent="0.2">
      <c r="A142" s="13" t="s">
        <v>33</v>
      </c>
      <c r="B142" s="14">
        <v>45861</v>
      </c>
      <c r="C142" s="15">
        <f t="shared" si="12"/>
        <v>216</v>
      </c>
      <c r="D142" s="13">
        <v>1</v>
      </c>
      <c r="G142" s="15" t="s">
        <v>768</v>
      </c>
      <c r="H142" s="15" t="s">
        <v>854</v>
      </c>
      <c r="I142" s="13">
        <v>112111</v>
      </c>
      <c r="J142" s="13">
        <v>131</v>
      </c>
      <c r="K142" s="13" t="s">
        <v>21</v>
      </c>
      <c r="L142" s="13">
        <v>1</v>
      </c>
      <c r="M142" s="21">
        <v>7451612</v>
      </c>
      <c r="N142" s="21">
        <f t="shared" si="8"/>
        <v>7451612</v>
      </c>
      <c r="O142" s="13" t="s">
        <v>22</v>
      </c>
    </row>
    <row r="143" spans="1:15" ht="15" customHeight="1" x14ac:dyDescent="0.2">
      <c r="A143" s="13" t="s">
        <v>89</v>
      </c>
      <c r="B143" s="14">
        <v>45861</v>
      </c>
      <c r="C143" s="15">
        <f t="shared" si="12"/>
        <v>217</v>
      </c>
      <c r="D143" s="13">
        <v>1</v>
      </c>
      <c r="G143" s="15" t="s">
        <v>844</v>
      </c>
      <c r="H143" s="15" t="s">
        <v>282</v>
      </c>
      <c r="I143" s="13">
        <v>1111</v>
      </c>
      <c r="J143" s="13">
        <v>112111</v>
      </c>
      <c r="K143" s="13" t="s">
        <v>21</v>
      </c>
      <c r="L143" s="13">
        <v>1</v>
      </c>
      <c r="M143" s="21">
        <v>5700000</v>
      </c>
      <c r="N143" s="21">
        <f t="shared" ref="N143:N149" si="16">L143*M143</f>
        <v>5700000</v>
      </c>
      <c r="O143" s="13" t="s">
        <v>22</v>
      </c>
    </row>
    <row r="144" spans="1:15" ht="15" customHeight="1" x14ac:dyDescent="0.2">
      <c r="A144" s="13" t="s">
        <v>89</v>
      </c>
      <c r="B144" s="14">
        <v>45861</v>
      </c>
      <c r="C144" s="15">
        <f t="shared" si="12"/>
        <v>218</v>
      </c>
      <c r="D144" s="13">
        <v>1</v>
      </c>
      <c r="G144" s="15" t="s">
        <v>29</v>
      </c>
      <c r="H144" s="15" t="s">
        <v>855</v>
      </c>
      <c r="I144" s="13">
        <v>333821</v>
      </c>
      <c r="J144" s="13">
        <v>112111</v>
      </c>
      <c r="K144" s="13" t="s">
        <v>21</v>
      </c>
      <c r="L144" s="13">
        <v>1</v>
      </c>
      <c r="M144" s="21">
        <v>13717746</v>
      </c>
      <c r="N144" s="21">
        <f t="shared" si="16"/>
        <v>13717746</v>
      </c>
      <c r="O144" s="13" t="s">
        <v>22</v>
      </c>
    </row>
    <row r="145" spans="1:15" ht="15" customHeight="1" x14ac:dyDescent="0.2">
      <c r="A145" s="13" t="s">
        <v>89</v>
      </c>
      <c r="B145" s="14">
        <v>45861</v>
      </c>
      <c r="C145" s="15">
        <f t="shared" si="12"/>
        <v>219</v>
      </c>
      <c r="D145" s="13">
        <v>1</v>
      </c>
      <c r="G145" s="15" t="s">
        <v>29</v>
      </c>
      <c r="H145" s="15" t="s">
        <v>855</v>
      </c>
      <c r="I145" s="13">
        <v>333821</v>
      </c>
      <c r="J145" s="13">
        <v>112111</v>
      </c>
      <c r="K145" s="13" t="s">
        <v>21</v>
      </c>
      <c r="L145" s="13">
        <v>1</v>
      </c>
      <c r="M145" s="21">
        <v>7797099</v>
      </c>
      <c r="N145" s="21">
        <f t="shared" si="16"/>
        <v>7797099</v>
      </c>
      <c r="O145" s="13" t="s">
        <v>22</v>
      </c>
    </row>
    <row r="146" spans="1:15" ht="15" customHeight="1" x14ac:dyDescent="0.2">
      <c r="A146" s="13" t="s">
        <v>33</v>
      </c>
      <c r="B146" s="14">
        <v>45862</v>
      </c>
      <c r="C146" s="15">
        <f t="shared" si="12"/>
        <v>220</v>
      </c>
      <c r="D146" s="13">
        <v>1</v>
      </c>
      <c r="G146" s="15" t="s">
        <v>844</v>
      </c>
      <c r="H146" s="15" t="s">
        <v>282</v>
      </c>
      <c r="I146" s="13">
        <v>1111</v>
      </c>
      <c r="J146" s="13">
        <v>112111</v>
      </c>
      <c r="K146" s="13" t="s">
        <v>21</v>
      </c>
      <c r="L146" s="13">
        <v>1</v>
      </c>
      <c r="M146" s="21">
        <v>9000000</v>
      </c>
      <c r="N146" s="21">
        <f t="shared" si="16"/>
        <v>9000000</v>
      </c>
      <c r="O146" s="13" t="s">
        <v>22</v>
      </c>
    </row>
    <row r="147" spans="1:15" ht="15" customHeight="1" x14ac:dyDescent="0.2">
      <c r="A147" s="13" t="s">
        <v>89</v>
      </c>
      <c r="B147" s="14">
        <v>45862</v>
      </c>
      <c r="C147" s="15">
        <f t="shared" si="12"/>
        <v>221</v>
      </c>
      <c r="D147" s="13">
        <v>1</v>
      </c>
      <c r="G147" s="15" t="s">
        <v>756</v>
      </c>
      <c r="H147" s="15" t="s">
        <v>856</v>
      </c>
      <c r="I147" s="13">
        <v>112111</v>
      </c>
      <c r="J147" s="13">
        <v>131</v>
      </c>
      <c r="K147" s="13" t="s">
        <v>21</v>
      </c>
      <c r="L147" s="13">
        <v>1</v>
      </c>
      <c r="M147" s="21">
        <v>9139785</v>
      </c>
      <c r="N147" s="21">
        <f t="shared" si="16"/>
        <v>9139785</v>
      </c>
      <c r="O147" s="13" t="s">
        <v>22</v>
      </c>
    </row>
    <row r="148" spans="1:15" ht="15" customHeight="1" x14ac:dyDescent="0.2">
      <c r="A148" s="13" t="s">
        <v>33</v>
      </c>
      <c r="B148" s="14">
        <v>45863</v>
      </c>
      <c r="C148" s="15">
        <f t="shared" si="12"/>
        <v>222</v>
      </c>
      <c r="D148" s="13">
        <v>1</v>
      </c>
      <c r="G148" s="15" t="s">
        <v>774</v>
      </c>
      <c r="H148" s="15" t="s">
        <v>857</v>
      </c>
      <c r="I148" s="13">
        <v>112111</v>
      </c>
      <c r="J148" s="13">
        <v>131</v>
      </c>
      <c r="K148" s="13" t="s">
        <v>21</v>
      </c>
      <c r="L148" s="13">
        <v>1</v>
      </c>
      <c r="M148" s="21">
        <v>12000000</v>
      </c>
      <c r="N148" s="21">
        <f t="shared" si="16"/>
        <v>12000000</v>
      </c>
      <c r="O148" s="13" t="s">
        <v>22</v>
      </c>
    </row>
    <row r="149" spans="1:15" ht="15" customHeight="1" x14ac:dyDescent="0.2">
      <c r="A149" s="13" t="s">
        <v>89</v>
      </c>
      <c r="B149" s="14">
        <v>45863</v>
      </c>
      <c r="C149" s="15">
        <f t="shared" si="12"/>
        <v>223</v>
      </c>
      <c r="D149" s="13">
        <v>1</v>
      </c>
      <c r="G149" s="15" t="s">
        <v>844</v>
      </c>
      <c r="H149" s="15" t="s">
        <v>282</v>
      </c>
      <c r="I149" s="13">
        <v>1111</v>
      </c>
      <c r="J149" s="13">
        <v>112111</v>
      </c>
      <c r="K149" s="13" t="s">
        <v>21</v>
      </c>
      <c r="L149" s="13">
        <v>1</v>
      </c>
      <c r="M149" s="21">
        <v>11000000</v>
      </c>
      <c r="N149" s="21">
        <f t="shared" si="16"/>
        <v>11000000</v>
      </c>
      <c r="O149" s="13" t="s">
        <v>22</v>
      </c>
    </row>
    <row r="150" spans="1:15" ht="15" customHeight="1" x14ac:dyDescent="0.2">
      <c r="A150" s="13" t="s">
        <v>33</v>
      </c>
      <c r="B150" s="14">
        <v>45866</v>
      </c>
      <c r="C150" s="15">
        <f t="shared" si="12"/>
        <v>224</v>
      </c>
      <c r="D150" s="13">
        <v>1</v>
      </c>
      <c r="G150" s="15" t="s">
        <v>753</v>
      </c>
      <c r="H150" s="15" t="s">
        <v>858</v>
      </c>
      <c r="I150" s="13">
        <v>112111</v>
      </c>
      <c r="J150" s="13">
        <v>131</v>
      </c>
      <c r="K150" s="13" t="s">
        <v>21</v>
      </c>
      <c r="L150" s="13">
        <v>1</v>
      </c>
      <c r="M150" s="21">
        <v>4838710</v>
      </c>
      <c r="N150" s="21">
        <f t="shared" ref="N150:N152" si="17">L150*M150</f>
        <v>4838710</v>
      </c>
      <c r="O150" s="13" t="s">
        <v>22</v>
      </c>
    </row>
    <row r="151" spans="1:15" ht="15" customHeight="1" x14ac:dyDescent="0.2">
      <c r="A151" s="13" t="s">
        <v>33</v>
      </c>
      <c r="B151" s="14">
        <v>45866</v>
      </c>
      <c r="C151" s="15">
        <f t="shared" si="12"/>
        <v>225</v>
      </c>
      <c r="D151" s="13">
        <v>1</v>
      </c>
      <c r="G151" s="15" t="s">
        <v>771</v>
      </c>
      <c r="H151" s="15" t="s">
        <v>859</v>
      </c>
      <c r="I151" s="13">
        <v>112111</v>
      </c>
      <c r="J151" s="13">
        <v>131</v>
      </c>
      <c r="K151" s="13" t="s">
        <v>21</v>
      </c>
      <c r="L151" s="13">
        <v>1</v>
      </c>
      <c r="M151" s="21">
        <v>8516129</v>
      </c>
      <c r="N151" s="21">
        <f t="shared" si="17"/>
        <v>8516129</v>
      </c>
      <c r="O151" s="13" t="s">
        <v>22</v>
      </c>
    </row>
    <row r="152" spans="1:15" ht="15" customHeight="1" x14ac:dyDescent="0.2">
      <c r="A152" s="13" t="s">
        <v>89</v>
      </c>
      <c r="B152" s="14">
        <v>45866</v>
      </c>
      <c r="C152" s="15">
        <f t="shared" si="12"/>
        <v>226</v>
      </c>
      <c r="D152" s="13">
        <v>1</v>
      </c>
      <c r="G152" s="15" t="s">
        <v>844</v>
      </c>
      <c r="H152" s="15" t="s">
        <v>282</v>
      </c>
      <c r="I152" s="13">
        <v>1111</v>
      </c>
      <c r="J152" s="13">
        <v>112111</v>
      </c>
      <c r="K152" s="13" t="s">
        <v>21</v>
      </c>
      <c r="L152" s="13">
        <v>1</v>
      </c>
      <c r="M152" s="21">
        <v>12500000</v>
      </c>
      <c r="N152" s="21">
        <f t="shared" si="17"/>
        <v>12500000</v>
      </c>
      <c r="O152" s="13" t="s">
        <v>22</v>
      </c>
    </row>
    <row r="153" spans="1:15" ht="15" customHeight="1" x14ac:dyDescent="0.2">
      <c r="A153" s="13" t="s">
        <v>33</v>
      </c>
      <c r="B153" s="14">
        <v>45867</v>
      </c>
      <c r="C153" s="15">
        <f t="shared" si="12"/>
        <v>227</v>
      </c>
      <c r="D153" s="13">
        <v>1</v>
      </c>
      <c r="G153" s="15" t="s">
        <v>756</v>
      </c>
      <c r="H153" s="15" t="s">
        <v>860</v>
      </c>
      <c r="I153" s="13">
        <v>112111</v>
      </c>
      <c r="J153" s="13">
        <v>131</v>
      </c>
      <c r="K153" s="13" t="s">
        <v>21</v>
      </c>
      <c r="L153" s="13">
        <v>1</v>
      </c>
      <c r="M153" s="21">
        <v>10112903</v>
      </c>
      <c r="N153" s="21">
        <f t="shared" ref="N153:N154" si="18">L153*M153</f>
        <v>10112903</v>
      </c>
      <c r="O153" s="13" t="s">
        <v>22</v>
      </c>
    </row>
    <row r="154" spans="1:15" ht="15" customHeight="1" x14ac:dyDescent="0.2">
      <c r="A154" s="13" t="s">
        <v>89</v>
      </c>
      <c r="B154" s="14">
        <v>45868</v>
      </c>
      <c r="C154" s="15">
        <f t="shared" si="12"/>
        <v>228</v>
      </c>
      <c r="D154" s="13">
        <v>1</v>
      </c>
      <c r="G154" s="15" t="s">
        <v>844</v>
      </c>
      <c r="H154" s="15" t="s">
        <v>282</v>
      </c>
      <c r="I154" s="13">
        <v>1111</v>
      </c>
      <c r="J154" s="13">
        <v>112111</v>
      </c>
      <c r="K154" s="13" t="s">
        <v>21</v>
      </c>
      <c r="L154" s="13">
        <v>1</v>
      </c>
      <c r="M154" s="21">
        <v>10000000</v>
      </c>
      <c r="N154" s="21">
        <f t="shared" si="18"/>
        <v>10000000</v>
      </c>
      <c r="O154" s="13" t="s">
        <v>22</v>
      </c>
    </row>
    <row r="155" spans="1:15" ht="15" customHeight="1" x14ac:dyDescent="0.2">
      <c r="A155" s="13" t="s">
        <v>89</v>
      </c>
      <c r="B155" s="14">
        <v>45870</v>
      </c>
      <c r="C155" s="15">
        <f t="shared" si="12"/>
        <v>229</v>
      </c>
      <c r="D155" s="13">
        <v>1</v>
      </c>
      <c r="G155" s="15" t="s">
        <v>844</v>
      </c>
      <c r="H155" s="15" t="s">
        <v>282</v>
      </c>
      <c r="I155" s="13">
        <v>1111</v>
      </c>
      <c r="J155" s="13">
        <v>112111</v>
      </c>
      <c r="K155" s="13" t="s">
        <v>21</v>
      </c>
      <c r="L155" s="13">
        <v>1</v>
      </c>
      <c r="M155" s="21">
        <v>10000000</v>
      </c>
      <c r="N155" s="21">
        <f t="shared" ref="N155" si="19">L155*M155</f>
        <v>10000000</v>
      </c>
      <c r="O155" s="13" t="s">
        <v>22</v>
      </c>
    </row>
    <row r="156" spans="1:15" ht="15" customHeight="1" x14ac:dyDescent="0.2">
      <c r="A156" s="13" t="s">
        <v>33</v>
      </c>
      <c r="B156" s="14">
        <v>45870</v>
      </c>
      <c r="C156" s="15">
        <f t="shared" si="12"/>
        <v>230</v>
      </c>
      <c r="D156" s="13">
        <v>1</v>
      </c>
      <c r="G156" s="15" t="s">
        <v>756</v>
      </c>
      <c r="H156" s="15" t="s">
        <v>861</v>
      </c>
      <c r="I156" s="13">
        <v>112111</v>
      </c>
      <c r="J156" s="13">
        <v>131</v>
      </c>
      <c r="K156" s="13" t="s">
        <v>21</v>
      </c>
      <c r="L156" s="13">
        <v>1</v>
      </c>
      <c r="M156" s="21">
        <v>1075269</v>
      </c>
      <c r="N156" s="21">
        <f t="shared" ref="N156:N159" si="20">L156*M156</f>
        <v>1075269</v>
      </c>
      <c r="O156" s="13" t="s">
        <v>22</v>
      </c>
    </row>
    <row r="157" spans="1:15" ht="15" customHeight="1" x14ac:dyDescent="0.2">
      <c r="A157" s="13" t="s">
        <v>33</v>
      </c>
      <c r="B157" s="14">
        <v>45870</v>
      </c>
      <c r="C157" s="15">
        <f t="shared" si="12"/>
        <v>231</v>
      </c>
      <c r="D157" s="13">
        <v>1</v>
      </c>
      <c r="G157" s="15" t="s">
        <v>777</v>
      </c>
      <c r="H157" s="15" t="s">
        <v>862</v>
      </c>
      <c r="I157" s="13">
        <v>112111</v>
      </c>
      <c r="J157" s="13">
        <v>131</v>
      </c>
      <c r="K157" s="13" t="s">
        <v>21</v>
      </c>
      <c r="L157" s="13">
        <v>1</v>
      </c>
      <c r="M157" s="21">
        <v>8064516</v>
      </c>
      <c r="N157" s="21">
        <f t="shared" si="20"/>
        <v>8064516</v>
      </c>
      <c r="O157" s="13" t="s">
        <v>22</v>
      </c>
    </row>
    <row r="158" spans="1:15" ht="15" customHeight="1" x14ac:dyDescent="0.2">
      <c r="A158" s="13" t="s">
        <v>33</v>
      </c>
      <c r="B158" s="14">
        <v>45870</v>
      </c>
      <c r="C158" s="15">
        <f t="shared" si="12"/>
        <v>232</v>
      </c>
      <c r="D158" s="13">
        <v>1</v>
      </c>
      <c r="G158" s="15" t="s">
        <v>781</v>
      </c>
      <c r="H158" s="15" t="s">
        <v>863</v>
      </c>
      <c r="I158" s="13">
        <v>112111</v>
      </c>
      <c r="J158" s="13">
        <v>131</v>
      </c>
      <c r="K158" s="13" t="s">
        <v>21</v>
      </c>
      <c r="L158" s="13">
        <v>1</v>
      </c>
      <c r="M158" s="21">
        <v>2129033</v>
      </c>
      <c r="N158" s="21">
        <f t="shared" si="20"/>
        <v>2129033</v>
      </c>
      <c r="O158" s="13" t="s">
        <v>22</v>
      </c>
    </row>
    <row r="159" spans="1:15" ht="15" customHeight="1" x14ac:dyDescent="0.2">
      <c r="A159" s="13" t="s">
        <v>89</v>
      </c>
      <c r="B159" s="14">
        <v>45871</v>
      </c>
      <c r="C159" s="15">
        <f t="shared" si="12"/>
        <v>233</v>
      </c>
      <c r="D159" s="13">
        <v>1</v>
      </c>
      <c r="G159" s="15" t="s">
        <v>844</v>
      </c>
      <c r="H159" s="15" t="s">
        <v>282</v>
      </c>
      <c r="I159" s="13">
        <v>1111</v>
      </c>
      <c r="J159" s="13">
        <v>112111</v>
      </c>
      <c r="K159" s="13" t="s">
        <v>21</v>
      </c>
      <c r="L159" s="13">
        <v>1</v>
      </c>
      <c r="M159" s="21">
        <v>500000</v>
      </c>
      <c r="N159" s="21">
        <f t="shared" si="20"/>
        <v>500000</v>
      </c>
      <c r="O159" s="13" t="s">
        <v>22</v>
      </c>
    </row>
    <row r="160" spans="1:15" ht="15" customHeight="1" x14ac:dyDescent="0.2">
      <c r="A160" s="13" t="s">
        <v>89</v>
      </c>
      <c r="B160" s="14">
        <v>45872</v>
      </c>
      <c r="C160" s="15">
        <f t="shared" si="12"/>
        <v>234</v>
      </c>
      <c r="D160" s="13">
        <v>1</v>
      </c>
      <c r="G160" s="15" t="s">
        <v>844</v>
      </c>
      <c r="H160" s="15" t="s">
        <v>282</v>
      </c>
      <c r="I160" s="13">
        <v>1111</v>
      </c>
      <c r="J160" s="13">
        <v>112111</v>
      </c>
      <c r="K160" s="13" t="s">
        <v>21</v>
      </c>
      <c r="L160" s="13">
        <v>1</v>
      </c>
      <c r="M160" s="21">
        <v>500000</v>
      </c>
      <c r="N160" s="21">
        <f t="shared" ref="N160" si="21">L160*M160</f>
        <v>500000</v>
      </c>
      <c r="O160" s="13" t="s">
        <v>22</v>
      </c>
    </row>
    <row r="161" spans="1:15" ht="15" customHeight="1" x14ac:dyDescent="0.2">
      <c r="A161" s="13" t="s">
        <v>89</v>
      </c>
      <c r="B161" s="14">
        <v>45873</v>
      </c>
      <c r="C161" s="15">
        <f t="shared" si="12"/>
        <v>235</v>
      </c>
      <c r="D161" s="13">
        <v>1</v>
      </c>
      <c r="G161" s="15" t="s">
        <v>844</v>
      </c>
      <c r="H161" s="15" t="s">
        <v>282</v>
      </c>
      <c r="I161" s="13">
        <v>1111</v>
      </c>
      <c r="J161" s="13">
        <v>112111</v>
      </c>
      <c r="K161" s="13" t="s">
        <v>21</v>
      </c>
      <c r="L161" s="13">
        <v>1</v>
      </c>
      <c r="M161" s="21">
        <v>28000000</v>
      </c>
      <c r="N161" s="21">
        <f t="shared" ref="N161:N162" si="22">L161*M161</f>
        <v>28000000</v>
      </c>
      <c r="O161" s="13" t="s">
        <v>22</v>
      </c>
    </row>
    <row r="162" spans="1:15" ht="15" customHeight="1" x14ac:dyDescent="0.2">
      <c r="A162" s="13" t="s">
        <v>33</v>
      </c>
      <c r="B162" s="14">
        <v>45873</v>
      </c>
      <c r="C162" s="15">
        <f t="shared" si="12"/>
        <v>236</v>
      </c>
      <c r="D162" s="13">
        <v>1</v>
      </c>
      <c r="G162" s="15" t="s">
        <v>31</v>
      </c>
      <c r="H162" s="15" t="s">
        <v>843</v>
      </c>
      <c r="I162" s="13">
        <v>112111</v>
      </c>
      <c r="J162" s="13">
        <v>131</v>
      </c>
      <c r="K162" s="13" t="s">
        <v>21</v>
      </c>
      <c r="L162" s="13">
        <v>1</v>
      </c>
      <c r="M162" s="21">
        <v>28182941</v>
      </c>
      <c r="N162" s="21">
        <f t="shared" si="22"/>
        <v>28182941</v>
      </c>
      <c r="O162" s="13" t="s">
        <v>22</v>
      </c>
    </row>
    <row r="163" spans="1:15" ht="15" customHeight="1" x14ac:dyDescent="0.2">
      <c r="A163" s="13" t="s">
        <v>89</v>
      </c>
      <c r="B163" s="14">
        <v>45874</v>
      </c>
      <c r="C163" s="15">
        <f t="shared" si="12"/>
        <v>237</v>
      </c>
      <c r="D163" s="13">
        <v>1</v>
      </c>
      <c r="G163" s="15" t="s">
        <v>29</v>
      </c>
      <c r="H163" s="15" t="s">
        <v>864</v>
      </c>
      <c r="I163" s="13">
        <v>333822</v>
      </c>
      <c r="J163" s="13">
        <v>112111</v>
      </c>
      <c r="K163" s="13" t="s">
        <v>21</v>
      </c>
      <c r="L163" s="13">
        <v>1</v>
      </c>
      <c r="M163" s="21">
        <v>2178</v>
      </c>
      <c r="N163" s="21">
        <f t="shared" ref="N163:N164" si="23">L163*M163</f>
        <v>2178</v>
      </c>
      <c r="O163" s="13" t="s">
        <v>22</v>
      </c>
    </row>
    <row r="164" spans="1:15" ht="15" customHeight="1" x14ac:dyDescent="0.2">
      <c r="A164" s="13" t="s">
        <v>89</v>
      </c>
      <c r="B164" s="14">
        <v>45875</v>
      </c>
      <c r="C164" s="15">
        <f t="shared" si="12"/>
        <v>238</v>
      </c>
      <c r="D164" s="13">
        <v>1</v>
      </c>
      <c r="G164" s="15" t="s">
        <v>844</v>
      </c>
      <c r="H164" s="15" t="s">
        <v>282</v>
      </c>
      <c r="I164" s="13">
        <v>1111</v>
      </c>
      <c r="J164" s="13">
        <v>112111</v>
      </c>
      <c r="K164" s="13" t="s">
        <v>21</v>
      </c>
      <c r="L164" s="13">
        <v>1</v>
      </c>
      <c r="M164" s="21">
        <v>9000000</v>
      </c>
      <c r="N164" s="21">
        <f t="shared" si="23"/>
        <v>9000000</v>
      </c>
      <c r="O164" s="13" t="s">
        <v>22</v>
      </c>
    </row>
    <row r="165" spans="1:15" ht="15" customHeight="1" x14ac:dyDescent="0.2">
      <c r="A165" s="13" t="s">
        <v>33</v>
      </c>
      <c r="B165" s="14">
        <v>45875</v>
      </c>
      <c r="C165" s="15">
        <f t="shared" si="12"/>
        <v>239</v>
      </c>
      <c r="D165" s="13">
        <v>1</v>
      </c>
      <c r="G165" s="15" t="s">
        <v>756</v>
      </c>
      <c r="H165" s="15" t="s">
        <v>865</v>
      </c>
      <c r="I165" s="13">
        <v>112111</v>
      </c>
      <c r="J165" s="13">
        <v>131</v>
      </c>
      <c r="K165" s="13" t="s">
        <v>21</v>
      </c>
      <c r="L165" s="13">
        <v>1</v>
      </c>
      <c r="M165" s="21">
        <v>9139785</v>
      </c>
      <c r="N165" s="21">
        <f t="shared" ref="N165:N172" si="24">L165*M165</f>
        <v>9139785</v>
      </c>
      <c r="O165" s="13" t="s">
        <v>22</v>
      </c>
    </row>
    <row r="166" spans="1:15" ht="15" customHeight="1" x14ac:dyDescent="0.2">
      <c r="A166" s="13" t="s">
        <v>89</v>
      </c>
      <c r="B166" s="14">
        <v>45876</v>
      </c>
      <c r="C166" s="15">
        <f t="shared" si="12"/>
        <v>240</v>
      </c>
      <c r="D166" s="13">
        <v>1</v>
      </c>
      <c r="G166" s="15" t="s">
        <v>844</v>
      </c>
      <c r="H166" s="15" t="s">
        <v>282</v>
      </c>
      <c r="I166" s="13">
        <v>1111</v>
      </c>
      <c r="J166" s="13">
        <v>112111</v>
      </c>
      <c r="K166" s="13" t="s">
        <v>21</v>
      </c>
      <c r="L166" s="13">
        <v>1</v>
      </c>
      <c r="M166" s="21">
        <v>9000000</v>
      </c>
      <c r="N166" s="21">
        <f t="shared" si="24"/>
        <v>9000000</v>
      </c>
      <c r="O166" s="13" t="s">
        <v>22</v>
      </c>
    </row>
    <row r="167" spans="1:15" ht="15" customHeight="1" x14ac:dyDescent="0.2">
      <c r="A167" s="13" t="s">
        <v>33</v>
      </c>
      <c r="B167" s="14">
        <v>45876</v>
      </c>
      <c r="C167" s="15">
        <f t="shared" si="12"/>
        <v>241</v>
      </c>
      <c r="D167" s="13">
        <v>1</v>
      </c>
      <c r="G167" s="15" t="s">
        <v>756</v>
      </c>
      <c r="H167" s="15" t="s">
        <v>866</v>
      </c>
      <c r="I167" s="13">
        <v>112111</v>
      </c>
      <c r="J167" s="13">
        <v>131</v>
      </c>
      <c r="K167" s="13" t="s">
        <v>21</v>
      </c>
      <c r="L167" s="13">
        <v>1</v>
      </c>
      <c r="M167" s="21">
        <v>9048387</v>
      </c>
      <c r="N167" s="21">
        <f t="shared" si="24"/>
        <v>9048387</v>
      </c>
      <c r="O167" s="13" t="s">
        <v>22</v>
      </c>
    </row>
    <row r="168" spans="1:15" ht="15" customHeight="1" x14ac:dyDescent="0.2">
      <c r="A168" s="13" t="s">
        <v>33</v>
      </c>
      <c r="B168" s="14">
        <v>45877</v>
      </c>
      <c r="C168" s="15">
        <f t="shared" si="12"/>
        <v>242</v>
      </c>
      <c r="D168" s="13">
        <v>1</v>
      </c>
      <c r="G168" s="15" t="s">
        <v>791</v>
      </c>
      <c r="H168" s="15" t="s">
        <v>867</v>
      </c>
      <c r="I168" s="13">
        <v>112111</v>
      </c>
      <c r="J168" s="13">
        <v>131</v>
      </c>
      <c r="K168" s="13" t="s">
        <v>21</v>
      </c>
      <c r="L168" s="13">
        <v>1</v>
      </c>
      <c r="M168" s="21">
        <v>9580645</v>
      </c>
      <c r="N168" s="21">
        <f t="shared" si="24"/>
        <v>9580645</v>
      </c>
      <c r="O168" s="13" t="s">
        <v>22</v>
      </c>
    </row>
    <row r="169" spans="1:15" ht="15" customHeight="1" x14ac:dyDescent="0.2">
      <c r="A169" s="13" t="s">
        <v>33</v>
      </c>
      <c r="B169" s="14">
        <v>45877</v>
      </c>
      <c r="C169" s="15">
        <f t="shared" si="12"/>
        <v>243</v>
      </c>
      <c r="D169" s="13">
        <v>1</v>
      </c>
      <c r="G169" s="15" t="s">
        <v>784</v>
      </c>
      <c r="H169" s="15" t="s">
        <v>868</v>
      </c>
      <c r="I169" s="13">
        <v>112111</v>
      </c>
      <c r="J169" s="13">
        <v>131</v>
      </c>
      <c r="K169" s="13" t="s">
        <v>21</v>
      </c>
      <c r="L169" s="13">
        <v>1</v>
      </c>
      <c r="M169" s="21">
        <v>9580645</v>
      </c>
      <c r="N169" s="21">
        <f t="shared" si="24"/>
        <v>9580645</v>
      </c>
      <c r="O169" s="13" t="s">
        <v>22</v>
      </c>
    </row>
    <row r="170" spans="1:15" ht="15" customHeight="1" x14ac:dyDescent="0.2">
      <c r="A170" s="13" t="s">
        <v>33</v>
      </c>
      <c r="B170" s="14">
        <v>45877</v>
      </c>
      <c r="C170" s="15">
        <f t="shared" si="12"/>
        <v>244</v>
      </c>
      <c r="D170" s="13">
        <v>1</v>
      </c>
      <c r="G170" s="15" t="s">
        <v>632</v>
      </c>
      <c r="H170" s="15" t="s">
        <v>848</v>
      </c>
      <c r="I170" s="13">
        <v>112111</v>
      </c>
      <c r="J170" s="13">
        <v>131</v>
      </c>
      <c r="K170" s="13" t="s">
        <v>21</v>
      </c>
      <c r="L170" s="13">
        <v>1</v>
      </c>
      <c r="M170" s="21">
        <v>9677419</v>
      </c>
      <c r="N170" s="21">
        <f t="shared" si="24"/>
        <v>9677419</v>
      </c>
      <c r="O170" s="13" t="s">
        <v>22</v>
      </c>
    </row>
    <row r="171" spans="1:15" ht="15" customHeight="1" x14ac:dyDescent="0.2">
      <c r="A171" s="13" t="s">
        <v>89</v>
      </c>
      <c r="B171" s="14">
        <v>45877</v>
      </c>
      <c r="C171" s="15">
        <f t="shared" si="12"/>
        <v>245</v>
      </c>
      <c r="D171" s="13">
        <v>1</v>
      </c>
      <c r="G171" s="15" t="s">
        <v>844</v>
      </c>
      <c r="H171" s="15" t="s">
        <v>282</v>
      </c>
      <c r="I171" s="13">
        <v>1111</v>
      </c>
      <c r="J171" s="13">
        <v>112111</v>
      </c>
      <c r="K171" s="13" t="s">
        <v>21</v>
      </c>
      <c r="L171" s="13">
        <v>1</v>
      </c>
      <c r="M171" s="21">
        <v>9000000</v>
      </c>
      <c r="N171" s="21">
        <f t="shared" si="24"/>
        <v>9000000</v>
      </c>
      <c r="O171" s="13" t="s">
        <v>22</v>
      </c>
    </row>
    <row r="172" spans="1:15" ht="15" customHeight="1" x14ac:dyDescent="0.2">
      <c r="A172" s="13" t="s">
        <v>89</v>
      </c>
      <c r="B172" s="14">
        <v>45877</v>
      </c>
      <c r="C172" s="15">
        <f t="shared" si="12"/>
        <v>246</v>
      </c>
      <c r="D172" s="13">
        <v>1</v>
      </c>
      <c r="G172" s="15" t="s">
        <v>844</v>
      </c>
      <c r="H172" s="15" t="s">
        <v>282</v>
      </c>
      <c r="I172" s="13">
        <v>1111</v>
      </c>
      <c r="J172" s="13">
        <v>112111</v>
      </c>
      <c r="K172" s="13" t="s">
        <v>21</v>
      </c>
      <c r="L172" s="13">
        <v>1</v>
      </c>
      <c r="M172" s="21">
        <v>20000000</v>
      </c>
      <c r="N172" s="21">
        <f t="shared" si="24"/>
        <v>20000000</v>
      </c>
      <c r="O172" s="13" t="s">
        <v>22</v>
      </c>
    </row>
    <row r="173" spans="1:15" ht="15" customHeight="1" x14ac:dyDescent="0.2">
      <c r="A173" s="13" t="s">
        <v>89</v>
      </c>
      <c r="B173" s="14">
        <v>45878</v>
      </c>
      <c r="C173" s="15">
        <f t="shared" si="12"/>
        <v>247</v>
      </c>
      <c r="D173" s="13">
        <v>1</v>
      </c>
      <c r="G173" s="15" t="s">
        <v>844</v>
      </c>
      <c r="H173" s="15" t="s">
        <v>282</v>
      </c>
      <c r="I173" s="13">
        <v>1111</v>
      </c>
      <c r="J173" s="13">
        <v>112111</v>
      </c>
      <c r="K173" s="13" t="s">
        <v>21</v>
      </c>
      <c r="L173" s="13">
        <v>1</v>
      </c>
      <c r="M173" s="21">
        <v>10000000</v>
      </c>
      <c r="N173" s="21">
        <f t="shared" ref="N173:N207" si="25">L173*M173</f>
        <v>10000000</v>
      </c>
      <c r="O173" s="13" t="s">
        <v>22</v>
      </c>
    </row>
    <row r="174" spans="1:15" ht="15" customHeight="1" x14ac:dyDescent="0.2">
      <c r="A174" s="13" t="s">
        <v>89</v>
      </c>
      <c r="B174" s="14">
        <v>45878</v>
      </c>
      <c r="C174" s="15">
        <f t="shared" si="12"/>
        <v>248</v>
      </c>
      <c r="D174" s="13">
        <v>1</v>
      </c>
      <c r="G174" s="15" t="s">
        <v>29</v>
      </c>
      <c r="H174" s="15" t="s">
        <v>864</v>
      </c>
      <c r="I174" s="13">
        <v>333822</v>
      </c>
      <c r="J174" s="13">
        <v>112111</v>
      </c>
      <c r="K174" s="13" t="s">
        <v>21</v>
      </c>
      <c r="L174" s="13">
        <v>1</v>
      </c>
      <c r="M174" s="21">
        <v>1710000</v>
      </c>
      <c r="N174" s="21">
        <f t="shared" si="25"/>
        <v>1710000</v>
      </c>
      <c r="O174" s="13" t="s">
        <v>22</v>
      </c>
    </row>
    <row r="175" spans="1:15" ht="15" customHeight="1" x14ac:dyDescent="0.2">
      <c r="A175" s="13" t="s">
        <v>33</v>
      </c>
      <c r="B175" s="14">
        <v>45878</v>
      </c>
      <c r="C175" s="15">
        <f t="shared" si="12"/>
        <v>249</v>
      </c>
      <c r="D175" s="13">
        <v>1</v>
      </c>
      <c r="G175" s="15" t="s">
        <v>761</v>
      </c>
      <c r="H175" s="15" t="s">
        <v>869</v>
      </c>
      <c r="I175" s="13">
        <v>112111</v>
      </c>
      <c r="J175" s="13">
        <v>131</v>
      </c>
      <c r="K175" s="13" t="s">
        <v>21</v>
      </c>
      <c r="L175" s="13">
        <v>1</v>
      </c>
      <c r="M175" s="21">
        <v>10354839</v>
      </c>
      <c r="N175" s="21">
        <f t="shared" si="25"/>
        <v>10354839</v>
      </c>
      <c r="O175" s="13" t="s">
        <v>22</v>
      </c>
    </row>
    <row r="176" spans="1:15" ht="15" customHeight="1" x14ac:dyDescent="0.2">
      <c r="A176" s="13" t="s">
        <v>89</v>
      </c>
      <c r="B176" s="14">
        <v>45881</v>
      </c>
      <c r="C176" s="15">
        <f t="shared" si="12"/>
        <v>250</v>
      </c>
      <c r="D176" s="13">
        <v>1</v>
      </c>
      <c r="G176" s="15" t="s">
        <v>844</v>
      </c>
      <c r="H176" s="15" t="s">
        <v>282</v>
      </c>
      <c r="I176" s="13">
        <v>1111</v>
      </c>
      <c r="J176" s="13">
        <v>112111</v>
      </c>
      <c r="K176" s="13" t="s">
        <v>21</v>
      </c>
      <c r="L176" s="13">
        <v>1</v>
      </c>
      <c r="M176" s="21">
        <v>12000000</v>
      </c>
      <c r="N176" s="21">
        <f t="shared" si="25"/>
        <v>12000000</v>
      </c>
      <c r="O176" s="13" t="s">
        <v>22</v>
      </c>
    </row>
    <row r="177" spans="1:15" ht="15" customHeight="1" x14ac:dyDescent="0.2">
      <c r="A177" s="13" t="s">
        <v>33</v>
      </c>
      <c r="B177" s="14">
        <v>45881</v>
      </c>
      <c r="C177" s="15">
        <f t="shared" si="12"/>
        <v>251</v>
      </c>
      <c r="D177" s="13">
        <v>1</v>
      </c>
      <c r="G177" s="15" t="s">
        <v>774</v>
      </c>
      <c r="H177" s="15" t="s">
        <v>870</v>
      </c>
      <c r="I177" s="13">
        <v>112111</v>
      </c>
      <c r="J177" s="13">
        <v>131</v>
      </c>
      <c r="K177" s="13" t="s">
        <v>21</v>
      </c>
      <c r="L177" s="13">
        <v>1</v>
      </c>
      <c r="M177" s="21">
        <v>12483871</v>
      </c>
      <c r="N177" s="21">
        <f t="shared" si="25"/>
        <v>12483871</v>
      </c>
      <c r="O177" s="13" t="s">
        <v>22</v>
      </c>
    </row>
    <row r="178" spans="1:15" ht="15" customHeight="1" x14ac:dyDescent="0.2">
      <c r="A178" s="13" t="s">
        <v>89</v>
      </c>
      <c r="B178" s="14">
        <v>45883</v>
      </c>
      <c r="C178" s="15">
        <f t="shared" si="12"/>
        <v>252</v>
      </c>
      <c r="D178" s="13">
        <v>1</v>
      </c>
      <c r="G178" s="15" t="s">
        <v>844</v>
      </c>
      <c r="H178" s="15" t="s">
        <v>282</v>
      </c>
      <c r="I178" s="13">
        <v>1111</v>
      </c>
      <c r="J178" s="13">
        <v>112111</v>
      </c>
      <c r="K178" s="13" t="s">
        <v>21</v>
      </c>
      <c r="L178" s="13">
        <v>1</v>
      </c>
      <c r="M178" s="21">
        <v>5000000</v>
      </c>
      <c r="N178" s="21">
        <f t="shared" ref="N178" si="26">L178*M178</f>
        <v>5000000</v>
      </c>
      <c r="O178" s="13" t="s">
        <v>22</v>
      </c>
    </row>
    <row r="179" spans="1:15" ht="15" customHeight="1" x14ac:dyDescent="0.2">
      <c r="A179" s="13" t="s">
        <v>33</v>
      </c>
      <c r="B179" s="14">
        <v>45883</v>
      </c>
      <c r="C179" s="15">
        <f t="shared" si="12"/>
        <v>253</v>
      </c>
      <c r="D179" s="13">
        <v>1</v>
      </c>
      <c r="G179" s="15" t="s">
        <v>791</v>
      </c>
      <c r="H179" s="15" t="s">
        <v>871</v>
      </c>
      <c r="I179" s="13">
        <v>112111</v>
      </c>
      <c r="J179" s="13">
        <v>131</v>
      </c>
      <c r="K179" s="13" t="s">
        <v>21</v>
      </c>
      <c r="L179" s="13">
        <v>1</v>
      </c>
      <c r="M179" s="21">
        <v>4280000</v>
      </c>
      <c r="N179" s="21">
        <f t="shared" si="25"/>
        <v>4280000</v>
      </c>
      <c r="O179" s="13" t="s">
        <v>22</v>
      </c>
    </row>
    <row r="180" spans="1:15" ht="15" customHeight="1" x14ac:dyDescent="0.2">
      <c r="A180" s="13" t="s">
        <v>33</v>
      </c>
      <c r="B180" s="14">
        <v>45886</v>
      </c>
      <c r="C180" s="15">
        <f t="shared" si="12"/>
        <v>254</v>
      </c>
      <c r="D180" s="13">
        <v>1</v>
      </c>
      <c r="G180" s="15" t="s">
        <v>851</v>
      </c>
      <c r="H180" s="15" t="s">
        <v>129</v>
      </c>
      <c r="I180" s="13">
        <v>112111</v>
      </c>
      <c r="J180" s="13">
        <v>5154</v>
      </c>
      <c r="K180" s="13" t="s">
        <v>21</v>
      </c>
      <c r="L180" s="13">
        <v>1</v>
      </c>
      <c r="M180" s="21">
        <v>139</v>
      </c>
      <c r="N180" s="21">
        <f t="shared" si="25"/>
        <v>139</v>
      </c>
      <c r="O180" s="13" t="s">
        <v>22</v>
      </c>
    </row>
    <row r="181" spans="1:15" ht="15" customHeight="1" x14ac:dyDescent="0.2">
      <c r="A181" s="13" t="s">
        <v>89</v>
      </c>
      <c r="B181" s="14">
        <v>45887</v>
      </c>
      <c r="C181" s="15">
        <f t="shared" si="12"/>
        <v>255</v>
      </c>
      <c r="D181" s="13">
        <v>1</v>
      </c>
      <c r="G181" s="15" t="s">
        <v>844</v>
      </c>
      <c r="H181" s="15" t="s">
        <v>282</v>
      </c>
      <c r="I181" s="13">
        <v>1111</v>
      </c>
      <c r="J181" s="13">
        <v>112111</v>
      </c>
      <c r="K181" s="13" t="s">
        <v>21</v>
      </c>
      <c r="L181" s="13">
        <v>1</v>
      </c>
      <c r="M181" s="21">
        <v>8500000</v>
      </c>
      <c r="N181" s="21">
        <f t="shared" si="25"/>
        <v>8500000</v>
      </c>
      <c r="O181" s="13" t="s">
        <v>22</v>
      </c>
    </row>
    <row r="182" spans="1:15" ht="15" customHeight="1" x14ac:dyDescent="0.2">
      <c r="A182" s="13" t="s">
        <v>33</v>
      </c>
      <c r="B182" s="14">
        <v>45887</v>
      </c>
      <c r="C182" s="15">
        <f t="shared" si="12"/>
        <v>256</v>
      </c>
      <c r="D182" s="13">
        <v>1</v>
      </c>
      <c r="G182" s="15" t="s">
        <v>756</v>
      </c>
      <c r="H182" s="15" t="s">
        <v>872</v>
      </c>
      <c r="I182" s="13">
        <v>112111</v>
      </c>
      <c r="J182" s="13">
        <v>131</v>
      </c>
      <c r="K182" s="13" t="s">
        <v>21</v>
      </c>
      <c r="L182" s="13">
        <v>1</v>
      </c>
      <c r="M182" s="21">
        <v>9048387</v>
      </c>
      <c r="N182" s="21">
        <f t="shared" si="25"/>
        <v>9048387</v>
      </c>
      <c r="O182" s="13" t="s">
        <v>22</v>
      </c>
    </row>
    <row r="183" spans="1:15" ht="15" customHeight="1" x14ac:dyDescent="0.2">
      <c r="A183" s="13" t="s">
        <v>89</v>
      </c>
      <c r="B183" s="14">
        <v>45887</v>
      </c>
      <c r="C183" s="15">
        <f t="shared" si="12"/>
        <v>257</v>
      </c>
      <c r="D183" s="13">
        <v>1</v>
      </c>
      <c r="G183" s="15" t="s">
        <v>844</v>
      </c>
      <c r="H183" s="15" t="s">
        <v>282</v>
      </c>
      <c r="I183" s="13">
        <v>1111</v>
      </c>
      <c r="J183" s="13">
        <v>112111</v>
      </c>
      <c r="K183" s="13" t="s">
        <v>21</v>
      </c>
      <c r="L183" s="13">
        <v>1</v>
      </c>
      <c r="M183" s="21">
        <v>7000000</v>
      </c>
      <c r="N183" s="21">
        <f t="shared" si="25"/>
        <v>7000000</v>
      </c>
      <c r="O183" s="13" t="s">
        <v>22</v>
      </c>
    </row>
    <row r="184" spans="1:15" ht="15" customHeight="1" x14ac:dyDescent="0.2">
      <c r="A184" s="13" t="s">
        <v>33</v>
      </c>
      <c r="B184" s="14">
        <v>45887</v>
      </c>
      <c r="C184" s="15">
        <f t="shared" si="12"/>
        <v>258</v>
      </c>
      <c r="D184" s="13">
        <v>1</v>
      </c>
      <c r="G184" s="15" t="s">
        <v>768</v>
      </c>
      <c r="H184" s="15" t="s">
        <v>873</v>
      </c>
      <c r="I184" s="13">
        <v>112111</v>
      </c>
      <c r="J184" s="13">
        <v>131</v>
      </c>
      <c r="K184" s="13" t="s">
        <v>21</v>
      </c>
      <c r="L184" s="13">
        <v>1</v>
      </c>
      <c r="M184" s="21">
        <v>7451612</v>
      </c>
      <c r="N184" s="21">
        <f t="shared" si="25"/>
        <v>7451612</v>
      </c>
      <c r="O184" s="13" t="s">
        <v>22</v>
      </c>
    </row>
    <row r="185" spans="1:15" ht="15" customHeight="1" x14ac:dyDescent="0.2">
      <c r="A185" s="13" t="s">
        <v>89</v>
      </c>
      <c r="B185" s="14">
        <v>45888</v>
      </c>
      <c r="C185" s="15">
        <f t="shared" si="12"/>
        <v>259</v>
      </c>
      <c r="D185" s="13">
        <v>1</v>
      </c>
      <c r="G185" s="15" t="s">
        <v>844</v>
      </c>
      <c r="H185" s="15" t="s">
        <v>282</v>
      </c>
      <c r="I185" s="13">
        <v>1111</v>
      </c>
      <c r="J185" s="13">
        <v>112111</v>
      </c>
      <c r="K185" s="13" t="s">
        <v>21</v>
      </c>
      <c r="L185" s="13">
        <v>1</v>
      </c>
      <c r="M185" s="21">
        <v>9000000</v>
      </c>
      <c r="N185" s="21">
        <f t="shared" ref="N185" si="27">L185*M185</f>
        <v>9000000</v>
      </c>
      <c r="O185" s="13" t="s">
        <v>22</v>
      </c>
    </row>
    <row r="186" spans="1:15" ht="15" customHeight="1" x14ac:dyDescent="0.2">
      <c r="A186" s="13" t="s">
        <v>33</v>
      </c>
      <c r="B186" s="14">
        <v>45888</v>
      </c>
      <c r="C186" s="15">
        <f t="shared" si="12"/>
        <v>260</v>
      </c>
      <c r="D186" s="13">
        <v>1</v>
      </c>
      <c r="G186" s="15" t="s">
        <v>749</v>
      </c>
      <c r="H186" s="15" t="s">
        <v>874</v>
      </c>
      <c r="I186" s="13">
        <v>112111</v>
      </c>
      <c r="J186" s="13">
        <v>131</v>
      </c>
      <c r="K186" s="13" t="s">
        <v>21</v>
      </c>
      <c r="L186" s="13">
        <v>1</v>
      </c>
      <c r="M186" s="21">
        <v>9580645</v>
      </c>
      <c r="N186" s="21">
        <f t="shared" si="25"/>
        <v>9580645</v>
      </c>
      <c r="O186" s="13" t="s">
        <v>22</v>
      </c>
    </row>
    <row r="187" spans="1:15" ht="15" customHeight="1" x14ac:dyDescent="0.2">
      <c r="A187" s="13" t="s">
        <v>89</v>
      </c>
      <c r="B187" s="14">
        <v>45889</v>
      </c>
      <c r="C187" s="15">
        <f t="shared" si="12"/>
        <v>261</v>
      </c>
      <c r="D187" s="13">
        <v>1</v>
      </c>
      <c r="G187" s="15" t="s">
        <v>844</v>
      </c>
      <c r="H187" s="15" t="s">
        <v>282</v>
      </c>
      <c r="I187" s="13">
        <v>1111</v>
      </c>
      <c r="J187" s="13">
        <v>112111</v>
      </c>
      <c r="K187" s="13" t="s">
        <v>21</v>
      </c>
      <c r="L187" s="13">
        <v>1</v>
      </c>
      <c r="M187" s="21">
        <v>9000000</v>
      </c>
      <c r="N187" s="21">
        <f t="shared" si="25"/>
        <v>9000000</v>
      </c>
      <c r="O187" s="13" t="s">
        <v>22</v>
      </c>
    </row>
    <row r="188" spans="1:15" ht="15" customHeight="1" x14ac:dyDescent="0.2">
      <c r="A188" s="13" t="s">
        <v>33</v>
      </c>
      <c r="B188" s="14">
        <v>45889</v>
      </c>
      <c r="C188" s="15">
        <f t="shared" si="12"/>
        <v>262</v>
      </c>
      <c r="D188" s="13">
        <v>1</v>
      </c>
      <c r="G188" s="15" t="s">
        <v>756</v>
      </c>
      <c r="H188" s="15" t="s">
        <v>875</v>
      </c>
      <c r="I188" s="13">
        <v>112111</v>
      </c>
      <c r="J188" s="13">
        <v>131</v>
      </c>
      <c r="K188" s="13" t="s">
        <v>21</v>
      </c>
      <c r="L188" s="13">
        <v>1</v>
      </c>
      <c r="M188" s="21">
        <v>9048386</v>
      </c>
      <c r="N188" s="21">
        <f t="shared" si="25"/>
        <v>9048386</v>
      </c>
      <c r="O188" s="13" t="s">
        <v>22</v>
      </c>
    </row>
    <row r="189" spans="1:15" ht="15" customHeight="1" x14ac:dyDescent="0.2">
      <c r="A189" s="13" t="s">
        <v>89</v>
      </c>
      <c r="B189" s="14">
        <v>45892</v>
      </c>
      <c r="C189" s="15">
        <f t="shared" si="12"/>
        <v>263</v>
      </c>
      <c r="D189" s="13">
        <v>1</v>
      </c>
      <c r="G189" s="15" t="s">
        <v>844</v>
      </c>
      <c r="H189" s="15" t="s">
        <v>282</v>
      </c>
      <c r="I189" s="13">
        <v>1111</v>
      </c>
      <c r="J189" s="13">
        <v>112111</v>
      </c>
      <c r="K189" s="13" t="s">
        <v>21</v>
      </c>
      <c r="L189" s="13">
        <v>1</v>
      </c>
      <c r="M189" s="21">
        <v>2000000</v>
      </c>
      <c r="N189" s="21">
        <f t="shared" ref="N189" si="28">L189*M189</f>
        <v>2000000</v>
      </c>
      <c r="O189" s="13" t="s">
        <v>22</v>
      </c>
    </row>
    <row r="190" spans="1:15" ht="15" customHeight="1" x14ac:dyDescent="0.2">
      <c r="A190" s="13" t="s">
        <v>33</v>
      </c>
      <c r="B190" s="14">
        <v>45892</v>
      </c>
      <c r="C190" s="15">
        <f t="shared" si="12"/>
        <v>264</v>
      </c>
      <c r="D190" s="13">
        <v>1</v>
      </c>
      <c r="G190" s="15" t="s">
        <v>791</v>
      </c>
      <c r="H190" s="15" t="s">
        <v>876</v>
      </c>
      <c r="I190" s="13">
        <v>112111</v>
      </c>
      <c r="J190" s="13">
        <v>131</v>
      </c>
      <c r="K190" s="13" t="s">
        <v>21</v>
      </c>
      <c r="L190" s="13">
        <v>1</v>
      </c>
      <c r="M190" s="21">
        <v>4236129</v>
      </c>
      <c r="N190" s="21">
        <f t="shared" si="25"/>
        <v>4236129</v>
      </c>
      <c r="O190" s="13" t="s">
        <v>22</v>
      </c>
    </row>
    <row r="191" spans="1:15" ht="15" customHeight="1" x14ac:dyDescent="0.2">
      <c r="A191" s="13" t="s">
        <v>89</v>
      </c>
      <c r="B191" s="14">
        <v>45893</v>
      </c>
      <c r="C191" s="15">
        <f t="shared" si="12"/>
        <v>265</v>
      </c>
      <c r="D191" s="13">
        <v>1</v>
      </c>
      <c r="G191" s="15" t="s">
        <v>844</v>
      </c>
      <c r="H191" s="15" t="s">
        <v>282</v>
      </c>
      <c r="I191" s="13">
        <v>1111</v>
      </c>
      <c r="J191" s="13">
        <v>112111</v>
      </c>
      <c r="K191" s="13" t="s">
        <v>21</v>
      </c>
      <c r="L191" s="13">
        <v>1</v>
      </c>
      <c r="M191" s="21">
        <v>4000000</v>
      </c>
      <c r="N191" s="21">
        <f t="shared" si="25"/>
        <v>4000000</v>
      </c>
      <c r="O191" s="13" t="s">
        <v>22</v>
      </c>
    </row>
    <row r="192" spans="1:15" ht="15" customHeight="1" x14ac:dyDescent="0.2">
      <c r="A192" s="13" t="s">
        <v>89</v>
      </c>
      <c r="B192" s="14">
        <v>45896</v>
      </c>
      <c r="C192" s="15">
        <f t="shared" si="12"/>
        <v>266</v>
      </c>
      <c r="D192" s="13">
        <v>1</v>
      </c>
      <c r="G192" s="15" t="s">
        <v>252</v>
      </c>
      <c r="H192" s="15" t="s">
        <v>604</v>
      </c>
      <c r="I192" s="13">
        <v>3383</v>
      </c>
      <c r="J192" s="13">
        <v>112111</v>
      </c>
      <c r="K192" s="13" t="s">
        <v>21</v>
      </c>
      <c r="L192" s="13">
        <v>1</v>
      </c>
      <c r="M192" s="21">
        <v>690300</v>
      </c>
      <c r="N192" s="21">
        <f t="shared" si="25"/>
        <v>690300</v>
      </c>
      <c r="O192" s="13" t="s">
        <v>22</v>
      </c>
    </row>
    <row r="193" spans="1:15" ht="15" customHeight="1" x14ac:dyDescent="0.2">
      <c r="A193" s="13" t="s">
        <v>33</v>
      </c>
      <c r="B193" s="14">
        <v>45897</v>
      </c>
      <c r="C193" s="15">
        <f t="shared" si="12"/>
        <v>267</v>
      </c>
      <c r="D193" s="13">
        <v>1</v>
      </c>
      <c r="G193" s="15" t="s">
        <v>96</v>
      </c>
      <c r="H193" s="15" t="s">
        <v>877</v>
      </c>
      <c r="I193" s="13">
        <v>112111</v>
      </c>
      <c r="J193" s="13">
        <v>131</v>
      </c>
      <c r="K193" s="13" t="s">
        <v>21</v>
      </c>
      <c r="L193" s="13">
        <v>1</v>
      </c>
      <c r="M193" s="21">
        <v>9580645</v>
      </c>
      <c r="N193" s="21">
        <f t="shared" si="25"/>
        <v>9580645</v>
      </c>
      <c r="O193" s="13" t="s">
        <v>22</v>
      </c>
    </row>
    <row r="194" spans="1:15" ht="15" customHeight="1" x14ac:dyDescent="0.2">
      <c r="A194" s="13" t="s">
        <v>89</v>
      </c>
      <c r="B194" s="14">
        <v>45897</v>
      </c>
      <c r="C194" s="15">
        <f t="shared" si="12"/>
        <v>268</v>
      </c>
      <c r="D194" s="13">
        <v>1</v>
      </c>
      <c r="G194" s="15" t="s">
        <v>844</v>
      </c>
      <c r="H194" s="15" t="s">
        <v>282</v>
      </c>
      <c r="I194" s="13">
        <v>1111</v>
      </c>
      <c r="J194" s="13">
        <v>112111</v>
      </c>
      <c r="K194" s="13" t="s">
        <v>21</v>
      </c>
      <c r="L194" s="13">
        <v>1</v>
      </c>
      <c r="M194" s="21">
        <v>8000000</v>
      </c>
      <c r="N194" s="21">
        <f t="shared" ref="N194" si="29">L194*M194</f>
        <v>8000000</v>
      </c>
      <c r="O194" s="13" t="s">
        <v>22</v>
      </c>
    </row>
    <row r="195" spans="1:15" ht="15" customHeight="1" x14ac:dyDescent="0.2">
      <c r="A195" s="13" t="s">
        <v>89</v>
      </c>
      <c r="B195" s="14">
        <v>45898</v>
      </c>
      <c r="C195" s="15">
        <f t="shared" si="12"/>
        <v>269</v>
      </c>
      <c r="D195" s="13">
        <v>1</v>
      </c>
      <c r="G195" s="15" t="s">
        <v>844</v>
      </c>
      <c r="H195" s="15" t="s">
        <v>282</v>
      </c>
      <c r="I195" s="13">
        <v>1111</v>
      </c>
      <c r="J195" s="13">
        <v>112111</v>
      </c>
      <c r="K195" s="13" t="s">
        <v>21</v>
      </c>
      <c r="L195" s="13">
        <v>1</v>
      </c>
      <c r="M195" s="21">
        <v>1000000</v>
      </c>
      <c r="N195" s="21">
        <f t="shared" ref="N195:N196" si="30">L195*M195</f>
        <v>1000000</v>
      </c>
      <c r="O195" s="13" t="s">
        <v>22</v>
      </c>
    </row>
    <row r="196" spans="1:15" ht="15" customHeight="1" x14ac:dyDescent="0.2">
      <c r="A196" s="13" t="s">
        <v>89</v>
      </c>
      <c r="B196" s="14">
        <v>45898</v>
      </c>
      <c r="C196" s="15">
        <f t="shared" si="12"/>
        <v>270</v>
      </c>
      <c r="D196" s="13">
        <v>1</v>
      </c>
      <c r="G196" s="15" t="s">
        <v>844</v>
      </c>
      <c r="H196" s="15" t="s">
        <v>282</v>
      </c>
      <c r="I196" s="13">
        <v>1111</v>
      </c>
      <c r="J196" s="13">
        <v>112111</v>
      </c>
      <c r="K196" s="13" t="s">
        <v>21</v>
      </c>
      <c r="L196" s="13">
        <v>1</v>
      </c>
      <c r="M196" s="21">
        <v>10000000</v>
      </c>
      <c r="N196" s="21">
        <f t="shared" si="30"/>
        <v>10000000</v>
      </c>
      <c r="O196" s="13" t="s">
        <v>22</v>
      </c>
    </row>
    <row r="197" spans="1:15" ht="15" customHeight="1" x14ac:dyDescent="0.2">
      <c r="A197" s="13" t="s">
        <v>33</v>
      </c>
      <c r="B197" s="14">
        <v>45898</v>
      </c>
      <c r="C197" s="15">
        <f t="shared" ref="C197:C218" si="31">C196+D197</f>
        <v>271</v>
      </c>
      <c r="D197" s="13">
        <v>1</v>
      </c>
      <c r="G197" s="15" t="s">
        <v>756</v>
      </c>
      <c r="H197" s="15" t="s">
        <v>866</v>
      </c>
      <c r="I197" s="13">
        <v>112111</v>
      </c>
      <c r="J197" s="13">
        <v>131</v>
      </c>
      <c r="K197" s="13" t="s">
        <v>21</v>
      </c>
      <c r="L197" s="13">
        <v>1</v>
      </c>
      <c r="M197" s="21">
        <v>9048387</v>
      </c>
      <c r="N197" s="21">
        <f t="shared" si="25"/>
        <v>9048387</v>
      </c>
      <c r="O197" s="13" t="s">
        <v>22</v>
      </c>
    </row>
    <row r="198" spans="1:15" ht="15" customHeight="1" x14ac:dyDescent="0.2">
      <c r="A198" s="13" t="s">
        <v>33</v>
      </c>
      <c r="B198" s="14">
        <v>45898</v>
      </c>
      <c r="C198" s="15">
        <f t="shared" si="31"/>
        <v>272</v>
      </c>
      <c r="D198" s="13">
        <v>1</v>
      </c>
      <c r="G198" s="15" t="s">
        <v>802</v>
      </c>
      <c r="H198" s="15" t="s">
        <v>878</v>
      </c>
      <c r="I198" s="13">
        <v>112111</v>
      </c>
      <c r="J198" s="13">
        <v>131</v>
      </c>
      <c r="K198" s="13" t="s">
        <v>21</v>
      </c>
      <c r="L198" s="13">
        <v>1</v>
      </c>
      <c r="M198" s="21">
        <v>1916129</v>
      </c>
      <c r="N198" s="21">
        <f t="shared" si="25"/>
        <v>1916129</v>
      </c>
      <c r="O198" s="13" t="s">
        <v>22</v>
      </c>
    </row>
    <row r="199" spans="1:15" ht="15" customHeight="1" x14ac:dyDescent="0.2">
      <c r="A199" s="13" t="s">
        <v>89</v>
      </c>
      <c r="B199" s="14">
        <v>45905</v>
      </c>
      <c r="C199" s="15">
        <f t="shared" si="31"/>
        <v>273</v>
      </c>
      <c r="D199" s="13">
        <v>1</v>
      </c>
      <c r="G199" s="15" t="s">
        <v>844</v>
      </c>
      <c r="H199" s="15" t="s">
        <v>282</v>
      </c>
      <c r="I199" s="13">
        <v>1111</v>
      </c>
      <c r="J199" s="13">
        <v>112111</v>
      </c>
      <c r="K199" s="13" t="s">
        <v>21</v>
      </c>
      <c r="L199" s="13">
        <v>1</v>
      </c>
      <c r="M199" s="21">
        <v>27000000</v>
      </c>
      <c r="N199" s="21">
        <f t="shared" si="25"/>
        <v>27000000</v>
      </c>
      <c r="O199" s="13" t="s">
        <v>22</v>
      </c>
    </row>
    <row r="200" spans="1:15" ht="15" customHeight="1" x14ac:dyDescent="0.2">
      <c r="A200" s="13" t="s">
        <v>33</v>
      </c>
      <c r="B200" s="14">
        <v>45905</v>
      </c>
      <c r="C200" s="15">
        <f t="shared" si="31"/>
        <v>274</v>
      </c>
      <c r="D200" s="13">
        <v>1</v>
      </c>
      <c r="G200" s="15" t="s">
        <v>31</v>
      </c>
      <c r="H200" s="15" t="s">
        <v>843</v>
      </c>
      <c r="I200" s="13">
        <v>112111</v>
      </c>
      <c r="J200" s="13">
        <v>131</v>
      </c>
      <c r="K200" s="13" t="s">
        <v>21</v>
      </c>
      <c r="L200" s="13">
        <v>1</v>
      </c>
      <c r="M200" s="21">
        <v>26699418</v>
      </c>
      <c r="N200" s="21">
        <f t="shared" si="25"/>
        <v>26699418</v>
      </c>
      <c r="O200" s="13" t="s">
        <v>22</v>
      </c>
    </row>
    <row r="201" spans="1:15" ht="15" customHeight="1" x14ac:dyDescent="0.2">
      <c r="A201" s="13" t="s">
        <v>89</v>
      </c>
      <c r="B201" s="14">
        <v>45908</v>
      </c>
      <c r="C201" s="15">
        <f t="shared" si="31"/>
        <v>275</v>
      </c>
      <c r="D201" s="13">
        <v>1</v>
      </c>
      <c r="G201" s="15" t="s">
        <v>844</v>
      </c>
      <c r="H201" s="15" t="s">
        <v>282</v>
      </c>
      <c r="I201" s="13">
        <v>1111</v>
      </c>
      <c r="J201" s="13">
        <v>112111</v>
      </c>
      <c r="K201" s="13" t="s">
        <v>21</v>
      </c>
      <c r="L201" s="13">
        <v>1</v>
      </c>
      <c r="M201" s="21">
        <v>9000000</v>
      </c>
      <c r="N201" s="21">
        <f t="shared" si="25"/>
        <v>9000000</v>
      </c>
      <c r="O201" s="13" t="s">
        <v>22</v>
      </c>
    </row>
    <row r="202" spans="1:15" ht="15" customHeight="1" x14ac:dyDescent="0.2">
      <c r="A202" s="13" t="s">
        <v>33</v>
      </c>
      <c r="B202" s="14">
        <v>45908</v>
      </c>
      <c r="C202" s="15">
        <f t="shared" si="31"/>
        <v>276</v>
      </c>
      <c r="D202" s="13">
        <v>1</v>
      </c>
      <c r="G202" s="15" t="s">
        <v>29</v>
      </c>
      <c r="H202" s="15" t="s">
        <v>864</v>
      </c>
      <c r="I202" s="13">
        <v>333822</v>
      </c>
      <c r="J202" s="13">
        <v>112111</v>
      </c>
      <c r="K202" s="13" t="s">
        <v>21</v>
      </c>
      <c r="L202" s="13">
        <v>1</v>
      </c>
      <c r="M202" s="21">
        <v>1080000</v>
      </c>
      <c r="N202" s="21">
        <f t="shared" si="25"/>
        <v>1080000</v>
      </c>
      <c r="O202" s="13" t="s">
        <v>22</v>
      </c>
    </row>
    <row r="203" spans="1:15" ht="15" customHeight="1" x14ac:dyDescent="0.2">
      <c r="A203" s="13" t="s">
        <v>89</v>
      </c>
      <c r="B203" s="14">
        <v>45908</v>
      </c>
      <c r="C203" s="15">
        <f t="shared" si="31"/>
        <v>277</v>
      </c>
      <c r="D203" s="13">
        <v>1</v>
      </c>
      <c r="G203" s="15" t="s">
        <v>29</v>
      </c>
      <c r="H203" s="15" t="s">
        <v>864</v>
      </c>
      <c r="I203" s="13">
        <v>333822</v>
      </c>
      <c r="J203" s="13">
        <v>112111</v>
      </c>
      <c r="K203" s="13" t="s">
        <v>21</v>
      </c>
      <c r="L203" s="13">
        <v>1</v>
      </c>
      <c r="M203" s="21">
        <v>545445</v>
      </c>
      <c r="N203" s="21">
        <f t="shared" si="25"/>
        <v>545445</v>
      </c>
      <c r="O203" s="13" t="s">
        <v>22</v>
      </c>
    </row>
    <row r="204" spans="1:15" ht="15" customHeight="1" x14ac:dyDescent="0.2">
      <c r="A204" s="13" t="s">
        <v>89</v>
      </c>
      <c r="B204" s="14">
        <v>45908</v>
      </c>
      <c r="C204" s="15">
        <f t="shared" si="31"/>
        <v>278</v>
      </c>
      <c r="D204" s="13">
        <v>1</v>
      </c>
      <c r="G204" s="15" t="s">
        <v>617</v>
      </c>
      <c r="H204" s="15" t="s">
        <v>879</v>
      </c>
      <c r="I204" s="13">
        <v>112111</v>
      </c>
      <c r="J204" s="13">
        <v>131</v>
      </c>
      <c r="K204" s="13" t="s">
        <v>21</v>
      </c>
      <c r="L204" s="13">
        <v>1</v>
      </c>
      <c r="M204" s="21">
        <v>9580645</v>
      </c>
      <c r="N204" s="21">
        <f t="shared" si="25"/>
        <v>9580645</v>
      </c>
      <c r="O204" s="13" t="s">
        <v>22</v>
      </c>
    </row>
    <row r="205" spans="1:15" ht="15" customHeight="1" x14ac:dyDescent="0.2">
      <c r="A205" s="13" t="s">
        <v>89</v>
      </c>
      <c r="B205" s="14">
        <v>45909</v>
      </c>
      <c r="C205" s="15">
        <f t="shared" si="31"/>
        <v>279</v>
      </c>
      <c r="D205" s="13">
        <v>1</v>
      </c>
      <c r="G205" s="15" t="s">
        <v>844</v>
      </c>
      <c r="H205" s="15" t="s">
        <v>282</v>
      </c>
      <c r="I205" s="13">
        <v>1111</v>
      </c>
      <c r="J205" s="13">
        <v>112111</v>
      </c>
      <c r="K205" s="13" t="s">
        <v>21</v>
      </c>
      <c r="L205" s="13">
        <v>1</v>
      </c>
      <c r="M205" s="21">
        <v>2000000</v>
      </c>
      <c r="N205" s="21">
        <f t="shared" ref="N205" si="32">L205*M205</f>
        <v>2000000</v>
      </c>
      <c r="O205" s="13" t="s">
        <v>22</v>
      </c>
    </row>
    <row r="206" spans="1:15" ht="15" customHeight="1" x14ac:dyDescent="0.2">
      <c r="A206" s="13" t="s">
        <v>33</v>
      </c>
      <c r="B206" s="14">
        <v>45909</v>
      </c>
      <c r="C206" s="15">
        <f t="shared" si="31"/>
        <v>280</v>
      </c>
      <c r="D206" s="13">
        <v>1</v>
      </c>
      <c r="G206" s="15" t="s">
        <v>818</v>
      </c>
      <c r="H206" s="15" t="s">
        <v>880</v>
      </c>
      <c r="I206" s="13">
        <v>112111</v>
      </c>
      <c r="J206" s="13">
        <v>131</v>
      </c>
      <c r="K206" s="13" t="s">
        <v>21</v>
      </c>
      <c r="L206" s="13">
        <v>1</v>
      </c>
      <c r="M206" s="21">
        <v>1916129</v>
      </c>
      <c r="N206" s="21">
        <f t="shared" si="25"/>
        <v>1916129</v>
      </c>
      <c r="O206" s="13" t="s">
        <v>22</v>
      </c>
    </row>
    <row r="207" spans="1:15" ht="15" customHeight="1" x14ac:dyDescent="0.2">
      <c r="A207" s="13" t="s">
        <v>89</v>
      </c>
      <c r="B207" s="14">
        <v>45912</v>
      </c>
      <c r="C207" s="15">
        <f t="shared" si="31"/>
        <v>281</v>
      </c>
      <c r="D207" s="13">
        <v>1</v>
      </c>
      <c r="G207" s="15" t="s">
        <v>844</v>
      </c>
      <c r="H207" s="15" t="s">
        <v>282</v>
      </c>
      <c r="I207" s="13">
        <v>1111</v>
      </c>
      <c r="J207" s="13">
        <v>112111</v>
      </c>
      <c r="K207" s="13" t="s">
        <v>21</v>
      </c>
      <c r="L207" s="13">
        <v>1</v>
      </c>
      <c r="M207" s="21">
        <v>17000000</v>
      </c>
      <c r="N207" s="21">
        <f t="shared" si="25"/>
        <v>17000000</v>
      </c>
      <c r="O207" s="13" t="s">
        <v>22</v>
      </c>
    </row>
    <row r="208" spans="1:15" ht="15" customHeight="1" x14ac:dyDescent="0.2">
      <c r="A208" s="13" t="s">
        <v>33</v>
      </c>
      <c r="B208" s="14">
        <v>45912</v>
      </c>
      <c r="C208" s="15">
        <f t="shared" si="31"/>
        <v>282</v>
      </c>
      <c r="D208" s="13">
        <v>1</v>
      </c>
      <c r="G208" s="15" t="s">
        <v>821</v>
      </c>
      <c r="H208" s="15" t="s">
        <v>881</v>
      </c>
      <c r="I208" s="13">
        <v>112111</v>
      </c>
      <c r="J208" s="13">
        <v>131</v>
      </c>
      <c r="K208" s="13" t="s">
        <v>21</v>
      </c>
      <c r="L208" s="13">
        <v>1</v>
      </c>
      <c r="M208" s="21">
        <v>8516129</v>
      </c>
      <c r="N208" s="21">
        <f t="shared" ref="N208:N212" si="33">L208*M208</f>
        <v>8516129</v>
      </c>
      <c r="O208" s="13" t="s">
        <v>22</v>
      </c>
    </row>
    <row r="209" spans="1:15" ht="15" customHeight="1" x14ac:dyDescent="0.2">
      <c r="A209" s="13" t="s">
        <v>33</v>
      </c>
      <c r="B209" s="14">
        <v>45912</v>
      </c>
      <c r="C209" s="15">
        <f t="shared" si="31"/>
        <v>283</v>
      </c>
      <c r="D209" s="13">
        <v>1</v>
      </c>
      <c r="G209" s="15" t="s">
        <v>807</v>
      </c>
      <c r="H209" s="15" t="s">
        <v>882</v>
      </c>
      <c r="I209" s="13">
        <v>112111</v>
      </c>
      <c r="J209" s="13">
        <v>131</v>
      </c>
      <c r="K209" s="13" t="s">
        <v>21</v>
      </c>
      <c r="L209" s="13">
        <v>1</v>
      </c>
      <c r="M209" s="21">
        <v>9580645</v>
      </c>
      <c r="N209" s="21">
        <f t="shared" si="33"/>
        <v>9580645</v>
      </c>
      <c r="O209" s="13" t="s">
        <v>22</v>
      </c>
    </row>
    <row r="210" spans="1:15" ht="15" customHeight="1" x14ac:dyDescent="0.2">
      <c r="A210" s="13" t="s">
        <v>33</v>
      </c>
      <c r="B210" s="14">
        <v>45917</v>
      </c>
      <c r="C210" s="15">
        <f t="shared" si="31"/>
        <v>284</v>
      </c>
      <c r="D210" s="13">
        <v>1</v>
      </c>
      <c r="G210" s="15" t="s">
        <v>826</v>
      </c>
      <c r="H210" s="15" t="s">
        <v>883</v>
      </c>
      <c r="I210" s="13">
        <v>112111</v>
      </c>
      <c r="J210" s="13">
        <v>131</v>
      </c>
      <c r="K210" s="13" t="s">
        <v>21</v>
      </c>
      <c r="L210" s="13">
        <v>1</v>
      </c>
      <c r="M210" s="21">
        <v>2129032</v>
      </c>
      <c r="N210" s="21">
        <f t="shared" si="33"/>
        <v>2129032</v>
      </c>
      <c r="O210" s="13" t="s">
        <v>22</v>
      </c>
    </row>
    <row r="211" spans="1:15" ht="15" customHeight="1" x14ac:dyDescent="0.2">
      <c r="A211" s="13" t="s">
        <v>89</v>
      </c>
      <c r="B211" s="14">
        <v>45919</v>
      </c>
      <c r="C211" s="15">
        <f t="shared" si="31"/>
        <v>285</v>
      </c>
      <c r="D211" s="13">
        <v>1</v>
      </c>
      <c r="G211" s="15" t="s">
        <v>844</v>
      </c>
      <c r="H211" s="15" t="s">
        <v>282</v>
      </c>
      <c r="I211" s="13">
        <v>1111</v>
      </c>
      <c r="J211" s="13">
        <v>112111</v>
      </c>
      <c r="K211" s="13" t="s">
        <v>21</v>
      </c>
      <c r="L211" s="13">
        <v>1</v>
      </c>
      <c r="M211" s="21">
        <v>12000000</v>
      </c>
      <c r="N211" s="21">
        <f t="shared" si="33"/>
        <v>12000000</v>
      </c>
      <c r="O211" s="13" t="s">
        <v>22</v>
      </c>
    </row>
    <row r="212" spans="1:15" ht="15" customHeight="1" x14ac:dyDescent="0.2">
      <c r="A212" s="13" t="s">
        <v>33</v>
      </c>
      <c r="B212" s="14">
        <v>45919</v>
      </c>
      <c r="C212" s="15">
        <f t="shared" si="31"/>
        <v>286</v>
      </c>
      <c r="D212" s="13">
        <v>1</v>
      </c>
      <c r="G212" s="15" t="s">
        <v>815</v>
      </c>
      <c r="H212" s="15" t="s">
        <v>884</v>
      </c>
      <c r="I212" s="13">
        <v>112111</v>
      </c>
      <c r="J212" s="13">
        <v>131</v>
      </c>
      <c r="K212" s="13" t="s">
        <v>21</v>
      </c>
      <c r="L212" s="13">
        <v>1</v>
      </c>
      <c r="M212" s="21">
        <v>9048387</v>
      </c>
      <c r="N212" s="21">
        <f t="shared" si="33"/>
        <v>9048387</v>
      </c>
      <c r="O212" s="13" t="s">
        <v>22</v>
      </c>
    </row>
    <row r="213" spans="1:15" ht="15" customHeight="1" x14ac:dyDescent="0.2">
      <c r="A213" s="13" t="s">
        <v>33</v>
      </c>
      <c r="B213" s="14">
        <v>45921</v>
      </c>
      <c r="C213" s="15">
        <f t="shared" si="31"/>
        <v>287</v>
      </c>
      <c r="D213" s="13">
        <v>1</v>
      </c>
      <c r="G213" s="15" t="s">
        <v>851</v>
      </c>
      <c r="H213" s="15" t="s">
        <v>129</v>
      </c>
      <c r="I213" s="13">
        <v>112111</v>
      </c>
      <c r="J213" s="13">
        <v>5154</v>
      </c>
      <c r="K213" s="13" t="s">
        <v>21</v>
      </c>
      <c r="L213" s="13">
        <v>1</v>
      </c>
      <c r="M213" s="21">
        <v>87</v>
      </c>
      <c r="N213" s="21">
        <f t="shared" ref="N213:N218" si="34">L213*M213</f>
        <v>87</v>
      </c>
      <c r="O213" s="13" t="s">
        <v>22</v>
      </c>
    </row>
    <row r="214" spans="1:15" ht="15" customHeight="1" x14ac:dyDescent="0.2">
      <c r="A214" s="13" t="s">
        <v>89</v>
      </c>
      <c r="B214" s="14">
        <v>45925</v>
      </c>
      <c r="C214" s="15">
        <f t="shared" si="31"/>
        <v>288</v>
      </c>
      <c r="D214" s="13">
        <v>1</v>
      </c>
      <c r="G214" s="15" t="s">
        <v>844</v>
      </c>
      <c r="H214" s="15" t="s">
        <v>282</v>
      </c>
      <c r="I214" s="13">
        <v>1111</v>
      </c>
      <c r="J214" s="13">
        <v>112111</v>
      </c>
      <c r="K214" s="13" t="s">
        <v>21</v>
      </c>
      <c r="L214" s="13">
        <v>1</v>
      </c>
      <c r="M214" s="21">
        <v>13000000</v>
      </c>
      <c r="N214" s="21">
        <f t="shared" si="34"/>
        <v>13000000</v>
      </c>
      <c r="O214" s="13" t="s">
        <v>22</v>
      </c>
    </row>
    <row r="215" spans="1:15" ht="15" customHeight="1" x14ac:dyDescent="0.2">
      <c r="A215" s="13" t="s">
        <v>33</v>
      </c>
      <c r="B215" s="14">
        <v>45925</v>
      </c>
      <c r="C215" s="15">
        <f t="shared" si="31"/>
        <v>289</v>
      </c>
      <c r="D215" s="13">
        <v>1</v>
      </c>
      <c r="G215" s="15" t="s">
        <v>829</v>
      </c>
      <c r="H215" s="15" t="s">
        <v>885</v>
      </c>
      <c r="I215" s="13">
        <v>112111</v>
      </c>
      <c r="J215" s="13">
        <v>131</v>
      </c>
      <c r="K215" s="13" t="s">
        <v>21</v>
      </c>
      <c r="L215" s="13">
        <v>1</v>
      </c>
      <c r="M215" s="21">
        <v>10645151</v>
      </c>
      <c r="N215" s="21">
        <f t="shared" si="34"/>
        <v>10645151</v>
      </c>
      <c r="O215" s="13" t="s">
        <v>22</v>
      </c>
    </row>
    <row r="216" spans="1:15" ht="15" customHeight="1" x14ac:dyDescent="0.2">
      <c r="A216" s="13" t="s">
        <v>33</v>
      </c>
      <c r="B216" s="14">
        <v>45925</v>
      </c>
      <c r="C216" s="15">
        <f t="shared" si="31"/>
        <v>290</v>
      </c>
      <c r="D216" s="13">
        <v>1</v>
      </c>
      <c r="G216" s="15" t="s">
        <v>832</v>
      </c>
      <c r="H216" s="15" t="s">
        <v>886</v>
      </c>
      <c r="I216" s="13">
        <v>112111</v>
      </c>
      <c r="J216" s="13">
        <v>131</v>
      </c>
      <c r="K216" s="13" t="s">
        <v>21</v>
      </c>
      <c r="L216" s="13">
        <v>1</v>
      </c>
      <c r="M216" s="21">
        <v>3750000</v>
      </c>
      <c r="N216" s="21">
        <f t="shared" si="34"/>
        <v>3750000</v>
      </c>
      <c r="O216" s="13" t="s">
        <v>22</v>
      </c>
    </row>
    <row r="217" spans="1:15" ht="15" customHeight="1" x14ac:dyDescent="0.2">
      <c r="A217" s="13" t="s">
        <v>89</v>
      </c>
      <c r="B217" s="14">
        <v>45929</v>
      </c>
      <c r="C217" s="15">
        <f t="shared" si="31"/>
        <v>291</v>
      </c>
      <c r="D217" s="13">
        <v>1</v>
      </c>
      <c r="G217" s="15" t="s">
        <v>844</v>
      </c>
      <c r="H217" s="15" t="s">
        <v>282</v>
      </c>
      <c r="I217" s="13">
        <v>1111</v>
      </c>
      <c r="J217" s="13">
        <v>112111</v>
      </c>
      <c r="K217" s="13" t="s">
        <v>21</v>
      </c>
      <c r="L217" s="13">
        <v>1</v>
      </c>
      <c r="M217" s="21">
        <v>9000000</v>
      </c>
      <c r="N217" s="21">
        <f t="shared" ref="N217" si="35">L217*M217</f>
        <v>9000000</v>
      </c>
      <c r="O217" s="13" t="s">
        <v>22</v>
      </c>
    </row>
    <row r="218" spans="1:15" ht="15" customHeight="1" x14ac:dyDescent="0.2">
      <c r="A218" s="13" t="s">
        <v>33</v>
      </c>
      <c r="B218" s="14">
        <v>45929</v>
      </c>
      <c r="C218" s="15">
        <f t="shared" si="31"/>
        <v>292</v>
      </c>
      <c r="D218" s="13">
        <v>1</v>
      </c>
      <c r="G218" s="15" t="s">
        <v>821</v>
      </c>
      <c r="H218" s="15" t="s">
        <v>887</v>
      </c>
      <c r="I218" s="13">
        <v>112111</v>
      </c>
      <c r="J218" s="13">
        <v>131</v>
      </c>
      <c r="K218" s="13" t="s">
        <v>21</v>
      </c>
      <c r="L218" s="13">
        <v>1</v>
      </c>
      <c r="M218" s="21">
        <v>8516129</v>
      </c>
      <c r="N218" s="21">
        <f t="shared" si="34"/>
        <v>8516129</v>
      </c>
      <c r="O218" s="13" t="s">
        <v>22</v>
      </c>
    </row>
    <row r="219" spans="1:15" ht="15" customHeight="1" x14ac:dyDescent="0.2">
      <c r="B219" s="14"/>
      <c r="C219" s="14"/>
    </row>
    <row r="220" spans="1:15" ht="15" customHeight="1" x14ac:dyDescent="0.2">
      <c r="B220" s="14"/>
      <c r="C220" s="14"/>
    </row>
    <row r="221" spans="1:15" ht="15" customHeight="1" x14ac:dyDescent="0.2">
      <c r="B221" s="14"/>
      <c r="C221" s="14"/>
    </row>
    <row r="222" spans="1:15" ht="15" customHeight="1" x14ac:dyDescent="0.2">
      <c r="B222" s="14"/>
      <c r="C222" s="14"/>
    </row>
  </sheetData>
  <autoFilter ref="A3:P218" xr:uid="{00000000-0009-0000-0000-000002000000}"/>
  <mergeCells count="13">
    <mergeCell ref="N1:N2"/>
    <mergeCell ref="G1:G2"/>
    <mergeCell ref="H1:H2"/>
    <mergeCell ref="I1:J1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51"/>
  <sheetViews>
    <sheetView topLeftCell="A7" workbookViewId="0">
      <selection activeCell="I7" sqref="I7"/>
    </sheetView>
  </sheetViews>
  <sheetFormatPr defaultRowHeight="15" customHeight="1" x14ac:dyDescent="0.2"/>
  <cols>
    <col min="1" max="1" width="9.140625" style="24"/>
    <col min="2" max="2" width="10.7109375" style="24" bestFit="1" customWidth="1"/>
    <col min="3" max="4" width="9.140625" style="24"/>
    <col min="5" max="5" width="16.140625" style="24" customWidth="1"/>
    <col min="6" max="6" width="10.5703125" style="37" customWidth="1"/>
    <col min="7" max="7" width="14.85546875" style="37" bestFit="1" customWidth="1"/>
    <col min="8" max="8" width="49.7109375" style="37" customWidth="1"/>
    <col min="9" max="12" width="9.140625" style="24"/>
    <col min="13" max="13" width="11.28515625" style="39" bestFit="1" customWidth="1"/>
    <col min="14" max="14" width="11.28515625" style="38" bestFit="1" customWidth="1"/>
    <col min="15" max="15" width="9.140625" style="24"/>
    <col min="16" max="16" width="11.28515625" style="24" bestFit="1" customWidth="1"/>
    <col min="17" max="16384" width="9.140625" style="24"/>
  </cols>
  <sheetData>
    <row r="1" spans="1:16" ht="15" customHeight="1" thickBot="1" x14ac:dyDescent="0.25">
      <c r="A1" s="139" t="s">
        <v>0</v>
      </c>
      <c r="B1" s="139" t="s">
        <v>1</v>
      </c>
      <c r="C1" s="139" t="s">
        <v>2</v>
      </c>
      <c r="D1" s="141" t="s">
        <v>3</v>
      </c>
      <c r="E1" s="137" t="s">
        <v>4</v>
      </c>
      <c r="F1" s="137" t="s">
        <v>5</v>
      </c>
      <c r="G1" s="146" t="s">
        <v>6</v>
      </c>
      <c r="H1" s="148" t="s">
        <v>7</v>
      </c>
      <c r="I1" s="150" t="s">
        <v>8</v>
      </c>
      <c r="J1" s="151"/>
      <c r="K1" s="139" t="s">
        <v>9</v>
      </c>
      <c r="L1" s="139" t="s">
        <v>10</v>
      </c>
      <c r="M1" s="152" t="s">
        <v>11</v>
      </c>
      <c r="N1" s="144" t="s">
        <v>12</v>
      </c>
      <c r="O1" s="23"/>
    </row>
    <row r="2" spans="1:16" ht="15" customHeight="1" thickBot="1" x14ac:dyDescent="0.25">
      <c r="A2" s="140"/>
      <c r="B2" s="140"/>
      <c r="C2" s="140"/>
      <c r="D2" s="142"/>
      <c r="E2" s="143"/>
      <c r="F2" s="138"/>
      <c r="G2" s="147"/>
      <c r="H2" s="149"/>
      <c r="I2" s="25" t="s">
        <v>13</v>
      </c>
      <c r="J2" s="26" t="s">
        <v>14</v>
      </c>
      <c r="K2" s="140"/>
      <c r="L2" s="140"/>
      <c r="M2" s="153"/>
      <c r="N2" s="145"/>
      <c r="O2" s="27"/>
    </row>
    <row r="3" spans="1:16" ht="15" customHeight="1" x14ac:dyDescent="0.2">
      <c r="A3" s="28"/>
      <c r="B3" s="29"/>
      <c r="C3" s="28" t="s">
        <v>888</v>
      </c>
      <c r="D3" s="30"/>
      <c r="E3" s="30"/>
      <c r="F3" s="30"/>
      <c r="G3" s="28" t="s">
        <v>15</v>
      </c>
      <c r="H3" s="31"/>
      <c r="I3" s="32"/>
      <c r="J3" s="32"/>
      <c r="K3" s="33"/>
      <c r="L3" s="34"/>
      <c r="M3" s="40"/>
      <c r="N3" s="35"/>
      <c r="O3" s="24" t="s">
        <v>16</v>
      </c>
      <c r="P3" s="24" t="s">
        <v>17</v>
      </c>
    </row>
    <row r="4" spans="1:16" ht="15" customHeight="1" x14ac:dyDescent="0.2">
      <c r="A4" s="24" t="s">
        <v>18</v>
      </c>
      <c r="B4" s="36">
        <v>45839</v>
      </c>
      <c r="C4" s="37">
        <f>C3+D4</f>
        <v>44</v>
      </c>
      <c r="D4" s="24">
        <v>1</v>
      </c>
      <c r="G4" s="37" t="s">
        <v>158</v>
      </c>
      <c r="H4" s="37" t="s">
        <v>889</v>
      </c>
      <c r="I4" s="24">
        <v>64277</v>
      </c>
      <c r="J4" s="24">
        <v>331</v>
      </c>
      <c r="K4" s="24" t="s">
        <v>21</v>
      </c>
      <c r="L4" s="24">
        <v>1</v>
      </c>
      <c r="M4" s="39">
        <v>3240000</v>
      </c>
      <c r="N4" s="39">
        <f>L4*M4</f>
        <v>3240000</v>
      </c>
      <c r="O4" s="24" t="s">
        <v>22</v>
      </c>
    </row>
    <row r="5" spans="1:16" ht="15" customHeight="1" x14ac:dyDescent="0.2">
      <c r="A5" s="24" t="s">
        <v>18</v>
      </c>
      <c r="B5" s="36">
        <v>45844</v>
      </c>
      <c r="C5" s="37">
        <f t="shared" ref="C5:C68" si="0">C4+D5</f>
        <v>45</v>
      </c>
      <c r="D5" s="24">
        <v>1</v>
      </c>
      <c r="G5" s="37" t="s">
        <v>890</v>
      </c>
      <c r="H5" s="37" t="s">
        <v>891</v>
      </c>
      <c r="I5" s="24">
        <v>64277</v>
      </c>
      <c r="J5" s="24">
        <v>331</v>
      </c>
      <c r="K5" s="24" t="s">
        <v>21</v>
      </c>
      <c r="L5" s="24">
        <v>1</v>
      </c>
      <c r="M5" s="39">
        <v>1319760</v>
      </c>
      <c r="N5" s="39">
        <f t="shared" ref="N5:N68" si="1">L5*M5</f>
        <v>1319760</v>
      </c>
      <c r="O5" s="24" t="s">
        <v>22</v>
      </c>
    </row>
    <row r="6" spans="1:16" ht="15" customHeight="1" x14ac:dyDescent="0.2">
      <c r="A6" s="24" t="s">
        <v>18</v>
      </c>
      <c r="B6" s="36">
        <v>45873</v>
      </c>
      <c r="C6" s="37">
        <f t="shared" si="0"/>
        <v>46</v>
      </c>
      <c r="D6" s="24">
        <v>1</v>
      </c>
      <c r="G6" s="37" t="s">
        <v>158</v>
      </c>
      <c r="H6" s="37" t="s">
        <v>892</v>
      </c>
      <c r="I6" s="24">
        <v>64277</v>
      </c>
      <c r="J6" s="24">
        <v>331</v>
      </c>
      <c r="K6" s="24" t="s">
        <v>21</v>
      </c>
      <c r="L6" s="24">
        <v>1</v>
      </c>
      <c r="M6" s="39">
        <v>3240000</v>
      </c>
      <c r="N6" s="39">
        <f t="shared" si="1"/>
        <v>3240000</v>
      </c>
      <c r="O6" s="24" t="s">
        <v>22</v>
      </c>
    </row>
    <row r="7" spans="1:16" ht="15" customHeight="1" x14ac:dyDescent="0.2">
      <c r="A7" s="24" t="s">
        <v>18</v>
      </c>
      <c r="B7" s="36">
        <v>45880</v>
      </c>
      <c r="C7" s="37">
        <f t="shared" si="0"/>
        <v>47</v>
      </c>
      <c r="D7" s="24">
        <v>1</v>
      </c>
      <c r="G7" s="37" t="s">
        <v>893</v>
      </c>
      <c r="H7" s="37" t="s">
        <v>894</v>
      </c>
      <c r="I7" s="24">
        <v>64276</v>
      </c>
      <c r="J7" s="24">
        <v>331</v>
      </c>
      <c r="K7" s="24" t="s">
        <v>21</v>
      </c>
      <c r="L7" s="24">
        <v>1</v>
      </c>
      <c r="M7" s="39">
        <v>1935000</v>
      </c>
      <c r="N7" s="39">
        <f t="shared" si="1"/>
        <v>1935000</v>
      </c>
      <c r="O7" s="24" t="s">
        <v>22</v>
      </c>
    </row>
    <row r="8" spans="1:16" ht="15" customHeight="1" x14ac:dyDescent="0.2">
      <c r="A8" s="24" t="s">
        <v>18</v>
      </c>
      <c r="B8" s="36">
        <v>45880</v>
      </c>
      <c r="C8" s="37">
        <f t="shared" si="0"/>
        <v>48</v>
      </c>
      <c r="D8" s="24">
        <v>1</v>
      </c>
      <c r="G8" s="37" t="s">
        <v>893</v>
      </c>
      <c r="H8" s="37" t="s">
        <v>895</v>
      </c>
      <c r="I8" s="24">
        <v>64276</v>
      </c>
      <c r="J8" s="24">
        <v>331</v>
      </c>
      <c r="K8" s="24" t="s">
        <v>21</v>
      </c>
      <c r="L8" s="24">
        <v>1</v>
      </c>
      <c r="M8" s="39">
        <v>3769000</v>
      </c>
      <c r="N8" s="39">
        <f t="shared" si="1"/>
        <v>3769000</v>
      </c>
      <c r="O8" s="24" t="s">
        <v>22</v>
      </c>
    </row>
    <row r="9" spans="1:16" ht="15" customHeight="1" x14ac:dyDescent="0.2">
      <c r="A9" s="24" t="s">
        <v>18</v>
      </c>
      <c r="B9" s="36">
        <v>45895</v>
      </c>
      <c r="C9" s="37">
        <f t="shared" si="0"/>
        <v>49</v>
      </c>
      <c r="D9" s="24">
        <v>1</v>
      </c>
      <c r="G9" s="37" t="s">
        <v>46</v>
      </c>
      <c r="H9" s="37" t="s">
        <v>896</v>
      </c>
      <c r="I9" s="24">
        <v>64277</v>
      </c>
      <c r="J9" s="24">
        <v>331</v>
      </c>
      <c r="K9" s="24" t="s">
        <v>21</v>
      </c>
      <c r="L9" s="24">
        <v>1</v>
      </c>
      <c r="M9" s="39">
        <v>558360</v>
      </c>
      <c r="N9" s="39">
        <f t="shared" si="1"/>
        <v>558360</v>
      </c>
      <c r="O9" s="24" t="s">
        <v>22</v>
      </c>
    </row>
    <row r="10" spans="1:16" ht="15" customHeight="1" x14ac:dyDescent="0.2">
      <c r="A10" s="24" t="s">
        <v>18</v>
      </c>
      <c r="B10" s="36">
        <v>45895</v>
      </c>
      <c r="C10" s="37">
        <f t="shared" si="0"/>
        <v>50</v>
      </c>
      <c r="D10" s="24">
        <v>1</v>
      </c>
      <c r="G10" s="37" t="s">
        <v>897</v>
      </c>
      <c r="H10" s="37" t="s">
        <v>898</v>
      </c>
      <c r="I10" s="24">
        <v>64276</v>
      </c>
      <c r="J10" s="24">
        <v>331</v>
      </c>
      <c r="K10" s="24" t="s">
        <v>21</v>
      </c>
      <c r="L10" s="24">
        <v>1</v>
      </c>
      <c r="M10" s="39">
        <v>2700000</v>
      </c>
      <c r="N10" s="39">
        <f t="shared" si="1"/>
        <v>2700000</v>
      </c>
      <c r="O10" s="24" t="s">
        <v>22</v>
      </c>
    </row>
    <row r="11" spans="1:16" ht="15" customHeight="1" x14ac:dyDescent="0.2">
      <c r="A11" s="24" t="s">
        <v>18</v>
      </c>
      <c r="B11" s="36">
        <v>45896</v>
      </c>
      <c r="C11" s="37">
        <f t="shared" si="0"/>
        <v>51</v>
      </c>
      <c r="D11" s="24">
        <v>1</v>
      </c>
      <c r="G11" s="37" t="s">
        <v>899</v>
      </c>
      <c r="H11" s="37" t="s">
        <v>900</v>
      </c>
      <c r="I11" s="24">
        <v>64276</v>
      </c>
      <c r="J11" s="24">
        <v>331</v>
      </c>
      <c r="K11" s="24" t="s">
        <v>21</v>
      </c>
      <c r="L11" s="24">
        <v>1</v>
      </c>
      <c r="M11" s="39">
        <v>3715000</v>
      </c>
      <c r="N11" s="39">
        <f t="shared" si="1"/>
        <v>3715000</v>
      </c>
      <c r="O11" s="24" t="s">
        <v>22</v>
      </c>
    </row>
    <row r="12" spans="1:16" ht="15" customHeight="1" x14ac:dyDescent="0.2">
      <c r="A12" s="24" t="s">
        <v>18</v>
      </c>
      <c r="B12" s="36">
        <v>45899</v>
      </c>
      <c r="C12" s="37">
        <f t="shared" si="0"/>
        <v>52</v>
      </c>
      <c r="D12" s="24">
        <v>1</v>
      </c>
      <c r="G12" s="37" t="s">
        <v>901</v>
      </c>
      <c r="H12" s="37" t="s">
        <v>902</v>
      </c>
      <c r="I12" s="24">
        <v>64277</v>
      </c>
      <c r="J12" s="24">
        <v>331</v>
      </c>
      <c r="K12" s="24" t="s">
        <v>21</v>
      </c>
      <c r="L12" s="24">
        <v>1</v>
      </c>
      <c r="M12" s="39">
        <v>480600</v>
      </c>
      <c r="N12" s="39">
        <f t="shared" si="1"/>
        <v>480600</v>
      </c>
      <c r="O12" s="24" t="s">
        <v>22</v>
      </c>
    </row>
    <row r="13" spans="1:16" ht="15" customHeight="1" x14ac:dyDescent="0.2">
      <c r="A13" s="24" t="s">
        <v>18</v>
      </c>
      <c r="B13" s="36">
        <v>45900</v>
      </c>
      <c r="C13" s="37">
        <f t="shared" si="0"/>
        <v>53</v>
      </c>
      <c r="D13" s="24">
        <v>1</v>
      </c>
      <c r="G13" s="37" t="s">
        <v>158</v>
      </c>
      <c r="H13" s="37" t="s">
        <v>903</v>
      </c>
      <c r="I13" s="24">
        <v>64277</v>
      </c>
      <c r="J13" s="24">
        <v>331</v>
      </c>
      <c r="K13" s="24" t="s">
        <v>21</v>
      </c>
      <c r="L13" s="24">
        <v>1</v>
      </c>
      <c r="M13" s="39">
        <v>3240000</v>
      </c>
      <c r="N13" s="39">
        <f t="shared" si="1"/>
        <v>3240000</v>
      </c>
      <c r="O13" s="24" t="s">
        <v>22</v>
      </c>
    </row>
    <row r="14" spans="1:16" ht="15" customHeight="1" x14ac:dyDescent="0.2">
      <c r="A14" s="24" t="s">
        <v>18</v>
      </c>
      <c r="B14" s="36">
        <v>45903</v>
      </c>
      <c r="C14" s="37">
        <f t="shared" si="0"/>
        <v>54</v>
      </c>
      <c r="D14" s="24">
        <v>1</v>
      </c>
      <c r="G14" s="37" t="s">
        <v>893</v>
      </c>
      <c r="H14" s="37" t="s">
        <v>904</v>
      </c>
      <c r="I14" s="24">
        <v>64276</v>
      </c>
      <c r="J14" s="24">
        <v>331</v>
      </c>
      <c r="K14" s="24" t="s">
        <v>21</v>
      </c>
      <c r="L14" s="24">
        <v>1</v>
      </c>
      <c r="M14" s="39">
        <v>3808000</v>
      </c>
      <c r="N14" s="39">
        <f t="shared" si="1"/>
        <v>3808000</v>
      </c>
      <c r="O14" s="24" t="s">
        <v>22</v>
      </c>
    </row>
    <row r="15" spans="1:16" ht="15" customHeight="1" x14ac:dyDescent="0.2">
      <c r="A15" s="24" t="s">
        <v>18</v>
      </c>
      <c r="B15" s="36">
        <v>45912</v>
      </c>
      <c r="C15" s="37">
        <f t="shared" si="0"/>
        <v>55</v>
      </c>
      <c r="D15" s="24">
        <v>1</v>
      </c>
      <c r="G15" s="37" t="s">
        <v>905</v>
      </c>
      <c r="H15" s="37" t="s">
        <v>906</v>
      </c>
      <c r="I15" s="24">
        <v>64276</v>
      </c>
      <c r="J15" s="24">
        <v>331</v>
      </c>
      <c r="K15" s="24" t="s">
        <v>21</v>
      </c>
      <c r="L15" s="24">
        <v>1</v>
      </c>
      <c r="M15" s="39">
        <v>1100000</v>
      </c>
      <c r="N15" s="39">
        <f t="shared" si="1"/>
        <v>1100000</v>
      </c>
      <c r="O15" s="24" t="s">
        <v>22</v>
      </c>
    </row>
    <row r="16" spans="1:16" ht="15" customHeight="1" x14ac:dyDescent="0.2">
      <c r="A16" s="24" t="s">
        <v>18</v>
      </c>
      <c r="B16" s="36">
        <v>45913</v>
      </c>
      <c r="C16" s="37">
        <f t="shared" si="0"/>
        <v>56</v>
      </c>
      <c r="D16" s="24">
        <v>1</v>
      </c>
      <c r="G16" s="37" t="s">
        <v>907</v>
      </c>
      <c r="H16" s="37" t="s">
        <v>908</v>
      </c>
      <c r="I16" s="24">
        <v>64277</v>
      </c>
      <c r="J16" s="24">
        <v>331</v>
      </c>
      <c r="K16" s="24" t="s">
        <v>21</v>
      </c>
      <c r="L16" s="24">
        <v>1</v>
      </c>
      <c r="M16" s="39">
        <v>1410180</v>
      </c>
      <c r="N16" s="39">
        <f t="shared" si="1"/>
        <v>1410180</v>
      </c>
      <c r="O16" s="24" t="s">
        <v>22</v>
      </c>
    </row>
    <row r="17" spans="1:15" ht="15" customHeight="1" x14ac:dyDescent="0.2">
      <c r="A17" s="24" t="s">
        <v>18</v>
      </c>
      <c r="B17" s="36">
        <v>45917</v>
      </c>
      <c r="C17" s="37">
        <f t="shared" si="0"/>
        <v>57</v>
      </c>
      <c r="D17" s="24">
        <v>1</v>
      </c>
      <c r="G17" s="37" t="s">
        <v>909</v>
      </c>
      <c r="H17" s="37" t="s">
        <v>910</v>
      </c>
      <c r="I17" s="24">
        <v>64276</v>
      </c>
      <c r="J17" s="24">
        <v>331</v>
      </c>
      <c r="K17" s="24" t="s">
        <v>21</v>
      </c>
      <c r="L17" s="24">
        <v>1</v>
      </c>
      <c r="M17" s="39">
        <v>44739000</v>
      </c>
      <c r="N17" s="39">
        <f t="shared" si="1"/>
        <v>44739000</v>
      </c>
      <c r="O17" s="24" t="s">
        <v>22</v>
      </c>
    </row>
    <row r="18" spans="1:15" ht="15" customHeight="1" x14ac:dyDescent="0.2">
      <c r="A18" s="24" t="s">
        <v>18</v>
      </c>
      <c r="B18" s="36">
        <v>45917</v>
      </c>
      <c r="C18" s="37">
        <f t="shared" si="0"/>
        <v>58</v>
      </c>
      <c r="D18" s="24">
        <v>1</v>
      </c>
      <c r="G18" s="37" t="s">
        <v>901</v>
      </c>
      <c r="H18" s="37" t="s">
        <v>911</v>
      </c>
      <c r="I18" s="24">
        <v>64277</v>
      </c>
      <c r="J18" s="24">
        <v>331</v>
      </c>
      <c r="K18" s="24" t="s">
        <v>21</v>
      </c>
      <c r="L18" s="24">
        <v>1</v>
      </c>
      <c r="M18" s="39">
        <v>259200</v>
      </c>
      <c r="N18" s="39">
        <f t="shared" si="1"/>
        <v>259200</v>
      </c>
      <c r="O18" s="24" t="s">
        <v>22</v>
      </c>
    </row>
    <row r="19" spans="1:15" ht="15" customHeight="1" x14ac:dyDescent="0.2">
      <c r="A19" s="24" t="s">
        <v>18</v>
      </c>
      <c r="B19" s="36">
        <v>45925</v>
      </c>
      <c r="C19" s="37">
        <f t="shared" si="0"/>
        <v>59</v>
      </c>
      <c r="D19" s="24">
        <v>1</v>
      </c>
      <c r="G19" s="37" t="s">
        <v>912</v>
      </c>
      <c r="H19" s="37" t="s">
        <v>913</v>
      </c>
      <c r="I19" s="24">
        <v>64277</v>
      </c>
      <c r="J19" s="24">
        <v>331</v>
      </c>
      <c r="K19" s="24" t="s">
        <v>21</v>
      </c>
      <c r="L19" s="24">
        <v>1</v>
      </c>
      <c r="M19" s="39">
        <v>338000</v>
      </c>
      <c r="N19" s="39">
        <f t="shared" si="1"/>
        <v>338000</v>
      </c>
      <c r="O19" s="24" t="s">
        <v>22</v>
      </c>
    </row>
    <row r="20" spans="1:15" ht="15" customHeight="1" x14ac:dyDescent="0.2">
      <c r="A20" s="24" t="s">
        <v>368</v>
      </c>
      <c r="B20" s="36">
        <v>45839</v>
      </c>
      <c r="C20" s="37">
        <f t="shared" si="0"/>
        <v>60</v>
      </c>
      <c r="D20" s="24">
        <v>1</v>
      </c>
      <c r="G20" s="37" t="s">
        <v>158</v>
      </c>
      <c r="H20" s="37" t="s">
        <v>914</v>
      </c>
      <c r="I20" s="24">
        <v>331</v>
      </c>
      <c r="J20" s="24">
        <v>1111</v>
      </c>
      <c r="K20" s="24" t="s">
        <v>21</v>
      </c>
      <c r="L20" s="24">
        <v>1</v>
      </c>
      <c r="M20" s="39">
        <v>3240000</v>
      </c>
      <c r="N20" s="39">
        <f t="shared" si="1"/>
        <v>3240000</v>
      </c>
      <c r="O20" s="24" t="s">
        <v>22</v>
      </c>
    </row>
    <row r="21" spans="1:15" ht="15" customHeight="1" x14ac:dyDescent="0.2">
      <c r="A21" s="24" t="s">
        <v>368</v>
      </c>
      <c r="B21" s="36">
        <v>45844</v>
      </c>
      <c r="C21" s="37">
        <f t="shared" si="0"/>
        <v>61</v>
      </c>
      <c r="D21" s="24">
        <v>1</v>
      </c>
      <c r="G21" s="37" t="s">
        <v>890</v>
      </c>
      <c r="H21" s="37" t="s">
        <v>915</v>
      </c>
      <c r="I21" s="24">
        <v>331</v>
      </c>
      <c r="J21" s="24">
        <v>1111</v>
      </c>
      <c r="K21" s="24" t="s">
        <v>21</v>
      </c>
      <c r="L21" s="24">
        <v>1</v>
      </c>
      <c r="M21" s="39">
        <v>1319760</v>
      </c>
      <c r="N21" s="39">
        <f t="shared" si="1"/>
        <v>1319760</v>
      </c>
      <c r="O21" s="24" t="s">
        <v>22</v>
      </c>
    </row>
    <row r="22" spans="1:15" ht="15" customHeight="1" x14ac:dyDescent="0.2">
      <c r="A22" s="24" t="s">
        <v>368</v>
      </c>
      <c r="B22" s="36">
        <v>45873</v>
      </c>
      <c r="C22" s="37">
        <f t="shared" si="0"/>
        <v>62</v>
      </c>
      <c r="D22" s="24">
        <v>1</v>
      </c>
      <c r="G22" s="37" t="s">
        <v>158</v>
      </c>
      <c r="H22" s="37" t="s">
        <v>916</v>
      </c>
      <c r="I22" s="24">
        <v>331</v>
      </c>
      <c r="J22" s="24">
        <v>1111</v>
      </c>
      <c r="K22" s="24" t="s">
        <v>21</v>
      </c>
      <c r="L22" s="24">
        <v>1</v>
      </c>
      <c r="M22" s="39">
        <v>3240000</v>
      </c>
      <c r="N22" s="39">
        <f t="shared" si="1"/>
        <v>3240000</v>
      </c>
      <c r="O22" s="24" t="s">
        <v>22</v>
      </c>
    </row>
    <row r="23" spans="1:15" ht="15" customHeight="1" x14ac:dyDescent="0.2">
      <c r="A23" s="24" t="s">
        <v>368</v>
      </c>
      <c r="B23" s="36">
        <v>45880</v>
      </c>
      <c r="C23" s="37">
        <f t="shared" si="0"/>
        <v>63</v>
      </c>
      <c r="D23" s="24">
        <v>1</v>
      </c>
      <c r="G23" s="37" t="s">
        <v>893</v>
      </c>
      <c r="H23" s="37" t="s">
        <v>917</v>
      </c>
      <c r="I23" s="24">
        <v>331</v>
      </c>
      <c r="J23" s="24">
        <v>1111</v>
      </c>
      <c r="K23" s="24" t="s">
        <v>21</v>
      </c>
      <c r="L23" s="24">
        <v>1</v>
      </c>
      <c r="M23" s="39">
        <v>1935000</v>
      </c>
      <c r="N23" s="39">
        <f t="shared" si="1"/>
        <v>1935000</v>
      </c>
      <c r="O23" s="24" t="s">
        <v>22</v>
      </c>
    </row>
    <row r="24" spans="1:15" ht="15" customHeight="1" x14ac:dyDescent="0.2">
      <c r="A24" s="24" t="s">
        <v>368</v>
      </c>
      <c r="B24" s="36">
        <v>45880</v>
      </c>
      <c r="C24" s="37">
        <f t="shared" si="0"/>
        <v>64</v>
      </c>
      <c r="D24" s="24">
        <v>1</v>
      </c>
      <c r="G24" s="37" t="s">
        <v>893</v>
      </c>
      <c r="H24" s="37" t="s">
        <v>918</v>
      </c>
      <c r="I24" s="24">
        <v>331</v>
      </c>
      <c r="J24" s="24">
        <v>1111</v>
      </c>
      <c r="K24" s="24" t="s">
        <v>21</v>
      </c>
      <c r="L24" s="24">
        <v>1</v>
      </c>
      <c r="M24" s="39">
        <v>3769000</v>
      </c>
      <c r="N24" s="39">
        <f t="shared" si="1"/>
        <v>3769000</v>
      </c>
      <c r="O24" s="24" t="s">
        <v>22</v>
      </c>
    </row>
    <row r="25" spans="1:15" ht="15" customHeight="1" x14ac:dyDescent="0.2">
      <c r="A25" s="24" t="s">
        <v>368</v>
      </c>
      <c r="B25" s="36">
        <v>45895</v>
      </c>
      <c r="C25" s="37">
        <f t="shared" si="0"/>
        <v>65</v>
      </c>
      <c r="D25" s="24">
        <v>1</v>
      </c>
      <c r="G25" s="37" t="s">
        <v>46</v>
      </c>
      <c r="H25" s="37" t="s">
        <v>919</v>
      </c>
      <c r="I25" s="24">
        <v>331</v>
      </c>
      <c r="J25" s="24">
        <v>1111</v>
      </c>
      <c r="K25" s="24" t="s">
        <v>21</v>
      </c>
      <c r="L25" s="24">
        <v>1</v>
      </c>
      <c r="M25" s="39">
        <v>558360</v>
      </c>
      <c r="N25" s="39">
        <f t="shared" si="1"/>
        <v>558360</v>
      </c>
      <c r="O25" s="24" t="s">
        <v>22</v>
      </c>
    </row>
    <row r="26" spans="1:15" ht="15" customHeight="1" x14ac:dyDescent="0.2">
      <c r="A26" s="24" t="s">
        <v>368</v>
      </c>
      <c r="B26" s="36">
        <v>45895</v>
      </c>
      <c r="C26" s="37">
        <f t="shared" si="0"/>
        <v>66</v>
      </c>
      <c r="D26" s="24">
        <v>1</v>
      </c>
      <c r="G26" s="37" t="s">
        <v>897</v>
      </c>
      <c r="H26" s="37" t="s">
        <v>920</v>
      </c>
      <c r="I26" s="24">
        <v>331</v>
      </c>
      <c r="J26" s="24">
        <v>1111</v>
      </c>
      <c r="K26" s="24" t="s">
        <v>21</v>
      </c>
      <c r="L26" s="24">
        <v>1</v>
      </c>
      <c r="M26" s="39">
        <v>2700000</v>
      </c>
      <c r="N26" s="39">
        <f t="shared" si="1"/>
        <v>2700000</v>
      </c>
      <c r="O26" s="24" t="s">
        <v>22</v>
      </c>
    </row>
    <row r="27" spans="1:15" ht="15" customHeight="1" x14ac:dyDescent="0.2">
      <c r="A27" s="24" t="s">
        <v>368</v>
      </c>
      <c r="B27" s="36">
        <v>45896</v>
      </c>
      <c r="C27" s="37">
        <f t="shared" si="0"/>
        <v>67</v>
      </c>
      <c r="D27" s="24">
        <v>1</v>
      </c>
      <c r="G27" s="37" t="s">
        <v>899</v>
      </c>
      <c r="H27" s="37" t="s">
        <v>921</v>
      </c>
      <c r="I27" s="24">
        <v>331</v>
      </c>
      <c r="J27" s="24">
        <v>1111</v>
      </c>
      <c r="K27" s="24" t="s">
        <v>21</v>
      </c>
      <c r="L27" s="24">
        <v>1</v>
      </c>
      <c r="M27" s="39">
        <v>3715000</v>
      </c>
      <c r="N27" s="39">
        <f t="shared" si="1"/>
        <v>3715000</v>
      </c>
      <c r="O27" s="24" t="s">
        <v>22</v>
      </c>
    </row>
    <row r="28" spans="1:15" ht="15" customHeight="1" x14ac:dyDescent="0.2">
      <c r="A28" s="24" t="s">
        <v>368</v>
      </c>
      <c r="B28" s="36">
        <v>45899</v>
      </c>
      <c r="C28" s="37">
        <f t="shared" si="0"/>
        <v>68</v>
      </c>
      <c r="D28" s="24">
        <v>1</v>
      </c>
      <c r="G28" s="37" t="s">
        <v>901</v>
      </c>
      <c r="H28" s="37" t="s">
        <v>922</v>
      </c>
      <c r="I28" s="24">
        <v>331</v>
      </c>
      <c r="J28" s="24">
        <v>1111</v>
      </c>
      <c r="K28" s="24" t="s">
        <v>21</v>
      </c>
      <c r="L28" s="24">
        <v>1</v>
      </c>
      <c r="M28" s="39">
        <v>480600</v>
      </c>
      <c r="N28" s="39">
        <f t="shared" si="1"/>
        <v>480600</v>
      </c>
      <c r="O28" s="24" t="s">
        <v>22</v>
      </c>
    </row>
    <row r="29" spans="1:15" ht="15" customHeight="1" x14ac:dyDescent="0.2">
      <c r="A29" s="24" t="s">
        <v>368</v>
      </c>
      <c r="B29" s="36">
        <v>45900</v>
      </c>
      <c r="C29" s="37">
        <f t="shared" si="0"/>
        <v>69</v>
      </c>
      <c r="D29" s="24">
        <v>1</v>
      </c>
      <c r="G29" s="37" t="s">
        <v>158</v>
      </c>
      <c r="H29" s="37" t="s">
        <v>923</v>
      </c>
      <c r="I29" s="24">
        <v>331</v>
      </c>
      <c r="J29" s="24">
        <v>1111</v>
      </c>
      <c r="K29" s="24" t="s">
        <v>21</v>
      </c>
      <c r="L29" s="24">
        <v>1</v>
      </c>
      <c r="M29" s="39">
        <v>3240000</v>
      </c>
      <c r="N29" s="39">
        <f t="shared" si="1"/>
        <v>3240000</v>
      </c>
      <c r="O29" s="24" t="s">
        <v>22</v>
      </c>
    </row>
    <row r="30" spans="1:15" ht="15" customHeight="1" x14ac:dyDescent="0.2">
      <c r="A30" s="24" t="s">
        <v>368</v>
      </c>
      <c r="B30" s="36">
        <v>45903</v>
      </c>
      <c r="C30" s="37">
        <f t="shared" si="0"/>
        <v>70</v>
      </c>
      <c r="D30" s="24">
        <v>1</v>
      </c>
      <c r="G30" s="37" t="s">
        <v>893</v>
      </c>
      <c r="H30" s="37" t="s">
        <v>924</v>
      </c>
      <c r="I30" s="24">
        <v>331</v>
      </c>
      <c r="J30" s="24">
        <v>1111</v>
      </c>
      <c r="K30" s="24" t="s">
        <v>21</v>
      </c>
      <c r="L30" s="24">
        <v>1</v>
      </c>
      <c r="M30" s="39">
        <v>3808000</v>
      </c>
      <c r="N30" s="39">
        <f t="shared" si="1"/>
        <v>3808000</v>
      </c>
      <c r="O30" s="24" t="s">
        <v>22</v>
      </c>
    </row>
    <row r="31" spans="1:15" ht="15" customHeight="1" x14ac:dyDescent="0.2">
      <c r="A31" s="24" t="s">
        <v>368</v>
      </c>
      <c r="B31" s="36">
        <v>45912</v>
      </c>
      <c r="C31" s="37">
        <f t="shared" si="0"/>
        <v>71</v>
      </c>
      <c r="D31" s="24">
        <v>1</v>
      </c>
      <c r="G31" s="37" t="s">
        <v>905</v>
      </c>
      <c r="H31" s="37" t="s">
        <v>925</v>
      </c>
      <c r="I31" s="24">
        <v>331</v>
      </c>
      <c r="J31" s="24">
        <v>1111</v>
      </c>
      <c r="K31" s="24" t="s">
        <v>21</v>
      </c>
      <c r="L31" s="24">
        <v>1</v>
      </c>
      <c r="M31" s="39">
        <v>1100000</v>
      </c>
      <c r="N31" s="39">
        <f t="shared" si="1"/>
        <v>1100000</v>
      </c>
      <c r="O31" s="24" t="s">
        <v>22</v>
      </c>
    </row>
    <row r="32" spans="1:15" ht="15" customHeight="1" x14ac:dyDescent="0.2">
      <c r="A32" s="24" t="s">
        <v>368</v>
      </c>
      <c r="B32" s="36">
        <v>45913</v>
      </c>
      <c r="C32" s="37">
        <f t="shared" si="0"/>
        <v>72</v>
      </c>
      <c r="D32" s="24">
        <v>1</v>
      </c>
      <c r="G32" s="37" t="s">
        <v>907</v>
      </c>
      <c r="H32" s="37" t="s">
        <v>926</v>
      </c>
      <c r="I32" s="24">
        <v>331</v>
      </c>
      <c r="J32" s="24">
        <v>1111</v>
      </c>
      <c r="K32" s="24" t="s">
        <v>21</v>
      </c>
      <c r="L32" s="24">
        <v>1</v>
      </c>
      <c r="M32" s="39">
        <v>1410180</v>
      </c>
      <c r="N32" s="39">
        <f t="shared" si="1"/>
        <v>1410180</v>
      </c>
      <c r="O32" s="24" t="s">
        <v>22</v>
      </c>
    </row>
    <row r="33" spans="1:15" ht="15" customHeight="1" x14ac:dyDescent="0.2">
      <c r="A33" s="24" t="s">
        <v>368</v>
      </c>
      <c r="B33" s="36">
        <v>45917</v>
      </c>
      <c r="C33" s="37">
        <f t="shared" si="0"/>
        <v>73</v>
      </c>
      <c r="D33" s="24">
        <v>1</v>
      </c>
      <c r="G33" s="37" t="s">
        <v>909</v>
      </c>
      <c r="H33" s="37" t="s">
        <v>927</v>
      </c>
      <c r="I33" s="24">
        <v>331</v>
      </c>
      <c r="J33" s="24">
        <v>1111</v>
      </c>
      <c r="K33" s="24" t="s">
        <v>21</v>
      </c>
      <c r="L33" s="24">
        <v>1</v>
      </c>
      <c r="M33" s="39">
        <v>44739000</v>
      </c>
      <c r="N33" s="39">
        <f t="shared" si="1"/>
        <v>44739000</v>
      </c>
      <c r="O33" s="24" t="s">
        <v>22</v>
      </c>
    </row>
    <row r="34" spans="1:15" ht="15" customHeight="1" x14ac:dyDescent="0.2">
      <c r="A34" s="24" t="s">
        <v>368</v>
      </c>
      <c r="B34" s="36">
        <v>45917</v>
      </c>
      <c r="C34" s="37">
        <f t="shared" si="0"/>
        <v>74</v>
      </c>
      <c r="D34" s="24">
        <v>1</v>
      </c>
      <c r="G34" s="37" t="s">
        <v>901</v>
      </c>
      <c r="H34" s="37" t="s">
        <v>928</v>
      </c>
      <c r="I34" s="24">
        <v>331</v>
      </c>
      <c r="J34" s="24">
        <v>1111</v>
      </c>
      <c r="K34" s="24" t="s">
        <v>21</v>
      </c>
      <c r="L34" s="24">
        <v>1</v>
      </c>
      <c r="M34" s="39">
        <v>259200</v>
      </c>
      <c r="N34" s="39">
        <f t="shared" si="1"/>
        <v>259200</v>
      </c>
      <c r="O34" s="24" t="s">
        <v>22</v>
      </c>
    </row>
    <row r="35" spans="1:15" ht="15" customHeight="1" x14ac:dyDescent="0.2">
      <c r="A35" s="24" t="s">
        <v>368</v>
      </c>
      <c r="B35" s="36">
        <v>45925</v>
      </c>
      <c r="C35" s="37">
        <f t="shared" si="0"/>
        <v>75</v>
      </c>
      <c r="D35" s="24">
        <v>1</v>
      </c>
      <c r="G35" s="37" t="s">
        <v>912</v>
      </c>
      <c r="H35" s="37" t="s">
        <v>929</v>
      </c>
      <c r="I35" s="24">
        <v>331</v>
      </c>
      <c r="J35" s="24">
        <v>1111</v>
      </c>
      <c r="K35" s="24" t="s">
        <v>21</v>
      </c>
      <c r="L35" s="24">
        <v>1</v>
      </c>
      <c r="M35" s="39">
        <v>338000</v>
      </c>
      <c r="N35" s="39">
        <f t="shared" si="1"/>
        <v>338000</v>
      </c>
      <c r="O35" s="24" t="s">
        <v>22</v>
      </c>
    </row>
    <row r="36" spans="1:15" ht="15" customHeight="1" x14ac:dyDescent="0.2">
      <c r="A36" s="24" t="s">
        <v>18</v>
      </c>
      <c r="B36" s="36">
        <v>45860</v>
      </c>
      <c r="C36" s="37">
        <f t="shared" si="0"/>
        <v>76</v>
      </c>
      <c r="D36" s="24">
        <v>1</v>
      </c>
      <c r="G36" s="37" t="s">
        <v>930</v>
      </c>
      <c r="H36" s="37" t="s">
        <v>931</v>
      </c>
      <c r="I36" s="24">
        <v>131</v>
      </c>
      <c r="J36" s="24">
        <v>5113</v>
      </c>
      <c r="K36" s="24" t="s">
        <v>21</v>
      </c>
      <c r="L36" s="24">
        <v>1</v>
      </c>
      <c r="M36" s="39">
        <v>3225806</v>
      </c>
      <c r="N36" s="39">
        <f t="shared" si="1"/>
        <v>3225806</v>
      </c>
      <c r="O36" s="24" t="s">
        <v>22</v>
      </c>
    </row>
    <row r="37" spans="1:15" ht="15" customHeight="1" x14ac:dyDescent="0.2">
      <c r="A37" s="24" t="s">
        <v>18</v>
      </c>
      <c r="B37" s="36">
        <v>45861</v>
      </c>
      <c r="C37" s="37">
        <f t="shared" si="0"/>
        <v>77</v>
      </c>
      <c r="D37" s="24">
        <v>1</v>
      </c>
      <c r="G37" s="37" t="s">
        <v>55</v>
      </c>
      <c r="H37" s="37" t="s">
        <v>932</v>
      </c>
      <c r="I37" s="24">
        <v>131</v>
      </c>
      <c r="J37" s="24">
        <v>5113</v>
      </c>
      <c r="K37" s="24" t="s">
        <v>21</v>
      </c>
      <c r="L37" s="24">
        <v>1</v>
      </c>
      <c r="M37" s="39">
        <v>13440860</v>
      </c>
      <c r="N37" s="39">
        <f t="shared" si="1"/>
        <v>13440860</v>
      </c>
      <c r="O37" s="24" t="s">
        <v>22</v>
      </c>
    </row>
    <row r="38" spans="1:15" ht="15" customHeight="1" x14ac:dyDescent="0.2">
      <c r="A38" s="24" t="s">
        <v>18</v>
      </c>
      <c r="B38" s="36">
        <v>45870</v>
      </c>
      <c r="C38" s="37">
        <f t="shared" si="0"/>
        <v>78</v>
      </c>
      <c r="D38" s="24">
        <v>1</v>
      </c>
      <c r="G38" s="37" t="s">
        <v>933</v>
      </c>
      <c r="H38" s="37" t="s">
        <v>934</v>
      </c>
      <c r="I38" s="24">
        <v>131</v>
      </c>
      <c r="J38" s="24">
        <v>5113</v>
      </c>
      <c r="K38" s="24" t="s">
        <v>21</v>
      </c>
      <c r="L38" s="24">
        <v>1</v>
      </c>
      <c r="M38" s="39">
        <v>20967742</v>
      </c>
      <c r="N38" s="39">
        <f t="shared" si="1"/>
        <v>20967742</v>
      </c>
      <c r="O38" s="24" t="s">
        <v>22</v>
      </c>
    </row>
    <row r="39" spans="1:15" ht="15" customHeight="1" x14ac:dyDescent="0.2">
      <c r="A39" s="24" t="s">
        <v>18</v>
      </c>
      <c r="B39" s="36">
        <v>45873</v>
      </c>
      <c r="C39" s="37">
        <f t="shared" si="0"/>
        <v>79</v>
      </c>
      <c r="D39" s="24">
        <v>1</v>
      </c>
      <c r="G39" s="37" t="s">
        <v>55</v>
      </c>
      <c r="H39" s="37" t="s">
        <v>935</v>
      </c>
      <c r="I39" s="24">
        <v>131</v>
      </c>
      <c r="J39" s="24">
        <v>5113</v>
      </c>
      <c r="K39" s="24" t="s">
        <v>21</v>
      </c>
      <c r="L39" s="24">
        <v>1</v>
      </c>
      <c r="M39" s="39">
        <v>13440860</v>
      </c>
      <c r="N39" s="39">
        <f t="shared" si="1"/>
        <v>13440860</v>
      </c>
      <c r="O39" s="24" t="s">
        <v>22</v>
      </c>
    </row>
    <row r="40" spans="1:15" ht="15" customHeight="1" x14ac:dyDescent="0.2">
      <c r="A40" s="24" t="s">
        <v>18</v>
      </c>
      <c r="B40" s="36">
        <v>45873</v>
      </c>
      <c r="C40" s="37">
        <f t="shared" si="0"/>
        <v>80</v>
      </c>
      <c r="D40" s="24">
        <v>1</v>
      </c>
      <c r="G40" s="37" t="s">
        <v>55</v>
      </c>
      <c r="H40" s="37" t="s">
        <v>936</v>
      </c>
      <c r="I40" s="13">
        <v>333812</v>
      </c>
      <c r="J40" s="24">
        <v>131</v>
      </c>
      <c r="K40" s="24" t="s">
        <v>21</v>
      </c>
      <c r="L40" s="24">
        <v>1</v>
      </c>
      <c r="M40" s="39">
        <v>134409</v>
      </c>
      <c r="N40" s="39">
        <f t="shared" si="1"/>
        <v>134409</v>
      </c>
      <c r="O40" s="24" t="s">
        <v>22</v>
      </c>
    </row>
    <row r="41" spans="1:15" ht="15" customHeight="1" x14ac:dyDescent="0.2">
      <c r="A41" s="24" t="s">
        <v>18</v>
      </c>
      <c r="B41" s="36">
        <v>45875</v>
      </c>
      <c r="C41" s="37">
        <f t="shared" si="0"/>
        <v>81</v>
      </c>
      <c r="D41" s="24">
        <v>1</v>
      </c>
      <c r="G41" s="37" t="s">
        <v>756</v>
      </c>
      <c r="H41" s="37" t="s">
        <v>937</v>
      </c>
      <c r="I41" s="24">
        <v>131</v>
      </c>
      <c r="J41" s="24">
        <v>5113</v>
      </c>
      <c r="K41" s="24" t="s">
        <v>21</v>
      </c>
      <c r="L41" s="24">
        <v>1</v>
      </c>
      <c r="M41" s="39">
        <v>32258065</v>
      </c>
      <c r="N41" s="39">
        <f t="shared" si="1"/>
        <v>32258065</v>
      </c>
      <c r="O41" s="24" t="s">
        <v>22</v>
      </c>
    </row>
    <row r="42" spans="1:15" ht="15" customHeight="1" x14ac:dyDescent="0.2">
      <c r="A42" s="24" t="s">
        <v>18</v>
      </c>
      <c r="B42" s="36">
        <v>45875</v>
      </c>
      <c r="C42" s="37">
        <f t="shared" si="0"/>
        <v>82</v>
      </c>
      <c r="D42" s="24">
        <v>1</v>
      </c>
      <c r="G42" s="37" t="s">
        <v>756</v>
      </c>
      <c r="H42" s="37" t="s">
        <v>938</v>
      </c>
      <c r="I42" s="13">
        <v>333812</v>
      </c>
      <c r="J42" s="24">
        <v>131</v>
      </c>
      <c r="K42" s="24" t="s">
        <v>21</v>
      </c>
      <c r="L42" s="24">
        <v>1</v>
      </c>
      <c r="M42" s="39">
        <v>322581</v>
      </c>
      <c r="N42" s="39">
        <f t="shared" si="1"/>
        <v>322581</v>
      </c>
      <c r="O42" s="24" t="s">
        <v>22</v>
      </c>
    </row>
    <row r="43" spans="1:15" ht="15" customHeight="1" x14ac:dyDescent="0.2">
      <c r="A43" s="24" t="s">
        <v>18</v>
      </c>
      <c r="B43" s="36">
        <v>45880</v>
      </c>
      <c r="C43" s="37">
        <f t="shared" si="0"/>
        <v>83</v>
      </c>
      <c r="D43" s="24">
        <v>1</v>
      </c>
      <c r="G43" s="37" t="s">
        <v>656</v>
      </c>
      <c r="H43" s="37" t="s">
        <v>939</v>
      </c>
      <c r="I43" s="24">
        <v>131</v>
      </c>
      <c r="J43" s="24">
        <v>5113</v>
      </c>
      <c r="K43" s="24" t="s">
        <v>21</v>
      </c>
      <c r="L43" s="24">
        <v>1</v>
      </c>
      <c r="M43" s="39">
        <v>37373737</v>
      </c>
      <c r="N43" s="39">
        <f t="shared" si="1"/>
        <v>37373737</v>
      </c>
      <c r="O43" s="24" t="s">
        <v>22</v>
      </c>
    </row>
    <row r="44" spans="1:15" ht="15" customHeight="1" x14ac:dyDescent="0.2">
      <c r="A44" s="24" t="s">
        <v>18</v>
      </c>
      <c r="B44" s="36">
        <v>45880</v>
      </c>
      <c r="C44" s="37">
        <f t="shared" si="0"/>
        <v>84</v>
      </c>
      <c r="D44" s="24">
        <v>1</v>
      </c>
      <c r="G44" s="37" t="s">
        <v>656</v>
      </c>
      <c r="H44" s="37" t="s">
        <v>940</v>
      </c>
      <c r="I44" s="13">
        <v>333812</v>
      </c>
      <c r="J44" s="24">
        <v>131</v>
      </c>
      <c r="K44" s="24" t="s">
        <v>21</v>
      </c>
      <c r="L44" s="24">
        <v>1</v>
      </c>
      <c r="M44" s="39">
        <v>373737</v>
      </c>
      <c r="N44" s="39">
        <f t="shared" si="1"/>
        <v>373737</v>
      </c>
      <c r="O44" s="24" t="s">
        <v>22</v>
      </c>
    </row>
    <row r="45" spans="1:15" ht="15" customHeight="1" x14ac:dyDescent="0.2">
      <c r="A45" s="24" t="s">
        <v>18</v>
      </c>
      <c r="B45" s="36">
        <v>45883</v>
      </c>
      <c r="C45" s="37">
        <f t="shared" si="0"/>
        <v>85</v>
      </c>
      <c r="D45" s="24">
        <v>1</v>
      </c>
      <c r="G45" s="37" t="s">
        <v>756</v>
      </c>
      <c r="H45" s="37" t="s">
        <v>941</v>
      </c>
      <c r="I45" s="24">
        <v>131</v>
      </c>
      <c r="J45" s="24">
        <v>5113</v>
      </c>
      <c r="K45" s="24" t="s">
        <v>21</v>
      </c>
      <c r="L45" s="24">
        <v>1</v>
      </c>
      <c r="M45" s="39">
        <v>13440860</v>
      </c>
      <c r="N45" s="39">
        <f t="shared" si="1"/>
        <v>13440860</v>
      </c>
      <c r="O45" s="24" t="s">
        <v>22</v>
      </c>
    </row>
    <row r="46" spans="1:15" ht="15" customHeight="1" x14ac:dyDescent="0.2">
      <c r="A46" s="24" t="s">
        <v>18</v>
      </c>
      <c r="B46" s="36">
        <v>45883</v>
      </c>
      <c r="C46" s="37">
        <f t="shared" si="0"/>
        <v>86</v>
      </c>
      <c r="D46" s="24">
        <v>1</v>
      </c>
      <c r="G46" s="37" t="s">
        <v>756</v>
      </c>
      <c r="H46" s="37" t="s">
        <v>942</v>
      </c>
      <c r="I46" s="13">
        <v>333812</v>
      </c>
      <c r="J46" s="24">
        <v>131</v>
      </c>
      <c r="K46" s="24" t="s">
        <v>21</v>
      </c>
      <c r="L46" s="24">
        <v>1</v>
      </c>
      <c r="M46" s="39">
        <v>134409</v>
      </c>
      <c r="N46" s="39">
        <f t="shared" si="1"/>
        <v>134409</v>
      </c>
      <c r="O46" s="24" t="s">
        <v>22</v>
      </c>
    </row>
    <row r="47" spans="1:15" ht="15" customHeight="1" x14ac:dyDescent="0.2">
      <c r="A47" s="24" t="s">
        <v>18</v>
      </c>
      <c r="B47" s="36">
        <v>45886</v>
      </c>
      <c r="C47" s="37">
        <f t="shared" si="0"/>
        <v>87</v>
      </c>
      <c r="D47" s="24">
        <v>1</v>
      </c>
      <c r="G47" s="37" t="s">
        <v>756</v>
      </c>
      <c r="H47" s="37" t="s">
        <v>943</v>
      </c>
      <c r="I47" s="24">
        <v>131</v>
      </c>
      <c r="J47" s="24">
        <v>5113</v>
      </c>
      <c r="K47" s="24" t="s">
        <v>21</v>
      </c>
      <c r="L47" s="24">
        <v>1</v>
      </c>
      <c r="M47" s="39">
        <v>13440860</v>
      </c>
      <c r="N47" s="39">
        <f t="shared" si="1"/>
        <v>13440860</v>
      </c>
      <c r="O47" s="24" t="s">
        <v>22</v>
      </c>
    </row>
    <row r="48" spans="1:15" ht="15" customHeight="1" x14ac:dyDescent="0.2">
      <c r="A48" s="24" t="s">
        <v>18</v>
      </c>
      <c r="B48" s="36">
        <v>45886</v>
      </c>
      <c r="C48" s="37">
        <f t="shared" si="0"/>
        <v>88</v>
      </c>
      <c r="D48" s="24">
        <v>1</v>
      </c>
      <c r="G48" s="37" t="s">
        <v>756</v>
      </c>
      <c r="H48" s="37" t="s">
        <v>944</v>
      </c>
      <c r="I48" s="13">
        <v>333812</v>
      </c>
      <c r="J48" s="24">
        <v>131</v>
      </c>
      <c r="K48" s="24" t="s">
        <v>21</v>
      </c>
      <c r="L48" s="24">
        <v>1</v>
      </c>
      <c r="M48" s="39">
        <v>134409</v>
      </c>
      <c r="N48" s="39">
        <f t="shared" si="1"/>
        <v>134409</v>
      </c>
      <c r="O48" s="24" t="s">
        <v>22</v>
      </c>
    </row>
    <row r="49" spans="1:16" ht="15" customHeight="1" x14ac:dyDescent="0.2">
      <c r="A49" s="24" t="s">
        <v>18</v>
      </c>
      <c r="B49" s="36">
        <v>45888</v>
      </c>
      <c r="C49" s="37">
        <f t="shared" si="0"/>
        <v>89</v>
      </c>
      <c r="D49" s="24">
        <v>1</v>
      </c>
      <c r="G49" s="37" t="s">
        <v>267</v>
      </c>
      <c r="H49" s="37" t="s">
        <v>945</v>
      </c>
      <c r="I49" s="24">
        <v>131</v>
      </c>
      <c r="J49" s="24">
        <v>5113</v>
      </c>
      <c r="K49" s="24" t="s">
        <v>21</v>
      </c>
      <c r="L49" s="24">
        <v>1</v>
      </c>
      <c r="M49" s="39">
        <v>30107526</v>
      </c>
      <c r="N49" s="39">
        <f t="shared" si="1"/>
        <v>30107526</v>
      </c>
      <c r="O49" s="24" t="s">
        <v>22</v>
      </c>
    </row>
    <row r="50" spans="1:16" ht="15" customHeight="1" x14ac:dyDescent="0.2">
      <c r="A50" s="24" t="s">
        <v>18</v>
      </c>
      <c r="B50" s="36">
        <v>45888</v>
      </c>
      <c r="C50" s="37">
        <f t="shared" si="0"/>
        <v>90</v>
      </c>
      <c r="D50" s="24">
        <v>1</v>
      </c>
      <c r="G50" s="37" t="s">
        <v>267</v>
      </c>
      <c r="H50" s="37" t="s">
        <v>946</v>
      </c>
      <c r="I50" s="13">
        <v>333812</v>
      </c>
      <c r="J50" s="24">
        <v>131</v>
      </c>
      <c r="K50" s="24" t="s">
        <v>21</v>
      </c>
      <c r="L50" s="24">
        <v>1</v>
      </c>
      <c r="M50" s="39">
        <v>301075</v>
      </c>
      <c r="N50" s="39">
        <f t="shared" si="1"/>
        <v>301075</v>
      </c>
      <c r="O50" s="24" t="s">
        <v>22</v>
      </c>
    </row>
    <row r="51" spans="1:16" ht="15" customHeight="1" x14ac:dyDescent="0.2">
      <c r="A51" s="24" t="s">
        <v>18</v>
      </c>
      <c r="B51" s="36">
        <v>45890</v>
      </c>
      <c r="C51" s="37">
        <f t="shared" si="0"/>
        <v>91</v>
      </c>
      <c r="D51" s="24">
        <v>1</v>
      </c>
      <c r="G51" s="37" t="s">
        <v>947</v>
      </c>
      <c r="H51" s="37" t="s">
        <v>948</v>
      </c>
      <c r="I51" s="24">
        <v>131</v>
      </c>
      <c r="J51" s="24">
        <v>5113</v>
      </c>
      <c r="K51" s="24" t="s">
        <v>21</v>
      </c>
      <c r="L51" s="24">
        <v>1</v>
      </c>
      <c r="M51" s="39">
        <v>37634409</v>
      </c>
      <c r="N51" s="39">
        <f t="shared" si="1"/>
        <v>37634409</v>
      </c>
      <c r="O51" s="24" t="s">
        <v>22</v>
      </c>
    </row>
    <row r="52" spans="1:16" ht="15" customHeight="1" x14ac:dyDescent="0.2">
      <c r="A52" s="24" t="s">
        <v>18</v>
      </c>
      <c r="B52" s="36">
        <v>45890</v>
      </c>
      <c r="C52" s="37">
        <f t="shared" si="0"/>
        <v>92</v>
      </c>
      <c r="D52" s="24">
        <v>1</v>
      </c>
      <c r="G52" s="37" t="s">
        <v>947</v>
      </c>
      <c r="H52" s="37" t="s">
        <v>949</v>
      </c>
      <c r="I52" s="13">
        <v>333812</v>
      </c>
      <c r="J52" s="24">
        <v>131</v>
      </c>
      <c r="K52" s="24" t="s">
        <v>21</v>
      </c>
      <c r="L52" s="24">
        <v>1</v>
      </c>
      <c r="M52" s="39">
        <v>376344</v>
      </c>
      <c r="N52" s="39">
        <f t="shared" si="1"/>
        <v>376344</v>
      </c>
      <c r="O52" s="24" t="s">
        <v>22</v>
      </c>
    </row>
    <row r="53" spans="1:16" ht="15" customHeight="1" x14ac:dyDescent="0.2">
      <c r="A53" s="24" t="s">
        <v>18</v>
      </c>
      <c r="B53" s="36">
        <v>45891</v>
      </c>
      <c r="C53" s="37">
        <f t="shared" si="0"/>
        <v>93</v>
      </c>
      <c r="D53" s="24">
        <v>1</v>
      </c>
      <c r="G53" s="37" t="s">
        <v>802</v>
      </c>
      <c r="H53" s="37" t="s">
        <v>950</v>
      </c>
      <c r="I53" s="24">
        <v>131</v>
      </c>
      <c r="J53" s="24">
        <v>5113</v>
      </c>
      <c r="K53" s="24" t="s">
        <v>21</v>
      </c>
      <c r="L53" s="24">
        <v>1</v>
      </c>
      <c r="M53" s="39">
        <v>6451612</v>
      </c>
      <c r="N53" s="39">
        <f t="shared" si="1"/>
        <v>6451612</v>
      </c>
      <c r="O53" s="24" t="s">
        <v>22</v>
      </c>
    </row>
    <row r="54" spans="1:16" ht="15" customHeight="1" x14ac:dyDescent="0.2">
      <c r="A54" s="24" t="s">
        <v>18</v>
      </c>
      <c r="B54" s="36">
        <v>45891</v>
      </c>
      <c r="C54" s="37">
        <f t="shared" si="0"/>
        <v>94</v>
      </c>
      <c r="D54" s="24">
        <v>1</v>
      </c>
      <c r="G54" s="37" t="s">
        <v>802</v>
      </c>
      <c r="H54" s="37" t="s">
        <v>951</v>
      </c>
      <c r="I54" s="13">
        <v>333812</v>
      </c>
      <c r="J54" s="24">
        <v>131</v>
      </c>
      <c r="K54" s="24" t="s">
        <v>21</v>
      </c>
      <c r="L54" s="24">
        <v>1</v>
      </c>
      <c r="M54" s="39">
        <v>64516</v>
      </c>
      <c r="N54" s="39">
        <f t="shared" si="1"/>
        <v>64516</v>
      </c>
      <c r="O54" s="24" t="s">
        <v>22</v>
      </c>
    </row>
    <row r="55" spans="1:16" ht="15" customHeight="1" x14ac:dyDescent="0.2">
      <c r="A55" s="24" t="s">
        <v>18</v>
      </c>
      <c r="B55" s="36">
        <v>45896</v>
      </c>
      <c r="C55" s="37">
        <f t="shared" si="0"/>
        <v>95</v>
      </c>
      <c r="D55" s="24">
        <v>1</v>
      </c>
      <c r="G55" s="37" t="s">
        <v>952</v>
      </c>
      <c r="H55" s="37" t="s">
        <v>953</v>
      </c>
      <c r="I55" s="24">
        <v>131</v>
      </c>
      <c r="J55" s="24">
        <v>5113</v>
      </c>
      <c r="K55" s="24" t="s">
        <v>21</v>
      </c>
      <c r="L55" s="24">
        <v>1</v>
      </c>
      <c r="M55" s="39">
        <v>16129032</v>
      </c>
      <c r="N55" s="39">
        <f t="shared" si="1"/>
        <v>16129032</v>
      </c>
      <c r="O55" s="24" t="s">
        <v>22</v>
      </c>
      <c r="P55" s="38"/>
    </row>
    <row r="56" spans="1:16" ht="15" customHeight="1" x14ac:dyDescent="0.2">
      <c r="A56" s="24" t="s">
        <v>18</v>
      </c>
      <c r="B56" s="36">
        <v>45896</v>
      </c>
      <c r="C56" s="37">
        <f t="shared" si="0"/>
        <v>96</v>
      </c>
      <c r="D56" s="24">
        <v>1</v>
      </c>
      <c r="G56" s="37" t="s">
        <v>952</v>
      </c>
      <c r="H56" s="37" t="s">
        <v>954</v>
      </c>
      <c r="I56" s="13">
        <v>333812</v>
      </c>
      <c r="J56" s="24">
        <v>131</v>
      </c>
      <c r="K56" s="24" t="s">
        <v>21</v>
      </c>
      <c r="L56" s="24">
        <v>1</v>
      </c>
      <c r="M56" s="39">
        <v>161290</v>
      </c>
      <c r="N56" s="39">
        <f t="shared" si="1"/>
        <v>161290</v>
      </c>
      <c r="O56" s="24" t="s">
        <v>22</v>
      </c>
    </row>
    <row r="57" spans="1:16" ht="15" customHeight="1" x14ac:dyDescent="0.2">
      <c r="A57" s="24" t="s">
        <v>18</v>
      </c>
      <c r="B57" s="36">
        <v>45898</v>
      </c>
      <c r="C57" s="37">
        <f t="shared" si="0"/>
        <v>97</v>
      </c>
      <c r="D57" s="24">
        <v>1</v>
      </c>
      <c r="G57" s="37" t="s">
        <v>818</v>
      </c>
      <c r="H57" s="37" t="s">
        <v>955</v>
      </c>
      <c r="I57" s="24">
        <v>131</v>
      </c>
      <c r="J57" s="24">
        <v>5113</v>
      </c>
      <c r="K57" s="24" t="s">
        <v>21</v>
      </c>
      <c r="L57" s="24">
        <v>1</v>
      </c>
      <c r="M57" s="39">
        <v>26881720</v>
      </c>
      <c r="N57" s="39">
        <f t="shared" si="1"/>
        <v>26881720</v>
      </c>
      <c r="O57" s="24" t="s">
        <v>22</v>
      </c>
    </row>
    <row r="58" spans="1:16" ht="15" customHeight="1" x14ac:dyDescent="0.2">
      <c r="A58" s="24" t="s">
        <v>18</v>
      </c>
      <c r="B58" s="36">
        <v>45898</v>
      </c>
      <c r="C58" s="37">
        <f t="shared" si="0"/>
        <v>98</v>
      </c>
      <c r="D58" s="24">
        <v>1</v>
      </c>
      <c r="G58" s="37" t="s">
        <v>818</v>
      </c>
      <c r="H58" s="37" t="s">
        <v>956</v>
      </c>
      <c r="I58" s="13">
        <v>333812</v>
      </c>
      <c r="J58" s="24">
        <v>131</v>
      </c>
      <c r="K58" s="24" t="s">
        <v>21</v>
      </c>
      <c r="L58" s="24">
        <v>1</v>
      </c>
      <c r="M58" s="39">
        <v>268817</v>
      </c>
      <c r="N58" s="39">
        <f t="shared" si="1"/>
        <v>268817</v>
      </c>
      <c r="O58" s="24" t="s">
        <v>22</v>
      </c>
    </row>
    <row r="59" spans="1:16" ht="15" customHeight="1" x14ac:dyDescent="0.2">
      <c r="A59" s="24" t="s">
        <v>18</v>
      </c>
      <c r="B59" s="36">
        <v>45902</v>
      </c>
      <c r="C59" s="37">
        <f t="shared" si="0"/>
        <v>99</v>
      </c>
      <c r="D59" s="24">
        <v>1</v>
      </c>
      <c r="G59" s="37" t="s">
        <v>957</v>
      </c>
      <c r="H59" s="37" t="s">
        <v>958</v>
      </c>
      <c r="I59" s="24">
        <v>131</v>
      </c>
      <c r="J59" s="24">
        <v>5113</v>
      </c>
      <c r="K59" s="24" t="s">
        <v>21</v>
      </c>
      <c r="L59" s="24">
        <v>1</v>
      </c>
      <c r="M59" s="39">
        <v>13440860</v>
      </c>
      <c r="N59" s="39">
        <f t="shared" si="1"/>
        <v>13440860</v>
      </c>
      <c r="O59" s="24" t="s">
        <v>22</v>
      </c>
    </row>
    <row r="60" spans="1:16" ht="15" customHeight="1" x14ac:dyDescent="0.2">
      <c r="A60" s="24" t="s">
        <v>18</v>
      </c>
      <c r="B60" s="36">
        <v>45902</v>
      </c>
      <c r="C60" s="37">
        <f t="shared" si="0"/>
        <v>100</v>
      </c>
      <c r="D60" s="24">
        <v>1</v>
      </c>
      <c r="G60" s="37" t="s">
        <v>957</v>
      </c>
      <c r="H60" s="37" t="s">
        <v>959</v>
      </c>
      <c r="I60" s="13">
        <v>333812</v>
      </c>
      <c r="J60" s="24">
        <v>131</v>
      </c>
      <c r="K60" s="24" t="s">
        <v>21</v>
      </c>
      <c r="L60" s="24">
        <v>1</v>
      </c>
      <c r="M60" s="39">
        <v>134409</v>
      </c>
      <c r="N60" s="39">
        <f t="shared" si="1"/>
        <v>134409</v>
      </c>
      <c r="O60" s="24" t="s">
        <v>22</v>
      </c>
    </row>
    <row r="61" spans="1:16" ht="15" customHeight="1" x14ac:dyDescent="0.2">
      <c r="A61" s="24" t="s">
        <v>18</v>
      </c>
      <c r="B61" s="36">
        <v>45906</v>
      </c>
      <c r="C61" s="37">
        <f t="shared" si="0"/>
        <v>101</v>
      </c>
      <c r="D61" s="24">
        <v>1</v>
      </c>
      <c r="G61" s="37" t="s">
        <v>802</v>
      </c>
      <c r="H61" s="37" t="s">
        <v>960</v>
      </c>
      <c r="I61" s="24">
        <v>131</v>
      </c>
      <c r="J61" s="24">
        <v>5113</v>
      </c>
      <c r="K61" s="24" t="s">
        <v>21</v>
      </c>
      <c r="L61" s="24">
        <v>1</v>
      </c>
      <c r="M61" s="39">
        <v>6451612</v>
      </c>
      <c r="N61" s="39">
        <f t="shared" si="1"/>
        <v>6451612</v>
      </c>
      <c r="O61" s="24" t="s">
        <v>22</v>
      </c>
    </row>
    <row r="62" spans="1:16" ht="15" customHeight="1" x14ac:dyDescent="0.2">
      <c r="A62" s="24" t="s">
        <v>18</v>
      </c>
      <c r="B62" s="36">
        <v>45906</v>
      </c>
      <c r="C62" s="37">
        <f t="shared" si="0"/>
        <v>102</v>
      </c>
      <c r="D62" s="24">
        <v>1</v>
      </c>
      <c r="G62" s="37" t="str">
        <f>G61</f>
        <v>0106915180</v>
      </c>
      <c r="H62" s="24" t="s">
        <v>961</v>
      </c>
      <c r="I62" s="13">
        <v>333812</v>
      </c>
      <c r="J62" s="24">
        <v>131</v>
      </c>
      <c r="K62" s="24" t="s">
        <v>21</v>
      </c>
      <c r="L62" s="24">
        <v>1</v>
      </c>
      <c r="M62" s="39">
        <v>64516</v>
      </c>
      <c r="N62" s="39">
        <f t="shared" si="1"/>
        <v>64516</v>
      </c>
      <c r="O62" s="24" t="s">
        <v>22</v>
      </c>
    </row>
    <row r="63" spans="1:16" ht="15" customHeight="1" x14ac:dyDescent="0.2">
      <c r="A63" s="24" t="s">
        <v>18</v>
      </c>
      <c r="B63" s="36">
        <v>45908</v>
      </c>
      <c r="C63" s="37">
        <f t="shared" si="0"/>
        <v>103</v>
      </c>
      <c r="D63" s="24">
        <v>1</v>
      </c>
      <c r="G63" s="37" t="s">
        <v>962</v>
      </c>
      <c r="H63" s="37" t="s">
        <v>963</v>
      </c>
      <c r="I63" s="24">
        <v>131</v>
      </c>
      <c r="J63" s="24">
        <v>5113</v>
      </c>
      <c r="K63" s="24" t="s">
        <v>21</v>
      </c>
      <c r="L63" s="24">
        <v>1</v>
      </c>
      <c r="M63" s="39">
        <v>26881720</v>
      </c>
      <c r="N63" s="39">
        <f t="shared" si="1"/>
        <v>26881720</v>
      </c>
      <c r="O63" s="24" t="s">
        <v>22</v>
      </c>
    </row>
    <row r="64" spans="1:16" ht="15" customHeight="1" x14ac:dyDescent="0.2">
      <c r="A64" s="24" t="s">
        <v>18</v>
      </c>
      <c r="B64" s="36">
        <v>45908</v>
      </c>
      <c r="C64" s="37">
        <f t="shared" si="0"/>
        <v>104</v>
      </c>
      <c r="D64" s="24">
        <v>1</v>
      </c>
      <c r="G64" s="37" t="str">
        <f>G63</f>
        <v>0316191784</v>
      </c>
      <c r="H64" s="24" t="s">
        <v>964</v>
      </c>
      <c r="I64" s="13">
        <v>333812</v>
      </c>
      <c r="J64" s="24">
        <v>131</v>
      </c>
      <c r="K64" s="24" t="s">
        <v>21</v>
      </c>
      <c r="L64" s="24">
        <v>1</v>
      </c>
      <c r="M64" s="39">
        <v>268817</v>
      </c>
      <c r="N64" s="39">
        <f t="shared" si="1"/>
        <v>268817</v>
      </c>
      <c r="O64" s="24" t="s">
        <v>22</v>
      </c>
    </row>
    <row r="65" spans="1:15" ht="15" customHeight="1" x14ac:dyDescent="0.2">
      <c r="A65" s="24" t="s">
        <v>18</v>
      </c>
      <c r="B65" s="36">
        <v>45908</v>
      </c>
      <c r="C65" s="37">
        <f t="shared" si="0"/>
        <v>105</v>
      </c>
      <c r="D65" s="24">
        <v>1</v>
      </c>
      <c r="G65" s="37" t="s">
        <v>756</v>
      </c>
      <c r="H65" s="37" t="s">
        <v>965</v>
      </c>
      <c r="I65" s="24">
        <v>131</v>
      </c>
      <c r="J65" s="24">
        <v>5113</v>
      </c>
      <c r="K65" s="24" t="s">
        <v>21</v>
      </c>
      <c r="L65" s="24">
        <v>1</v>
      </c>
      <c r="M65" s="39">
        <v>13440860</v>
      </c>
      <c r="N65" s="39">
        <f t="shared" si="1"/>
        <v>13440860</v>
      </c>
      <c r="O65" s="24" t="s">
        <v>22</v>
      </c>
    </row>
    <row r="66" spans="1:15" ht="15" customHeight="1" x14ac:dyDescent="0.2">
      <c r="A66" s="24" t="s">
        <v>18</v>
      </c>
      <c r="B66" s="36">
        <v>45908</v>
      </c>
      <c r="C66" s="37">
        <f t="shared" si="0"/>
        <v>106</v>
      </c>
      <c r="D66" s="24">
        <v>1</v>
      </c>
      <c r="G66" s="37" t="str">
        <f>G65</f>
        <v>0108750008</v>
      </c>
      <c r="H66" s="24" t="s">
        <v>966</v>
      </c>
      <c r="I66" s="13">
        <v>333812</v>
      </c>
      <c r="J66" s="24">
        <v>131</v>
      </c>
      <c r="K66" s="24" t="s">
        <v>21</v>
      </c>
      <c r="L66" s="24">
        <v>1</v>
      </c>
      <c r="M66" s="39">
        <v>134409</v>
      </c>
      <c r="N66" s="39">
        <f t="shared" si="1"/>
        <v>134409</v>
      </c>
      <c r="O66" s="24" t="s">
        <v>22</v>
      </c>
    </row>
    <row r="67" spans="1:15" ht="15" customHeight="1" x14ac:dyDescent="0.2">
      <c r="A67" s="24" t="s">
        <v>18</v>
      </c>
      <c r="B67" s="36">
        <v>45909</v>
      </c>
      <c r="C67" s="37">
        <f t="shared" si="0"/>
        <v>107</v>
      </c>
      <c r="D67" s="24">
        <v>1</v>
      </c>
      <c r="G67" s="37" t="s">
        <v>756</v>
      </c>
      <c r="H67" s="37" t="s">
        <v>967</v>
      </c>
      <c r="I67" s="24">
        <v>131</v>
      </c>
      <c r="J67" s="24">
        <v>5113</v>
      </c>
      <c r="K67" s="24" t="s">
        <v>21</v>
      </c>
      <c r="L67" s="24">
        <v>1</v>
      </c>
      <c r="M67" s="39">
        <v>16129032</v>
      </c>
      <c r="N67" s="39">
        <f t="shared" si="1"/>
        <v>16129032</v>
      </c>
      <c r="O67" s="24" t="s">
        <v>22</v>
      </c>
    </row>
    <row r="68" spans="1:15" ht="15" customHeight="1" x14ac:dyDescent="0.2">
      <c r="A68" s="24" t="s">
        <v>18</v>
      </c>
      <c r="B68" s="36">
        <v>45909</v>
      </c>
      <c r="C68" s="37">
        <f t="shared" si="0"/>
        <v>108</v>
      </c>
      <c r="D68" s="24">
        <v>1</v>
      </c>
      <c r="G68" s="37" t="str">
        <f>G67</f>
        <v>0108750008</v>
      </c>
      <c r="H68" s="24" t="s">
        <v>968</v>
      </c>
      <c r="I68" s="13">
        <v>333812</v>
      </c>
      <c r="J68" s="24">
        <v>131</v>
      </c>
      <c r="K68" s="24" t="s">
        <v>21</v>
      </c>
      <c r="L68" s="24">
        <v>1</v>
      </c>
      <c r="M68" s="39">
        <v>161290</v>
      </c>
      <c r="N68" s="39">
        <f t="shared" si="1"/>
        <v>161290</v>
      </c>
      <c r="O68" s="24" t="s">
        <v>22</v>
      </c>
    </row>
    <row r="69" spans="1:15" ht="15" customHeight="1" x14ac:dyDescent="0.2">
      <c r="A69" s="24" t="s">
        <v>18</v>
      </c>
      <c r="B69" s="36">
        <v>45909</v>
      </c>
      <c r="C69" s="37">
        <f t="shared" ref="C69:C132" si="2">C68+D69</f>
        <v>109</v>
      </c>
      <c r="D69" s="24">
        <v>1</v>
      </c>
      <c r="G69" s="37" t="s">
        <v>930</v>
      </c>
      <c r="H69" s="37" t="s">
        <v>969</v>
      </c>
      <c r="I69" s="24">
        <v>131</v>
      </c>
      <c r="J69" s="24">
        <v>5113</v>
      </c>
      <c r="K69" s="24" t="s">
        <v>21</v>
      </c>
      <c r="L69" s="24">
        <v>1</v>
      </c>
      <c r="M69" s="39">
        <v>3225806</v>
      </c>
      <c r="N69" s="39">
        <f t="shared" ref="N69:N94" si="3">L69*M69</f>
        <v>3225806</v>
      </c>
      <c r="O69" s="24" t="s">
        <v>22</v>
      </c>
    </row>
    <row r="70" spans="1:15" ht="15" customHeight="1" x14ac:dyDescent="0.2">
      <c r="A70" s="24" t="s">
        <v>18</v>
      </c>
      <c r="B70" s="36">
        <v>45909</v>
      </c>
      <c r="C70" s="37">
        <f t="shared" si="2"/>
        <v>110</v>
      </c>
      <c r="D70" s="24">
        <v>1</v>
      </c>
      <c r="G70" s="37" t="str">
        <f>G69</f>
        <v>0109863389</v>
      </c>
      <c r="H70" s="24" t="s">
        <v>970</v>
      </c>
      <c r="I70" s="13">
        <v>333812</v>
      </c>
      <c r="J70" s="24">
        <v>131</v>
      </c>
      <c r="K70" s="24" t="s">
        <v>21</v>
      </c>
      <c r="L70" s="24">
        <v>1</v>
      </c>
      <c r="M70" s="39">
        <v>32258</v>
      </c>
      <c r="N70" s="39">
        <f t="shared" si="3"/>
        <v>32258</v>
      </c>
      <c r="O70" s="24" t="s">
        <v>22</v>
      </c>
    </row>
    <row r="71" spans="1:15" ht="15" customHeight="1" x14ac:dyDescent="0.2">
      <c r="A71" s="24" t="s">
        <v>18</v>
      </c>
      <c r="B71" s="36">
        <v>45911</v>
      </c>
      <c r="C71" s="37">
        <f t="shared" si="2"/>
        <v>111</v>
      </c>
      <c r="D71" s="24">
        <v>1</v>
      </c>
      <c r="G71" s="37" t="s">
        <v>55</v>
      </c>
      <c r="H71" s="37" t="s">
        <v>971</v>
      </c>
      <c r="I71" s="24">
        <v>131</v>
      </c>
      <c r="J71" s="24">
        <v>5113</v>
      </c>
      <c r="K71" s="24" t="s">
        <v>21</v>
      </c>
      <c r="L71" s="24">
        <v>1</v>
      </c>
      <c r="M71" s="39">
        <v>13440860</v>
      </c>
      <c r="N71" s="39">
        <f t="shared" si="3"/>
        <v>13440860</v>
      </c>
      <c r="O71" s="24" t="s">
        <v>22</v>
      </c>
    </row>
    <row r="72" spans="1:15" ht="15" customHeight="1" x14ac:dyDescent="0.2">
      <c r="A72" s="24" t="s">
        <v>18</v>
      </c>
      <c r="B72" s="36">
        <v>45911</v>
      </c>
      <c r="C72" s="37">
        <f t="shared" si="2"/>
        <v>112</v>
      </c>
      <c r="D72" s="24">
        <v>1</v>
      </c>
      <c r="G72" s="37" t="str">
        <f>G71</f>
        <v>0106639692</v>
      </c>
      <c r="H72" s="24" t="s">
        <v>972</v>
      </c>
      <c r="I72" s="13">
        <v>333812</v>
      </c>
      <c r="J72" s="24">
        <v>131</v>
      </c>
      <c r="K72" s="24" t="s">
        <v>21</v>
      </c>
      <c r="L72" s="24">
        <v>1</v>
      </c>
      <c r="M72" s="39">
        <v>134409</v>
      </c>
      <c r="N72" s="39">
        <f t="shared" si="3"/>
        <v>134409</v>
      </c>
      <c r="O72" s="24" t="s">
        <v>22</v>
      </c>
    </row>
    <row r="73" spans="1:15" ht="15" customHeight="1" x14ac:dyDescent="0.2">
      <c r="A73" s="24" t="s">
        <v>18</v>
      </c>
      <c r="B73" s="36">
        <v>45911</v>
      </c>
      <c r="C73" s="37">
        <f t="shared" si="2"/>
        <v>113</v>
      </c>
      <c r="D73" s="24">
        <v>1</v>
      </c>
      <c r="G73" s="37" t="s">
        <v>973</v>
      </c>
      <c r="H73" s="37" t="s">
        <v>974</v>
      </c>
      <c r="I73" s="24">
        <v>131</v>
      </c>
      <c r="J73" s="24">
        <v>5113</v>
      </c>
      <c r="K73" s="24" t="s">
        <v>21</v>
      </c>
      <c r="L73" s="24">
        <v>1</v>
      </c>
      <c r="M73" s="39">
        <v>16060606</v>
      </c>
      <c r="N73" s="39">
        <f t="shared" si="3"/>
        <v>16060606</v>
      </c>
      <c r="O73" s="24" t="s">
        <v>22</v>
      </c>
    </row>
    <row r="74" spans="1:15" ht="15" customHeight="1" x14ac:dyDescent="0.2">
      <c r="A74" s="24" t="s">
        <v>18</v>
      </c>
      <c r="B74" s="36">
        <v>45911</v>
      </c>
      <c r="C74" s="37">
        <f t="shared" si="2"/>
        <v>114</v>
      </c>
      <c r="D74" s="24">
        <v>1</v>
      </c>
      <c r="G74" s="37" t="str">
        <f>G73</f>
        <v>5901202018</v>
      </c>
      <c r="H74" s="24" t="s">
        <v>975</v>
      </c>
      <c r="I74" s="13">
        <v>333812</v>
      </c>
      <c r="J74" s="24">
        <v>131</v>
      </c>
      <c r="K74" s="24" t="s">
        <v>21</v>
      </c>
      <c r="L74" s="24">
        <v>1</v>
      </c>
      <c r="M74" s="39">
        <v>160606</v>
      </c>
      <c r="N74" s="39">
        <f t="shared" si="3"/>
        <v>160606</v>
      </c>
      <c r="O74" s="24" t="s">
        <v>22</v>
      </c>
    </row>
    <row r="75" spans="1:15" ht="15" customHeight="1" x14ac:dyDescent="0.2">
      <c r="A75" s="24" t="s">
        <v>18</v>
      </c>
      <c r="B75" s="36">
        <v>45912</v>
      </c>
      <c r="C75" s="37">
        <f t="shared" si="2"/>
        <v>115</v>
      </c>
      <c r="D75" s="24">
        <v>1</v>
      </c>
      <c r="G75" s="37" t="s">
        <v>976</v>
      </c>
      <c r="H75" s="37" t="s">
        <v>977</v>
      </c>
      <c r="I75" s="24">
        <v>131</v>
      </c>
      <c r="J75" s="24">
        <v>5113</v>
      </c>
      <c r="K75" s="24" t="s">
        <v>21</v>
      </c>
      <c r="L75" s="24">
        <v>1</v>
      </c>
      <c r="M75" s="39">
        <v>53763440</v>
      </c>
      <c r="N75" s="39">
        <f t="shared" si="3"/>
        <v>53763440</v>
      </c>
      <c r="O75" s="24" t="s">
        <v>22</v>
      </c>
    </row>
    <row r="76" spans="1:15" ht="15" customHeight="1" x14ac:dyDescent="0.2">
      <c r="A76" s="24" t="s">
        <v>18</v>
      </c>
      <c r="B76" s="36">
        <v>45912</v>
      </c>
      <c r="C76" s="37">
        <f t="shared" si="2"/>
        <v>116</v>
      </c>
      <c r="D76" s="24">
        <v>1</v>
      </c>
      <c r="G76" s="37" t="str">
        <f>G75</f>
        <v>0317200311</v>
      </c>
      <c r="H76" s="24" t="s">
        <v>978</v>
      </c>
      <c r="I76" s="13">
        <v>333812</v>
      </c>
      <c r="J76" s="24">
        <v>131</v>
      </c>
      <c r="K76" s="24" t="s">
        <v>21</v>
      </c>
      <c r="L76" s="24">
        <v>1</v>
      </c>
      <c r="M76" s="39">
        <v>537634</v>
      </c>
      <c r="N76" s="39">
        <f t="shared" si="3"/>
        <v>537634</v>
      </c>
      <c r="O76" s="24" t="s">
        <v>22</v>
      </c>
    </row>
    <row r="77" spans="1:15" ht="15" customHeight="1" x14ac:dyDescent="0.2">
      <c r="A77" s="24" t="s">
        <v>18</v>
      </c>
      <c r="B77" s="36">
        <v>45915</v>
      </c>
      <c r="C77" s="37">
        <f t="shared" si="2"/>
        <v>117</v>
      </c>
      <c r="D77" s="24">
        <v>1</v>
      </c>
      <c r="G77" s="37" t="s">
        <v>55</v>
      </c>
      <c r="H77" s="37" t="s">
        <v>979</v>
      </c>
      <c r="I77" s="24">
        <v>131</v>
      </c>
      <c r="J77" s="24">
        <v>5113</v>
      </c>
      <c r="K77" s="24" t="s">
        <v>21</v>
      </c>
      <c r="L77" s="24">
        <v>1</v>
      </c>
      <c r="M77" s="39">
        <v>13440860</v>
      </c>
      <c r="N77" s="39">
        <f t="shared" si="3"/>
        <v>13440860</v>
      </c>
      <c r="O77" s="24" t="s">
        <v>22</v>
      </c>
    </row>
    <row r="78" spans="1:15" ht="15" customHeight="1" x14ac:dyDescent="0.2">
      <c r="A78" s="24" t="s">
        <v>18</v>
      </c>
      <c r="B78" s="36">
        <v>45915</v>
      </c>
      <c r="C78" s="37">
        <f t="shared" si="2"/>
        <v>118</v>
      </c>
      <c r="D78" s="24">
        <v>1</v>
      </c>
      <c r="G78" s="37" t="str">
        <f>G77</f>
        <v>0106639692</v>
      </c>
      <c r="H78" s="24" t="s">
        <v>980</v>
      </c>
      <c r="I78" s="13">
        <v>333812</v>
      </c>
      <c r="J78" s="24">
        <v>131</v>
      </c>
      <c r="K78" s="24" t="s">
        <v>21</v>
      </c>
      <c r="L78" s="24">
        <v>1</v>
      </c>
      <c r="M78" s="39">
        <v>134409</v>
      </c>
      <c r="N78" s="39">
        <f t="shared" si="3"/>
        <v>134409</v>
      </c>
      <c r="O78" s="24" t="s">
        <v>22</v>
      </c>
    </row>
    <row r="79" spans="1:15" ht="15" customHeight="1" x14ac:dyDescent="0.2">
      <c r="A79" s="24" t="s">
        <v>18</v>
      </c>
      <c r="B79" s="36">
        <v>45916</v>
      </c>
      <c r="C79" s="37">
        <f t="shared" si="2"/>
        <v>119</v>
      </c>
      <c r="D79" s="24">
        <v>1</v>
      </c>
      <c r="G79" s="37" t="s">
        <v>821</v>
      </c>
      <c r="H79" s="37" t="s">
        <v>981</v>
      </c>
      <c r="I79" s="24">
        <v>131</v>
      </c>
      <c r="J79" s="24">
        <v>5113</v>
      </c>
      <c r="K79" s="24" t="s">
        <v>21</v>
      </c>
      <c r="L79" s="24">
        <v>1</v>
      </c>
      <c r="M79" s="39">
        <v>26881720</v>
      </c>
      <c r="N79" s="39">
        <f t="shared" si="3"/>
        <v>26881720</v>
      </c>
      <c r="O79" s="24" t="s">
        <v>22</v>
      </c>
    </row>
    <row r="80" spans="1:15" ht="15" customHeight="1" x14ac:dyDescent="0.2">
      <c r="A80" s="24" t="s">
        <v>18</v>
      </c>
      <c r="B80" s="36">
        <v>45916</v>
      </c>
      <c r="C80" s="37">
        <f t="shared" si="2"/>
        <v>120</v>
      </c>
      <c r="D80" s="24">
        <v>1</v>
      </c>
      <c r="G80" s="37" t="str">
        <f>G79</f>
        <v>0318876014</v>
      </c>
      <c r="H80" s="24" t="s">
        <v>982</v>
      </c>
      <c r="I80" s="13">
        <v>333812</v>
      </c>
      <c r="J80" s="24">
        <v>131</v>
      </c>
      <c r="K80" s="24" t="s">
        <v>21</v>
      </c>
      <c r="L80" s="24">
        <v>1</v>
      </c>
      <c r="M80" s="39">
        <v>268817</v>
      </c>
      <c r="N80" s="39">
        <f t="shared" si="3"/>
        <v>268817</v>
      </c>
      <c r="O80" s="24" t="s">
        <v>22</v>
      </c>
    </row>
    <row r="81" spans="1:15" ht="15" customHeight="1" x14ac:dyDescent="0.2">
      <c r="A81" s="24" t="s">
        <v>18</v>
      </c>
      <c r="B81" s="36">
        <v>45917</v>
      </c>
      <c r="C81" s="37">
        <f t="shared" si="2"/>
        <v>121</v>
      </c>
      <c r="D81" s="24">
        <v>1</v>
      </c>
      <c r="G81" s="37" t="s">
        <v>96</v>
      </c>
      <c r="H81" s="37" t="s">
        <v>983</v>
      </c>
      <c r="I81" s="24">
        <v>131</v>
      </c>
      <c r="J81" s="24">
        <v>5113</v>
      </c>
      <c r="K81" s="24" t="s">
        <v>21</v>
      </c>
      <c r="L81" s="24">
        <v>1</v>
      </c>
      <c r="M81" s="39">
        <v>26881720</v>
      </c>
      <c r="N81" s="39">
        <f t="shared" si="3"/>
        <v>26881720</v>
      </c>
      <c r="O81" s="24" t="s">
        <v>22</v>
      </c>
    </row>
    <row r="82" spans="1:15" ht="15" customHeight="1" x14ac:dyDescent="0.2">
      <c r="A82" s="24" t="s">
        <v>18</v>
      </c>
      <c r="B82" s="36">
        <v>45917</v>
      </c>
      <c r="C82" s="37">
        <f t="shared" si="2"/>
        <v>122</v>
      </c>
      <c r="D82" s="24">
        <v>1</v>
      </c>
      <c r="G82" s="37" t="str">
        <f>G81</f>
        <v>0318678340</v>
      </c>
      <c r="H82" s="24" t="s">
        <v>984</v>
      </c>
      <c r="I82" s="13">
        <v>333812</v>
      </c>
      <c r="J82" s="24">
        <v>131</v>
      </c>
      <c r="K82" s="24" t="s">
        <v>21</v>
      </c>
      <c r="L82" s="24">
        <v>1</v>
      </c>
      <c r="M82" s="39">
        <v>268817</v>
      </c>
      <c r="N82" s="39">
        <f t="shared" si="3"/>
        <v>268817</v>
      </c>
      <c r="O82" s="24" t="s">
        <v>22</v>
      </c>
    </row>
    <row r="83" spans="1:15" ht="15" customHeight="1" x14ac:dyDescent="0.2">
      <c r="A83" s="24" t="s">
        <v>18</v>
      </c>
      <c r="B83" s="36">
        <v>45918</v>
      </c>
      <c r="C83" s="37">
        <f t="shared" si="2"/>
        <v>123</v>
      </c>
      <c r="D83" s="24">
        <v>1</v>
      </c>
      <c r="G83" s="37" t="s">
        <v>952</v>
      </c>
      <c r="H83" s="37" t="s">
        <v>985</v>
      </c>
      <c r="I83" s="24">
        <v>131</v>
      </c>
      <c r="J83" s="24">
        <v>5113</v>
      </c>
      <c r="K83" s="24" t="s">
        <v>21</v>
      </c>
      <c r="L83" s="24">
        <v>1</v>
      </c>
      <c r="M83" s="39">
        <v>16129032</v>
      </c>
      <c r="N83" s="39">
        <f t="shared" si="3"/>
        <v>16129032</v>
      </c>
      <c r="O83" s="24" t="s">
        <v>22</v>
      </c>
    </row>
    <row r="84" spans="1:15" ht="15" customHeight="1" x14ac:dyDescent="0.2">
      <c r="A84" s="24" t="s">
        <v>18</v>
      </c>
      <c r="B84" s="36">
        <v>45918</v>
      </c>
      <c r="C84" s="37">
        <f t="shared" si="2"/>
        <v>124</v>
      </c>
      <c r="D84" s="24">
        <v>1</v>
      </c>
      <c r="G84" s="37" t="str">
        <f>G83</f>
        <v>2601041519</v>
      </c>
      <c r="H84" s="24" t="s">
        <v>986</v>
      </c>
      <c r="I84" s="13">
        <v>333812</v>
      </c>
      <c r="J84" s="24">
        <v>131</v>
      </c>
      <c r="K84" s="24" t="s">
        <v>21</v>
      </c>
      <c r="L84" s="24">
        <v>1</v>
      </c>
      <c r="M84" s="39">
        <v>161290</v>
      </c>
      <c r="N84" s="39">
        <f t="shared" si="3"/>
        <v>161290</v>
      </c>
      <c r="O84" s="24" t="s">
        <v>22</v>
      </c>
    </row>
    <row r="85" spans="1:15" ht="15" customHeight="1" x14ac:dyDescent="0.2">
      <c r="A85" s="24" t="s">
        <v>18</v>
      </c>
      <c r="B85" s="36">
        <v>45924</v>
      </c>
      <c r="C85" s="37">
        <f t="shared" si="2"/>
        <v>125</v>
      </c>
      <c r="D85" s="24">
        <v>1</v>
      </c>
      <c r="G85" s="37" t="s">
        <v>987</v>
      </c>
      <c r="H85" s="37" t="s">
        <v>988</v>
      </c>
      <c r="I85" s="24">
        <v>131</v>
      </c>
      <c r="J85" s="24">
        <v>5113</v>
      </c>
      <c r="K85" s="24" t="s">
        <v>21</v>
      </c>
      <c r="L85" s="24">
        <v>1</v>
      </c>
      <c r="M85" s="39">
        <v>5376344</v>
      </c>
      <c r="N85" s="39">
        <f t="shared" si="3"/>
        <v>5376344</v>
      </c>
      <c r="O85" s="24" t="s">
        <v>22</v>
      </c>
    </row>
    <row r="86" spans="1:15" ht="15" customHeight="1" x14ac:dyDescent="0.2">
      <c r="A86" s="24" t="s">
        <v>18</v>
      </c>
      <c r="B86" s="36">
        <v>45924</v>
      </c>
      <c r="C86" s="37">
        <f t="shared" si="2"/>
        <v>126</v>
      </c>
      <c r="D86" s="24">
        <v>1</v>
      </c>
      <c r="G86" s="37" t="str">
        <f>G85</f>
        <v>0313342918</v>
      </c>
      <c r="H86" s="24" t="s">
        <v>989</v>
      </c>
      <c r="I86" s="13">
        <v>333812</v>
      </c>
      <c r="J86" s="24">
        <v>131</v>
      </c>
      <c r="K86" s="24" t="s">
        <v>21</v>
      </c>
      <c r="L86" s="24">
        <v>1</v>
      </c>
      <c r="M86" s="39">
        <v>53763</v>
      </c>
      <c r="N86" s="39">
        <f t="shared" si="3"/>
        <v>53763</v>
      </c>
      <c r="O86" s="24" t="s">
        <v>22</v>
      </c>
    </row>
    <row r="87" spans="1:15" ht="15" customHeight="1" x14ac:dyDescent="0.2">
      <c r="A87" s="24" t="s">
        <v>18</v>
      </c>
      <c r="B87" s="36">
        <v>45925</v>
      </c>
      <c r="C87" s="37">
        <f t="shared" si="2"/>
        <v>127</v>
      </c>
      <c r="D87" s="24">
        <v>1</v>
      </c>
      <c r="G87" s="37" t="s">
        <v>656</v>
      </c>
      <c r="H87" s="37" t="s">
        <v>990</v>
      </c>
      <c r="I87" s="24">
        <v>131</v>
      </c>
      <c r="J87" s="24">
        <v>5113</v>
      </c>
      <c r="K87" s="24" t="s">
        <v>21</v>
      </c>
      <c r="L87" s="24">
        <v>1</v>
      </c>
      <c r="M87" s="39">
        <v>37895080</v>
      </c>
      <c r="N87" s="39">
        <f t="shared" si="3"/>
        <v>37895080</v>
      </c>
      <c r="O87" s="24" t="s">
        <v>22</v>
      </c>
    </row>
    <row r="88" spans="1:15" ht="15" customHeight="1" x14ac:dyDescent="0.2">
      <c r="A88" s="24" t="s">
        <v>18</v>
      </c>
      <c r="B88" s="36">
        <v>45925</v>
      </c>
      <c r="C88" s="37">
        <f t="shared" si="2"/>
        <v>128</v>
      </c>
      <c r="D88" s="24">
        <v>1</v>
      </c>
      <c r="G88" s="37" t="str">
        <f>G87</f>
        <v>0318643958</v>
      </c>
      <c r="H88" s="24" t="s">
        <v>991</v>
      </c>
      <c r="I88" s="13">
        <v>333812</v>
      </c>
      <c r="J88" s="24">
        <v>131</v>
      </c>
      <c r="K88" s="24" t="s">
        <v>21</v>
      </c>
      <c r="L88" s="24">
        <v>1</v>
      </c>
      <c r="M88" s="39">
        <v>378951</v>
      </c>
      <c r="N88" s="39">
        <f t="shared" si="3"/>
        <v>378951</v>
      </c>
      <c r="O88" s="24" t="s">
        <v>22</v>
      </c>
    </row>
    <row r="89" spans="1:15" ht="15" customHeight="1" x14ac:dyDescent="0.2">
      <c r="A89" s="24" t="s">
        <v>18</v>
      </c>
      <c r="B89" s="36">
        <v>45927</v>
      </c>
      <c r="C89" s="37">
        <f t="shared" si="2"/>
        <v>129</v>
      </c>
      <c r="D89" s="24">
        <v>1</v>
      </c>
      <c r="G89" s="37" t="s">
        <v>992</v>
      </c>
      <c r="H89" s="37" t="s">
        <v>993</v>
      </c>
      <c r="I89" s="24">
        <v>131</v>
      </c>
      <c r="J89" s="24">
        <v>5113</v>
      </c>
      <c r="K89" s="24" t="s">
        <v>21</v>
      </c>
      <c r="L89" s="24">
        <v>1</v>
      </c>
      <c r="M89" s="39">
        <v>3225806</v>
      </c>
      <c r="N89" s="39">
        <f t="shared" si="3"/>
        <v>3225806</v>
      </c>
      <c r="O89" s="24" t="s">
        <v>22</v>
      </c>
    </row>
    <row r="90" spans="1:15" ht="15" customHeight="1" x14ac:dyDescent="0.2">
      <c r="A90" s="24" t="s">
        <v>18</v>
      </c>
      <c r="B90" s="36">
        <v>45927</v>
      </c>
      <c r="C90" s="37">
        <f t="shared" si="2"/>
        <v>130</v>
      </c>
      <c r="D90" s="24">
        <v>1</v>
      </c>
      <c r="G90" s="37" t="str">
        <f>G89</f>
        <v>0313612829</v>
      </c>
      <c r="H90" s="24" t="s">
        <v>994</v>
      </c>
      <c r="I90" s="13">
        <v>333812</v>
      </c>
      <c r="J90" s="24">
        <v>131</v>
      </c>
      <c r="K90" s="24" t="s">
        <v>21</v>
      </c>
      <c r="L90" s="24">
        <v>1</v>
      </c>
      <c r="M90" s="39">
        <v>32258</v>
      </c>
      <c r="N90" s="39">
        <f t="shared" si="3"/>
        <v>32258</v>
      </c>
      <c r="O90" s="24" t="s">
        <v>22</v>
      </c>
    </row>
    <row r="91" spans="1:15" ht="15" customHeight="1" x14ac:dyDescent="0.2">
      <c r="A91" s="24" t="s">
        <v>18</v>
      </c>
      <c r="B91" s="36">
        <v>45929</v>
      </c>
      <c r="C91" s="37">
        <f t="shared" si="2"/>
        <v>131</v>
      </c>
      <c r="D91" s="24">
        <v>1</v>
      </c>
      <c r="G91" s="37" t="s">
        <v>756</v>
      </c>
      <c r="H91" s="37" t="s">
        <v>995</v>
      </c>
      <c r="I91" s="24">
        <v>131</v>
      </c>
      <c r="J91" s="24">
        <v>5113</v>
      </c>
      <c r="K91" s="24" t="s">
        <v>21</v>
      </c>
      <c r="L91" s="24">
        <v>1</v>
      </c>
      <c r="M91" s="39">
        <v>16129032</v>
      </c>
      <c r="N91" s="39">
        <f t="shared" si="3"/>
        <v>16129032</v>
      </c>
      <c r="O91" s="24" t="s">
        <v>22</v>
      </c>
    </row>
    <row r="92" spans="1:15" ht="15" customHeight="1" x14ac:dyDescent="0.2">
      <c r="A92" s="24" t="s">
        <v>18</v>
      </c>
      <c r="B92" s="36">
        <v>45929</v>
      </c>
      <c r="C92" s="37">
        <f t="shared" si="2"/>
        <v>132</v>
      </c>
      <c r="D92" s="24">
        <v>1</v>
      </c>
      <c r="G92" s="37" t="s">
        <v>756</v>
      </c>
      <c r="H92" s="37" t="s">
        <v>996</v>
      </c>
      <c r="I92" s="13">
        <v>333812</v>
      </c>
      <c r="J92" s="24">
        <v>131</v>
      </c>
      <c r="K92" s="24" t="s">
        <v>21</v>
      </c>
      <c r="L92" s="24">
        <v>1</v>
      </c>
      <c r="M92" s="39">
        <v>161290</v>
      </c>
      <c r="N92" s="39">
        <f t="shared" si="3"/>
        <v>161290</v>
      </c>
      <c r="O92" s="24" t="s">
        <v>22</v>
      </c>
    </row>
    <row r="93" spans="1:15" ht="15" customHeight="1" x14ac:dyDescent="0.2">
      <c r="A93" s="24" t="s">
        <v>33</v>
      </c>
      <c r="B93" s="36">
        <v>45839</v>
      </c>
      <c r="C93" s="37">
        <f t="shared" si="2"/>
        <v>133</v>
      </c>
      <c r="D93" s="24">
        <v>1</v>
      </c>
      <c r="G93" s="37" t="s">
        <v>55</v>
      </c>
      <c r="H93" s="37" t="s">
        <v>997</v>
      </c>
      <c r="I93" s="24">
        <v>112111</v>
      </c>
      <c r="J93" s="24">
        <v>131</v>
      </c>
      <c r="K93" s="24" t="s">
        <v>21</v>
      </c>
      <c r="L93" s="24">
        <v>1</v>
      </c>
      <c r="M93" s="39">
        <v>3225806</v>
      </c>
      <c r="N93" s="39">
        <f t="shared" si="3"/>
        <v>3225806</v>
      </c>
      <c r="O93" s="24" t="s">
        <v>998</v>
      </c>
    </row>
    <row r="94" spans="1:15" ht="15" customHeight="1" x14ac:dyDescent="0.2">
      <c r="A94" s="24" t="s">
        <v>33</v>
      </c>
      <c r="B94" s="36">
        <v>45846</v>
      </c>
      <c r="C94" s="37">
        <f t="shared" si="2"/>
        <v>134</v>
      </c>
      <c r="D94" s="24">
        <v>1</v>
      </c>
      <c r="G94" s="37" t="s">
        <v>55</v>
      </c>
      <c r="H94" s="37" t="s">
        <v>999</v>
      </c>
      <c r="I94" s="24">
        <v>112111</v>
      </c>
      <c r="J94" s="24">
        <v>131</v>
      </c>
      <c r="K94" s="24" t="s">
        <v>21</v>
      </c>
      <c r="L94" s="24">
        <v>1</v>
      </c>
      <c r="M94" s="39">
        <v>10752688</v>
      </c>
      <c r="N94" s="39">
        <f t="shared" si="3"/>
        <v>10752688</v>
      </c>
      <c r="O94" s="24" t="s">
        <v>998</v>
      </c>
    </row>
    <row r="95" spans="1:15" ht="15" customHeight="1" x14ac:dyDescent="0.2">
      <c r="A95" s="24" t="s">
        <v>33</v>
      </c>
      <c r="B95" s="36">
        <v>45848</v>
      </c>
      <c r="C95" s="37">
        <f t="shared" si="2"/>
        <v>135</v>
      </c>
      <c r="D95" s="24">
        <v>1</v>
      </c>
      <c r="G95" s="37" t="s">
        <v>1000</v>
      </c>
      <c r="H95" s="37" t="s">
        <v>1001</v>
      </c>
      <c r="I95" s="24">
        <v>112111</v>
      </c>
      <c r="J95" s="24">
        <v>131</v>
      </c>
      <c r="K95" s="24" t="s">
        <v>21</v>
      </c>
      <c r="L95" s="24">
        <v>1</v>
      </c>
      <c r="M95" s="39">
        <v>23655914</v>
      </c>
      <c r="N95" s="39">
        <f t="shared" ref="N95:N141" si="4">L95*M95</f>
        <v>23655914</v>
      </c>
      <c r="O95" s="24" t="s">
        <v>998</v>
      </c>
    </row>
    <row r="96" spans="1:15" ht="15" customHeight="1" x14ac:dyDescent="0.2">
      <c r="A96" s="24" t="s">
        <v>33</v>
      </c>
      <c r="B96" s="36">
        <v>45854</v>
      </c>
      <c r="C96" s="37">
        <f t="shared" si="2"/>
        <v>136</v>
      </c>
      <c r="D96" s="24">
        <v>1</v>
      </c>
      <c r="G96" s="37" t="s">
        <v>55</v>
      </c>
      <c r="H96" s="37" t="s">
        <v>1002</v>
      </c>
      <c r="I96" s="24">
        <v>112111</v>
      </c>
      <c r="J96" s="24">
        <v>131</v>
      </c>
      <c r="K96" s="24" t="s">
        <v>21</v>
      </c>
      <c r="L96" s="24">
        <v>1</v>
      </c>
      <c r="M96" s="39">
        <v>13440860</v>
      </c>
      <c r="N96" s="39">
        <f t="shared" si="4"/>
        <v>13440860</v>
      </c>
      <c r="O96" s="24" t="s">
        <v>22</v>
      </c>
    </row>
    <row r="97" spans="1:15" ht="15" customHeight="1" x14ac:dyDescent="0.2">
      <c r="A97" s="24" t="s">
        <v>89</v>
      </c>
      <c r="B97" s="36">
        <v>45854</v>
      </c>
      <c r="C97" s="37">
        <f t="shared" si="2"/>
        <v>137</v>
      </c>
      <c r="D97" s="24">
        <v>1</v>
      </c>
      <c r="G97" s="37" t="s">
        <v>29</v>
      </c>
      <c r="H97" s="37" t="s">
        <v>864</v>
      </c>
      <c r="I97" s="24">
        <v>333822</v>
      </c>
      <c r="J97" s="24">
        <v>112111</v>
      </c>
      <c r="K97" s="24" t="s">
        <v>21</v>
      </c>
      <c r="L97" s="24">
        <v>1</v>
      </c>
      <c r="M97" s="39">
        <v>2703481</v>
      </c>
      <c r="N97" s="39">
        <f t="shared" si="4"/>
        <v>2703481</v>
      </c>
      <c r="O97" s="24" t="s">
        <v>22</v>
      </c>
    </row>
    <row r="98" spans="1:15" ht="15" customHeight="1" x14ac:dyDescent="0.2">
      <c r="A98" s="24" t="s">
        <v>89</v>
      </c>
      <c r="B98" s="36">
        <v>45854</v>
      </c>
      <c r="C98" s="37">
        <f t="shared" si="2"/>
        <v>138</v>
      </c>
      <c r="D98" s="24">
        <v>1</v>
      </c>
      <c r="G98" s="37" t="s">
        <v>29</v>
      </c>
      <c r="H98" s="37" t="s">
        <v>1003</v>
      </c>
      <c r="I98" s="24">
        <v>333822</v>
      </c>
      <c r="J98" s="24">
        <v>112111</v>
      </c>
      <c r="K98" s="24" t="s">
        <v>21</v>
      </c>
      <c r="L98" s="24">
        <v>1</v>
      </c>
      <c r="M98" s="39">
        <v>4620000</v>
      </c>
      <c r="N98" s="39">
        <f t="shared" si="4"/>
        <v>4620000</v>
      </c>
      <c r="O98" s="24" t="s">
        <v>22</v>
      </c>
    </row>
    <row r="99" spans="1:15" ht="15" customHeight="1" x14ac:dyDescent="0.2">
      <c r="A99" s="24" t="s">
        <v>33</v>
      </c>
      <c r="B99" s="36">
        <v>45859</v>
      </c>
      <c r="C99" s="37">
        <f t="shared" si="2"/>
        <v>139</v>
      </c>
      <c r="D99" s="24">
        <v>1</v>
      </c>
      <c r="G99" s="37" t="s">
        <v>756</v>
      </c>
      <c r="H99" s="37" t="s">
        <v>1004</v>
      </c>
      <c r="I99" s="24">
        <v>112111</v>
      </c>
      <c r="J99" s="24">
        <v>131</v>
      </c>
      <c r="K99" s="24" t="s">
        <v>21</v>
      </c>
      <c r="L99" s="24">
        <v>1</v>
      </c>
      <c r="M99" s="39">
        <v>13440860</v>
      </c>
      <c r="N99" s="39">
        <f t="shared" si="4"/>
        <v>13440860</v>
      </c>
      <c r="O99" s="24" t="s">
        <v>22</v>
      </c>
    </row>
    <row r="100" spans="1:15" ht="15" customHeight="1" x14ac:dyDescent="0.2">
      <c r="A100" s="24" t="s">
        <v>33</v>
      </c>
      <c r="B100" s="36">
        <v>45861</v>
      </c>
      <c r="C100" s="37">
        <f t="shared" si="2"/>
        <v>140</v>
      </c>
      <c r="D100" s="24">
        <v>1</v>
      </c>
      <c r="G100" s="37" t="s">
        <v>55</v>
      </c>
      <c r="H100" s="37" t="s">
        <v>1005</v>
      </c>
      <c r="I100" s="24">
        <v>112111</v>
      </c>
      <c r="J100" s="24">
        <v>131</v>
      </c>
      <c r="K100" s="24" t="s">
        <v>21</v>
      </c>
      <c r="L100" s="24">
        <v>1</v>
      </c>
      <c r="M100" s="39">
        <v>13440860</v>
      </c>
      <c r="N100" s="39">
        <f t="shared" si="4"/>
        <v>13440860</v>
      </c>
      <c r="O100" s="24" t="s">
        <v>22</v>
      </c>
    </row>
    <row r="101" spans="1:15" ht="15" customHeight="1" x14ac:dyDescent="0.2">
      <c r="A101" s="24" t="s">
        <v>33</v>
      </c>
      <c r="B101" s="36">
        <v>45862</v>
      </c>
      <c r="C101" s="37">
        <f t="shared" si="2"/>
        <v>141</v>
      </c>
      <c r="D101" s="24">
        <v>1</v>
      </c>
      <c r="G101" s="37" t="s">
        <v>930</v>
      </c>
      <c r="H101" s="37" t="s">
        <v>931</v>
      </c>
      <c r="I101" s="24">
        <v>112111</v>
      </c>
      <c r="J101" s="24">
        <v>131</v>
      </c>
      <c r="K101" s="24" t="s">
        <v>21</v>
      </c>
      <c r="L101" s="24">
        <v>1</v>
      </c>
      <c r="M101" s="39">
        <v>3225806</v>
      </c>
      <c r="N101" s="39">
        <f t="shared" si="4"/>
        <v>3225806</v>
      </c>
      <c r="O101" s="24" t="s">
        <v>22</v>
      </c>
    </row>
    <row r="102" spans="1:15" ht="15" customHeight="1" x14ac:dyDescent="0.2">
      <c r="A102" s="24" t="s">
        <v>33</v>
      </c>
      <c r="B102" s="36">
        <v>45864</v>
      </c>
      <c r="C102" s="37">
        <f t="shared" si="2"/>
        <v>142</v>
      </c>
      <c r="D102" s="24">
        <v>1</v>
      </c>
      <c r="G102" s="37" t="s">
        <v>128</v>
      </c>
      <c r="H102" s="37" t="s">
        <v>129</v>
      </c>
      <c r="I102" s="24">
        <v>112111</v>
      </c>
      <c r="J102" s="24">
        <v>5154</v>
      </c>
      <c r="K102" s="24" t="s">
        <v>21</v>
      </c>
      <c r="L102" s="24">
        <v>1</v>
      </c>
      <c r="M102" s="39">
        <v>2442</v>
      </c>
      <c r="N102" s="39">
        <f t="shared" si="4"/>
        <v>2442</v>
      </c>
      <c r="O102" s="24" t="s">
        <v>22</v>
      </c>
    </row>
    <row r="103" spans="1:15" ht="15" customHeight="1" x14ac:dyDescent="0.2">
      <c r="A103" s="24" t="s">
        <v>89</v>
      </c>
      <c r="B103" s="36">
        <v>45868</v>
      </c>
      <c r="C103" s="37">
        <f t="shared" si="2"/>
        <v>143</v>
      </c>
      <c r="D103" s="24">
        <v>1</v>
      </c>
      <c r="G103" s="37" t="s">
        <v>29</v>
      </c>
      <c r="H103" s="37" t="s">
        <v>855</v>
      </c>
      <c r="I103" s="24">
        <v>333821</v>
      </c>
      <c r="J103" s="24">
        <v>112111</v>
      </c>
      <c r="K103" s="24" t="s">
        <v>21</v>
      </c>
      <c r="L103" s="24">
        <v>1</v>
      </c>
      <c r="M103" s="39">
        <v>37534745</v>
      </c>
      <c r="N103" s="39">
        <f t="shared" si="4"/>
        <v>37534745</v>
      </c>
      <c r="O103" s="24" t="s">
        <v>22</v>
      </c>
    </row>
    <row r="104" spans="1:15" ht="15" customHeight="1" x14ac:dyDescent="0.2">
      <c r="A104" s="24" t="s">
        <v>89</v>
      </c>
      <c r="B104" s="36">
        <v>45868</v>
      </c>
      <c r="C104" s="37">
        <f t="shared" si="2"/>
        <v>143</v>
      </c>
      <c r="D104" s="24">
        <v>0</v>
      </c>
      <c r="G104" s="37" t="s">
        <v>29</v>
      </c>
      <c r="H104" s="37" t="s">
        <v>1006</v>
      </c>
      <c r="I104" s="24">
        <v>8118</v>
      </c>
      <c r="J104" s="24">
        <v>112111</v>
      </c>
      <c r="K104" s="24" t="s">
        <v>21</v>
      </c>
      <c r="L104" s="24">
        <v>1</v>
      </c>
      <c r="M104" s="39">
        <v>8316</v>
      </c>
      <c r="N104" s="39">
        <f t="shared" si="4"/>
        <v>8316</v>
      </c>
      <c r="O104" s="24" t="s">
        <v>22</v>
      </c>
    </row>
    <row r="105" spans="1:15" ht="15" customHeight="1" x14ac:dyDescent="0.2">
      <c r="A105" s="24" t="s">
        <v>18</v>
      </c>
      <c r="B105" s="36">
        <v>45870</v>
      </c>
      <c r="C105" s="37">
        <f t="shared" si="2"/>
        <v>144</v>
      </c>
      <c r="D105" s="24">
        <v>1</v>
      </c>
      <c r="G105" s="37" t="s">
        <v>252</v>
      </c>
      <c r="H105" s="37" t="s">
        <v>32</v>
      </c>
      <c r="I105" s="24">
        <v>131</v>
      </c>
      <c r="J105" s="24">
        <v>5118</v>
      </c>
      <c r="K105" s="24" t="s">
        <v>21</v>
      </c>
      <c r="L105" s="24">
        <v>1</v>
      </c>
      <c r="M105" s="39">
        <v>62303449</v>
      </c>
      <c r="N105" s="39">
        <f t="shared" si="4"/>
        <v>62303449</v>
      </c>
      <c r="O105" s="24" t="s">
        <v>22</v>
      </c>
    </row>
    <row r="106" spans="1:15" ht="15" customHeight="1" x14ac:dyDescent="0.2">
      <c r="A106" s="24" t="s">
        <v>33</v>
      </c>
      <c r="B106" s="36">
        <v>45870</v>
      </c>
      <c r="C106" s="37">
        <f t="shared" si="2"/>
        <v>145</v>
      </c>
      <c r="D106" s="24">
        <v>1</v>
      </c>
      <c r="G106" s="37" t="s">
        <v>252</v>
      </c>
      <c r="H106" s="37" t="s">
        <v>34</v>
      </c>
      <c r="I106" s="13">
        <v>112111</v>
      </c>
      <c r="J106" s="24">
        <v>131</v>
      </c>
      <c r="K106" s="24" t="s">
        <v>21</v>
      </c>
      <c r="L106" s="24">
        <v>1</v>
      </c>
      <c r="M106" s="39">
        <v>62303449</v>
      </c>
      <c r="N106" s="39">
        <f t="shared" ref="N106" si="5">L106*M106</f>
        <v>62303449</v>
      </c>
      <c r="O106" s="24" t="s">
        <v>22</v>
      </c>
    </row>
    <row r="107" spans="1:15" ht="15" customHeight="1" x14ac:dyDescent="0.2">
      <c r="A107" s="24" t="s">
        <v>89</v>
      </c>
      <c r="B107" s="36">
        <v>45870</v>
      </c>
      <c r="C107" s="37">
        <f t="shared" si="2"/>
        <v>146</v>
      </c>
      <c r="D107" s="24">
        <v>1</v>
      </c>
      <c r="G107" s="37" t="s">
        <v>1007</v>
      </c>
      <c r="H107" s="15" t="s">
        <v>1008</v>
      </c>
      <c r="I107" s="13">
        <v>1111</v>
      </c>
      <c r="J107" s="13">
        <v>112111</v>
      </c>
      <c r="K107" s="13" t="s">
        <v>21</v>
      </c>
      <c r="L107" s="13">
        <v>1</v>
      </c>
      <c r="M107" s="21">
        <v>100000000</v>
      </c>
      <c r="N107" s="21">
        <f t="shared" si="4"/>
        <v>100000000</v>
      </c>
      <c r="O107" s="13" t="s">
        <v>22</v>
      </c>
    </row>
    <row r="108" spans="1:15" ht="15" customHeight="1" x14ac:dyDescent="0.2">
      <c r="A108" s="24" t="s">
        <v>33</v>
      </c>
      <c r="B108" s="36">
        <v>45870</v>
      </c>
      <c r="C108" s="37">
        <f t="shared" si="2"/>
        <v>147</v>
      </c>
      <c r="D108" s="24">
        <v>1</v>
      </c>
      <c r="G108" s="37" t="s">
        <v>933</v>
      </c>
      <c r="H108" s="37" t="s">
        <v>1009</v>
      </c>
      <c r="I108" s="13">
        <v>112111</v>
      </c>
      <c r="J108" s="24">
        <v>131</v>
      </c>
      <c r="K108" s="24" t="s">
        <v>21</v>
      </c>
      <c r="L108" s="24">
        <v>1</v>
      </c>
      <c r="M108" s="39">
        <v>20967742</v>
      </c>
      <c r="N108" s="39">
        <f t="shared" si="4"/>
        <v>20967742</v>
      </c>
      <c r="O108" s="24" t="s">
        <v>22</v>
      </c>
    </row>
    <row r="109" spans="1:15" ht="15" customHeight="1" x14ac:dyDescent="0.2">
      <c r="A109" s="24" t="s">
        <v>89</v>
      </c>
      <c r="B109" s="36">
        <v>45874</v>
      </c>
      <c r="C109" s="37">
        <f t="shared" si="2"/>
        <v>148</v>
      </c>
      <c r="D109" s="24">
        <v>1</v>
      </c>
      <c r="G109" s="37" t="s">
        <v>1007</v>
      </c>
      <c r="H109" s="15" t="s">
        <v>1008</v>
      </c>
      <c r="I109" s="13">
        <v>1111</v>
      </c>
      <c r="J109" s="13">
        <v>112111</v>
      </c>
      <c r="K109" s="13" t="s">
        <v>21</v>
      </c>
      <c r="L109" s="13">
        <v>1</v>
      </c>
      <c r="M109" s="21">
        <v>40000000</v>
      </c>
      <c r="N109" s="21">
        <f t="shared" ref="N109:N111" si="6">L109*M109</f>
        <v>40000000</v>
      </c>
      <c r="O109" s="13" t="s">
        <v>22</v>
      </c>
    </row>
    <row r="110" spans="1:15" ht="15" customHeight="1" x14ac:dyDescent="0.2">
      <c r="A110" s="24" t="s">
        <v>33</v>
      </c>
      <c r="B110" s="36">
        <v>45875</v>
      </c>
      <c r="C110" s="37">
        <f t="shared" si="2"/>
        <v>149</v>
      </c>
      <c r="D110" s="24">
        <v>1</v>
      </c>
      <c r="G110" s="37" t="s">
        <v>756</v>
      </c>
      <c r="H110" s="37" t="s">
        <v>1010</v>
      </c>
      <c r="I110" s="13">
        <v>112111</v>
      </c>
      <c r="J110" s="24">
        <v>131</v>
      </c>
      <c r="K110" s="24" t="s">
        <v>21</v>
      </c>
      <c r="L110" s="24">
        <v>1</v>
      </c>
      <c r="M110" s="39">
        <v>31935484</v>
      </c>
      <c r="N110" s="39">
        <f t="shared" si="6"/>
        <v>31935484</v>
      </c>
      <c r="O110" s="24" t="s">
        <v>22</v>
      </c>
    </row>
    <row r="111" spans="1:15" ht="15" customHeight="1" x14ac:dyDescent="0.2">
      <c r="A111" s="24" t="s">
        <v>89</v>
      </c>
      <c r="B111" s="36">
        <v>45880</v>
      </c>
      <c r="C111" s="37">
        <f t="shared" si="2"/>
        <v>150</v>
      </c>
      <c r="D111" s="24">
        <v>1</v>
      </c>
      <c r="G111" s="37" t="s">
        <v>29</v>
      </c>
      <c r="H111" s="37" t="s">
        <v>864</v>
      </c>
      <c r="I111" s="24">
        <v>333822</v>
      </c>
      <c r="J111" s="24">
        <v>112111</v>
      </c>
      <c r="K111" s="24" t="s">
        <v>21</v>
      </c>
      <c r="L111" s="24">
        <v>1</v>
      </c>
      <c r="M111" s="39">
        <v>3780000</v>
      </c>
      <c r="N111" s="39">
        <f t="shared" si="6"/>
        <v>3780000</v>
      </c>
      <c r="O111" s="24" t="s">
        <v>22</v>
      </c>
    </row>
    <row r="112" spans="1:15" ht="15" customHeight="1" x14ac:dyDescent="0.2">
      <c r="A112" s="24" t="s">
        <v>33</v>
      </c>
      <c r="B112" s="36">
        <v>45883</v>
      </c>
      <c r="C112" s="37">
        <f t="shared" si="2"/>
        <v>151</v>
      </c>
      <c r="D112" s="24">
        <v>1</v>
      </c>
      <c r="G112" s="37" t="s">
        <v>656</v>
      </c>
      <c r="H112" s="37" t="s">
        <v>1011</v>
      </c>
      <c r="I112" s="13">
        <v>112111</v>
      </c>
      <c r="J112" s="24">
        <v>131</v>
      </c>
      <c r="K112" s="24" t="s">
        <v>21</v>
      </c>
      <c r="L112" s="24">
        <v>1</v>
      </c>
      <c r="M112" s="39">
        <v>37000000</v>
      </c>
      <c r="N112" s="39">
        <f t="shared" si="4"/>
        <v>37000000</v>
      </c>
      <c r="O112" s="24" t="s">
        <v>22</v>
      </c>
    </row>
    <row r="113" spans="1:15" ht="15" customHeight="1" x14ac:dyDescent="0.2">
      <c r="A113" s="24" t="s">
        <v>33</v>
      </c>
      <c r="B113" s="36">
        <v>45884</v>
      </c>
      <c r="C113" s="37">
        <f t="shared" si="2"/>
        <v>152</v>
      </c>
      <c r="D113" s="24">
        <v>1</v>
      </c>
      <c r="G113" s="37" t="s">
        <v>756</v>
      </c>
      <c r="H113" s="37" t="s">
        <v>1012</v>
      </c>
      <c r="I113" s="13">
        <v>112111</v>
      </c>
      <c r="J113" s="24">
        <v>131</v>
      </c>
      <c r="K113" s="24" t="s">
        <v>21</v>
      </c>
      <c r="L113" s="24">
        <v>1</v>
      </c>
      <c r="M113" s="39">
        <v>13306451</v>
      </c>
      <c r="N113" s="39">
        <f t="shared" si="4"/>
        <v>13306451</v>
      </c>
      <c r="O113" s="24" t="s">
        <v>22</v>
      </c>
    </row>
    <row r="114" spans="1:15" ht="15" customHeight="1" x14ac:dyDescent="0.2">
      <c r="A114" s="24" t="s">
        <v>33</v>
      </c>
      <c r="B114" s="36">
        <v>45888</v>
      </c>
      <c r="C114" s="37">
        <f t="shared" si="2"/>
        <v>153</v>
      </c>
      <c r="D114" s="24">
        <v>1</v>
      </c>
      <c r="G114" s="37" t="s">
        <v>267</v>
      </c>
      <c r="H114" s="37" t="s">
        <v>1013</v>
      </c>
      <c r="I114" s="13">
        <v>112111</v>
      </c>
      <c r="J114" s="24">
        <v>131</v>
      </c>
      <c r="K114" s="24" t="s">
        <v>21</v>
      </c>
      <c r="L114" s="24">
        <v>1</v>
      </c>
      <c r="M114" s="39">
        <v>29806451</v>
      </c>
      <c r="N114" s="39">
        <f t="shared" si="4"/>
        <v>29806451</v>
      </c>
      <c r="O114" s="24" t="s">
        <v>22</v>
      </c>
    </row>
    <row r="115" spans="1:15" ht="15" customHeight="1" x14ac:dyDescent="0.2">
      <c r="A115" s="24" t="s">
        <v>89</v>
      </c>
      <c r="B115" s="36">
        <v>45891</v>
      </c>
      <c r="C115" s="37">
        <f t="shared" si="2"/>
        <v>154</v>
      </c>
      <c r="D115" s="24">
        <v>1</v>
      </c>
      <c r="G115" s="37" t="s">
        <v>1007</v>
      </c>
      <c r="H115" s="15" t="s">
        <v>1008</v>
      </c>
      <c r="I115" s="13">
        <v>1111</v>
      </c>
      <c r="J115" s="13">
        <v>112111</v>
      </c>
      <c r="K115" s="13" t="s">
        <v>21</v>
      </c>
      <c r="L115" s="13">
        <v>1</v>
      </c>
      <c r="M115" s="21">
        <v>100000000</v>
      </c>
      <c r="N115" s="21">
        <f t="shared" si="4"/>
        <v>100000000</v>
      </c>
      <c r="O115" s="13" t="s">
        <v>22</v>
      </c>
    </row>
    <row r="116" spans="1:15" ht="15" customHeight="1" x14ac:dyDescent="0.2">
      <c r="A116" s="24" t="s">
        <v>33</v>
      </c>
      <c r="B116" s="36">
        <v>45892</v>
      </c>
      <c r="C116" s="37">
        <f t="shared" si="2"/>
        <v>155</v>
      </c>
      <c r="D116" s="24">
        <v>1</v>
      </c>
      <c r="G116" s="37" t="s">
        <v>802</v>
      </c>
      <c r="H116" s="37" t="s">
        <v>1014</v>
      </c>
      <c r="I116" s="13">
        <v>112111</v>
      </c>
      <c r="J116" s="24">
        <v>131</v>
      </c>
      <c r="K116" s="24" t="s">
        <v>21</v>
      </c>
      <c r="L116" s="24">
        <v>1</v>
      </c>
      <c r="M116" s="39">
        <v>6387096</v>
      </c>
      <c r="N116" s="39">
        <f t="shared" si="4"/>
        <v>6387096</v>
      </c>
      <c r="O116" s="13" t="s">
        <v>22</v>
      </c>
    </row>
    <row r="117" spans="1:15" ht="15" customHeight="1" x14ac:dyDescent="0.2">
      <c r="A117" s="24" t="s">
        <v>33</v>
      </c>
      <c r="B117" s="36">
        <v>45895</v>
      </c>
      <c r="C117" s="37">
        <f t="shared" si="2"/>
        <v>156</v>
      </c>
      <c r="D117" s="24">
        <v>1</v>
      </c>
      <c r="G117" s="37" t="s">
        <v>1015</v>
      </c>
      <c r="H117" s="37" t="s">
        <v>1016</v>
      </c>
      <c r="I117" s="13">
        <v>112111</v>
      </c>
      <c r="J117" s="24">
        <v>131</v>
      </c>
      <c r="K117" s="24" t="s">
        <v>21</v>
      </c>
      <c r="L117" s="24">
        <v>1</v>
      </c>
      <c r="M117" s="39">
        <v>16129032</v>
      </c>
      <c r="N117" s="39">
        <f t="shared" si="4"/>
        <v>16129032</v>
      </c>
      <c r="O117" s="24" t="s">
        <v>22</v>
      </c>
    </row>
    <row r="118" spans="1:15" ht="15" customHeight="1" x14ac:dyDescent="0.2">
      <c r="A118" s="24" t="s">
        <v>33</v>
      </c>
      <c r="B118" s="36">
        <v>45896</v>
      </c>
      <c r="C118" s="37">
        <f t="shared" si="2"/>
        <v>157</v>
      </c>
      <c r="D118" s="24">
        <v>1</v>
      </c>
      <c r="G118" s="37" t="s">
        <v>146</v>
      </c>
      <c r="H118" s="37" t="s">
        <v>1017</v>
      </c>
      <c r="I118" s="13">
        <v>112111</v>
      </c>
      <c r="J118" s="24">
        <v>3388</v>
      </c>
      <c r="K118" s="24" t="s">
        <v>21</v>
      </c>
      <c r="L118" s="24">
        <v>1</v>
      </c>
      <c r="M118" s="39">
        <v>13306452</v>
      </c>
      <c r="N118" s="39">
        <f t="shared" si="4"/>
        <v>13306452</v>
      </c>
      <c r="O118" s="24" t="s">
        <v>22</v>
      </c>
    </row>
    <row r="119" spans="1:15" ht="15" customHeight="1" x14ac:dyDescent="0.2">
      <c r="A119" s="24" t="s">
        <v>33</v>
      </c>
      <c r="B119" s="36">
        <v>45896</v>
      </c>
      <c r="C119" s="37">
        <f t="shared" si="2"/>
        <v>158</v>
      </c>
      <c r="D119" s="24">
        <v>1</v>
      </c>
      <c r="G119" s="37" t="s">
        <v>756</v>
      </c>
      <c r="H119" s="37" t="s">
        <v>1018</v>
      </c>
      <c r="I119" s="13">
        <v>112111</v>
      </c>
      <c r="J119" s="24">
        <v>131</v>
      </c>
      <c r="K119" s="24" t="s">
        <v>21</v>
      </c>
      <c r="L119" s="24">
        <v>1</v>
      </c>
      <c r="M119" s="39">
        <v>13306451</v>
      </c>
      <c r="N119" s="39">
        <f t="shared" si="4"/>
        <v>13306451</v>
      </c>
      <c r="O119" s="24" t="s">
        <v>22</v>
      </c>
    </row>
    <row r="120" spans="1:15" ht="15" customHeight="1" x14ac:dyDescent="0.2">
      <c r="A120" s="24" t="s">
        <v>33</v>
      </c>
      <c r="B120" s="36">
        <v>45896</v>
      </c>
      <c r="C120" s="37">
        <f t="shared" si="2"/>
        <v>159</v>
      </c>
      <c r="D120" s="24">
        <v>1</v>
      </c>
      <c r="G120" s="37" t="s">
        <v>952</v>
      </c>
      <c r="H120" s="37" t="s">
        <v>1019</v>
      </c>
      <c r="I120" s="13">
        <v>112111</v>
      </c>
      <c r="J120" s="24">
        <v>131</v>
      </c>
      <c r="K120" s="24" t="s">
        <v>21</v>
      </c>
      <c r="L120" s="24">
        <v>1</v>
      </c>
      <c r="M120" s="39">
        <v>15967742</v>
      </c>
      <c r="N120" s="39">
        <f t="shared" si="4"/>
        <v>15967742</v>
      </c>
      <c r="O120" s="24" t="s">
        <v>22</v>
      </c>
    </row>
    <row r="121" spans="1:15" ht="15" customHeight="1" x14ac:dyDescent="0.2">
      <c r="A121" s="24" t="s">
        <v>89</v>
      </c>
      <c r="B121" s="36">
        <v>45896</v>
      </c>
      <c r="C121" s="37">
        <f t="shared" si="2"/>
        <v>160</v>
      </c>
      <c r="D121" s="24">
        <v>1</v>
      </c>
      <c r="G121" s="37" t="s">
        <v>146</v>
      </c>
      <c r="H121" s="37" t="s">
        <v>1020</v>
      </c>
      <c r="I121" s="24">
        <v>3388</v>
      </c>
      <c r="J121" s="13">
        <v>112111</v>
      </c>
      <c r="K121" s="24" t="s">
        <v>21</v>
      </c>
      <c r="L121" s="24">
        <v>1</v>
      </c>
      <c r="M121" s="39">
        <v>13306452</v>
      </c>
      <c r="N121" s="39">
        <f t="shared" si="4"/>
        <v>13306452</v>
      </c>
      <c r="O121" s="24" t="s">
        <v>22</v>
      </c>
    </row>
    <row r="122" spans="1:15" ht="15" customHeight="1" x14ac:dyDescent="0.2">
      <c r="A122" s="24" t="s">
        <v>33</v>
      </c>
      <c r="B122" s="36">
        <v>45897</v>
      </c>
      <c r="C122" s="37">
        <f t="shared" si="2"/>
        <v>161</v>
      </c>
      <c r="D122" s="24">
        <v>1</v>
      </c>
      <c r="G122" s="37" t="s">
        <v>947</v>
      </c>
      <c r="H122" s="37" t="s">
        <v>1021</v>
      </c>
      <c r="I122" s="13">
        <v>112111</v>
      </c>
      <c r="J122" s="24">
        <v>131</v>
      </c>
      <c r="K122" s="24" t="s">
        <v>21</v>
      </c>
      <c r="L122" s="24">
        <v>1</v>
      </c>
      <c r="M122" s="39">
        <v>37258065</v>
      </c>
      <c r="N122" s="39">
        <f t="shared" si="4"/>
        <v>37258065</v>
      </c>
      <c r="O122" s="24" t="s">
        <v>22</v>
      </c>
    </row>
    <row r="123" spans="1:15" ht="15" customHeight="1" x14ac:dyDescent="0.2">
      <c r="A123" s="24" t="s">
        <v>89</v>
      </c>
      <c r="B123" s="36">
        <v>45897</v>
      </c>
      <c r="C123" s="37">
        <f t="shared" si="2"/>
        <v>162</v>
      </c>
      <c r="D123" s="24">
        <v>1</v>
      </c>
      <c r="G123" s="37" t="s">
        <v>1007</v>
      </c>
      <c r="H123" s="15" t="s">
        <v>1008</v>
      </c>
      <c r="I123" s="13">
        <v>1111</v>
      </c>
      <c r="J123" s="13">
        <v>112111</v>
      </c>
      <c r="K123" s="13" t="s">
        <v>21</v>
      </c>
      <c r="L123" s="13">
        <v>1</v>
      </c>
      <c r="M123" s="21">
        <v>100000000</v>
      </c>
      <c r="N123" s="21">
        <f t="shared" ref="N123" si="7">L123*M123</f>
        <v>100000000</v>
      </c>
      <c r="O123" s="13" t="s">
        <v>22</v>
      </c>
    </row>
    <row r="124" spans="1:15" ht="15" customHeight="1" x14ac:dyDescent="0.2">
      <c r="A124" s="24" t="s">
        <v>33</v>
      </c>
      <c r="B124" s="36">
        <v>45898</v>
      </c>
      <c r="C124" s="37">
        <f t="shared" si="2"/>
        <v>163</v>
      </c>
      <c r="D124" s="24">
        <v>1</v>
      </c>
      <c r="G124" s="37" t="s">
        <v>818</v>
      </c>
      <c r="H124" s="37" t="s">
        <v>1022</v>
      </c>
      <c r="I124" s="13">
        <v>112111</v>
      </c>
      <c r="J124" s="24">
        <v>131</v>
      </c>
      <c r="K124" s="24" t="s">
        <v>21</v>
      </c>
      <c r="L124" s="24">
        <v>1</v>
      </c>
      <c r="M124" s="39">
        <v>26612903</v>
      </c>
      <c r="N124" s="39">
        <f t="shared" si="4"/>
        <v>26612903</v>
      </c>
      <c r="O124" s="24" t="s">
        <v>22</v>
      </c>
    </row>
    <row r="125" spans="1:15" ht="15" customHeight="1" x14ac:dyDescent="0.2">
      <c r="A125" s="24" t="s">
        <v>33</v>
      </c>
      <c r="B125" s="36">
        <v>45899</v>
      </c>
      <c r="C125" s="37">
        <f t="shared" si="2"/>
        <v>164</v>
      </c>
      <c r="D125" s="24">
        <v>1</v>
      </c>
      <c r="G125" s="37" t="s">
        <v>957</v>
      </c>
      <c r="H125" s="37" t="s">
        <v>1023</v>
      </c>
      <c r="I125" s="13">
        <v>112111</v>
      </c>
      <c r="J125" s="24">
        <v>131</v>
      </c>
      <c r="K125" s="24" t="s">
        <v>21</v>
      </c>
      <c r="L125" s="24">
        <v>1</v>
      </c>
      <c r="M125" s="39">
        <v>13306452</v>
      </c>
      <c r="N125" s="39">
        <f t="shared" si="4"/>
        <v>13306452</v>
      </c>
      <c r="O125" s="24" t="s">
        <v>22</v>
      </c>
    </row>
    <row r="126" spans="1:15" ht="15" customHeight="1" x14ac:dyDescent="0.2">
      <c r="A126" s="24" t="s">
        <v>33</v>
      </c>
      <c r="B126" s="36">
        <v>45899</v>
      </c>
      <c r="C126" s="37">
        <f t="shared" si="2"/>
        <v>165</v>
      </c>
      <c r="D126" s="24">
        <v>1</v>
      </c>
      <c r="G126" s="37" t="s">
        <v>128</v>
      </c>
      <c r="H126" s="37" t="s">
        <v>129</v>
      </c>
      <c r="I126" s="24">
        <v>112111</v>
      </c>
      <c r="J126" s="24">
        <v>5154</v>
      </c>
      <c r="K126" s="24" t="s">
        <v>21</v>
      </c>
      <c r="L126" s="24">
        <v>1</v>
      </c>
      <c r="M126" s="39">
        <v>2661</v>
      </c>
      <c r="N126" s="39">
        <f t="shared" ref="N126:N129" si="8">L126*M126</f>
        <v>2661</v>
      </c>
      <c r="O126" s="24" t="s">
        <v>22</v>
      </c>
    </row>
    <row r="127" spans="1:15" ht="15" customHeight="1" x14ac:dyDescent="0.2">
      <c r="A127" s="24" t="s">
        <v>18</v>
      </c>
      <c r="B127" s="36">
        <v>45903</v>
      </c>
      <c r="C127" s="37">
        <f t="shared" si="2"/>
        <v>166</v>
      </c>
      <c r="D127" s="24">
        <v>1</v>
      </c>
      <c r="G127" s="37" t="s">
        <v>252</v>
      </c>
      <c r="H127" s="37" t="s">
        <v>32</v>
      </c>
      <c r="I127" s="24">
        <v>131</v>
      </c>
      <c r="J127" s="24">
        <v>5118</v>
      </c>
      <c r="K127" s="24" t="s">
        <v>21</v>
      </c>
      <c r="L127" s="24">
        <v>1</v>
      </c>
      <c r="M127" s="39">
        <v>46182729</v>
      </c>
      <c r="N127" s="39">
        <f t="shared" si="8"/>
        <v>46182729</v>
      </c>
      <c r="O127" s="24" t="s">
        <v>22</v>
      </c>
    </row>
    <row r="128" spans="1:15" ht="15" customHeight="1" x14ac:dyDescent="0.2">
      <c r="A128" s="24" t="s">
        <v>33</v>
      </c>
      <c r="B128" s="36">
        <v>45903</v>
      </c>
      <c r="C128" s="37">
        <f t="shared" si="2"/>
        <v>167</v>
      </c>
      <c r="D128" s="24">
        <v>1</v>
      </c>
      <c r="G128" s="37" t="s">
        <v>252</v>
      </c>
      <c r="H128" s="37" t="s">
        <v>34</v>
      </c>
      <c r="I128" s="13">
        <v>112111</v>
      </c>
      <c r="J128" s="24">
        <v>131</v>
      </c>
      <c r="K128" s="24" t="s">
        <v>21</v>
      </c>
      <c r="L128" s="24">
        <v>1</v>
      </c>
      <c r="M128" s="39">
        <v>46182729</v>
      </c>
      <c r="N128" s="39">
        <f t="shared" si="8"/>
        <v>46182729</v>
      </c>
      <c r="O128" s="24" t="s">
        <v>22</v>
      </c>
    </row>
    <row r="129" spans="1:25" ht="15" customHeight="1" x14ac:dyDescent="0.2">
      <c r="A129" s="24" t="s">
        <v>89</v>
      </c>
      <c r="B129" s="36">
        <v>45905</v>
      </c>
      <c r="C129" s="37">
        <f t="shared" si="2"/>
        <v>168</v>
      </c>
      <c r="D129" s="24">
        <v>1</v>
      </c>
      <c r="G129" s="37" t="s">
        <v>1007</v>
      </c>
      <c r="H129" s="15" t="s">
        <v>1008</v>
      </c>
      <c r="I129" s="13">
        <v>1111</v>
      </c>
      <c r="J129" s="13">
        <v>112111</v>
      </c>
      <c r="K129" s="13" t="s">
        <v>21</v>
      </c>
      <c r="L129" s="13">
        <v>1</v>
      </c>
      <c r="M129" s="21">
        <v>50000000</v>
      </c>
      <c r="N129" s="21">
        <f t="shared" si="8"/>
        <v>50000000</v>
      </c>
      <c r="O129" s="13" t="s">
        <v>22</v>
      </c>
    </row>
    <row r="130" spans="1:25" ht="15" customHeight="1" x14ac:dyDescent="0.2">
      <c r="A130" s="24" t="s">
        <v>33</v>
      </c>
      <c r="B130" s="36">
        <v>45905</v>
      </c>
      <c r="C130" s="37">
        <f t="shared" si="2"/>
        <v>169</v>
      </c>
      <c r="D130" s="24">
        <v>1</v>
      </c>
      <c r="G130" s="37" t="s">
        <v>802</v>
      </c>
      <c r="H130" s="37" t="s">
        <v>1024</v>
      </c>
      <c r="I130" s="13">
        <v>112111</v>
      </c>
      <c r="J130" s="24">
        <v>131</v>
      </c>
      <c r="K130" s="24" t="s">
        <v>21</v>
      </c>
      <c r="L130" s="24">
        <v>1</v>
      </c>
      <c r="M130" s="39">
        <v>6387096</v>
      </c>
      <c r="N130" s="39">
        <f t="shared" si="4"/>
        <v>6387096</v>
      </c>
      <c r="O130" s="13" t="s">
        <v>22</v>
      </c>
    </row>
    <row r="131" spans="1:25" ht="15" customHeight="1" x14ac:dyDescent="0.2">
      <c r="A131" s="24" t="s">
        <v>33</v>
      </c>
      <c r="B131" s="36">
        <v>45908</v>
      </c>
      <c r="C131" s="37">
        <f t="shared" si="2"/>
        <v>170</v>
      </c>
      <c r="D131" s="24">
        <v>1</v>
      </c>
      <c r="G131" s="37" t="s">
        <v>962</v>
      </c>
      <c r="H131" s="37" t="s">
        <v>1025</v>
      </c>
      <c r="I131" s="13">
        <v>112111</v>
      </c>
      <c r="J131" s="24">
        <v>131</v>
      </c>
      <c r="K131" s="24" t="s">
        <v>21</v>
      </c>
      <c r="L131" s="24">
        <v>1</v>
      </c>
      <c r="M131" s="39">
        <v>26612903</v>
      </c>
      <c r="N131" s="39">
        <f t="shared" si="4"/>
        <v>26612903</v>
      </c>
      <c r="O131" s="13" t="s">
        <v>22</v>
      </c>
    </row>
    <row r="132" spans="1:25" ht="15" customHeight="1" x14ac:dyDescent="0.2">
      <c r="A132" s="24" t="s">
        <v>89</v>
      </c>
      <c r="B132" s="36">
        <v>45910</v>
      </c>
      <c r="C132" s="37">
        <f t="shared" si="2"/>
        <v>171</v>
      </c>
      <c r="D132" s="24">
        <v>1</v>
      </c>
      <c r="G132" s="37" t="s">
        <v>29</v>
      </c>
      <c r="H132" s="37" t="s">
        <v>864</v>
      </c>
      <c r="I132" s="24">
        <v>333822</v>
      </c>
      <c r="J132" s="24">
        <v>112111</v>
      </c>
      <c r="K132" s="24" t="s">
        <v>21</v>
      </c>
      <c r="L132" s="24">
        <v>1</v>
      </c>
      <c r="M132" s="39">
        <v>2802000</v>
      </c>
      <c r="N132" s="39">
        <f t="shared" si="4"/>
        <v>2802000</v>
      </c>
      <c r="O132" s="24" t="s">
        <v>22</v>
      </c>
    </row>
    <row r="133" spans="1:25" ht="15" customHeight="1" x14ac:dyDescent="0.2">
      <c r="A133" s="24" t="s">
        <v>33</v>
      </c>
      <c r="B133" s="36">
        <v>45911</v>
      </c>
      <c r="C133" s="37">
        <f t="shared" ref="C133:C141" si="9">C132+D133</f>
        <v>172</v>
      </c>
      <c r="D133" s="24">
        <v>1</v>
      </c>
      <c r="G133" s="37" t="s">
        <v>973</v>
      </c>
      <c r="H133" s="37" t="s">
        <v>1026</v>
      </c>
      <c r="I133" s="24">
        <v>112111</v>
      </c>
      <c r="J133" s="24">
        <v>131</v>
      </c>
      <c r="K133" s="24" t="s">
        <v>21</v>
      </c>
      <c r="L133" s="24">
        <v>1</v>
      </c>
      <c r="M133" s="39">
        <v>15900000</v>
      </c>
      <c r="N133" s="39">
        <f t="shared" si="4"/>
        <v>15900000</v>
      </c>
      <c r="O133" s="24" t="s">
        <v>22</v>
      </c>
    </row>
    <row r="134" spans="1:25" ht="15" customHeight="1" x14ac:dyDescent="0.2">
      <c r="A134" s="24" t="s">
        <v>33</v>
      </c>
      <c r="B134" s="36">
        <v>45913</v>
      </c>
      <c r="C134" s="37">
        <f t="shared" si="9"/>
        <v>173</v>
      </c>
      <c r="D134" s="24">
        <v>1</v>
      </c>
      <c r="G134" s="37" t="s">
        <v>756</v>
      </c>
      <c r="H134" s="37" t="s">
        <v>1027</v>
      </c>
      <c r="I134" s="24">
        <v>112111</v>
      </c>
      <c r="J134" s="24">
        <v>131</v>
      </c>
      <c r="K134" s="24" t="s">
        <v>21</v>
      </c>
      <c r="L134" s="24">
        <v>1</v>
      </c>
      <c r="M134" s="39">
        <v>15967742</v>
      </c>
      <c r="N134" s="39">
        <f t="shared" si="4"/>
        <v>15967742</v>
      </c>
      <c r="O134" s="24" t="s">
        <v>22</v>
      </c>
    </row>
    <row r="135" spans="1:25" ht="15" customHeight="1" x14ac:dyDescent="0.2">
      <c r="A135" s="24" t="s">
        <v>33</v>
      </c>
      <c r="B135" s="36">
        <v>45915</v>
      </c>
      <c r="C135" s="37">
        <f t="shared" si="9"/>
        <v>174</v>
      </c>
      <c r="D135" s="24">
        <v>1</v>
      </c>
      <c r="G135" s="37" t="s">
        <v>756</v>
      </c>
      <c r="H135" s="37" t="s">
        <v>1028</v>
      </c>
      <c r="I135" s="24">
        <v>112111</v>
      </c>
      <c r="J135" s="24">
        <v>131</v>
      </c>
      <c r="K135" s="24" t="s">
        <v>21</v>
      </c>
      <c r="L135" s="24">
        <v>1</v>
      </c>
      <c r="M135" s="39">
        <v>13306451</v>
      </c>
      <c r="N135" s="39">
        <f t="shared" si="4"/>
        <v>13306451</v>
      </c>
      <c r="O135" s="24" t="s">
        <v>22</v>
      </c>
    </row>
    <row r="136" spans="1:25" ht="15" customHeight="1" x14ac:dyDescent="0.2">
      <c r="A136" s="24" t="s">
        <v>33</v>
      </c>
      <c r="B136" s="36">
        <v>45918</v>
      </c>
      <c r="C136" s="37">
        <f t="shared" si="9"/>
        <v>175</v>
      </c>
      <c r="D136" s="24">
        <v>1</v>
      </c>
      <c r="G136" s="37" t="s">
        <v>96</v>
      </c>
      <c r="H136" s="37" t="s">
        <v>1029</v>
      </c>
      <c r="I136" s="24">
        <v>112111</v>
      </c>
      <c r="J136" s="24">
        <v>131</v>
      </c>
      <c r="K136" s="24" t="s">
        <v>21</v>
      </c>
      <c r="L136" s="24">
        <v>1</v>
      </c>
      <c r="M136" s="39">
        <v>26612903</v>
      </c>
      <c r="N136" s="39">
        <f t="shared" si="4"/>
        <v>26612903</v>
      </c>
      <c r="O136" s="24" t="s">
        <v>22</v>
      </c>
    </row>
    <row r="137" spans="1:25" ht="15" customHeight="1" x14ac:dyDescent="0.2">
      <c r="A137" s="24" t="s">
        <v>33</v>
      </c>
      <c r="B137" s="36">
        <v>45918</v>
      </c>
      <c r="C137" s="37">
        <f t="shared" si="9"/>
        <v>176</v>
      </c>
      <c r="D137" s="24">
        <v>1</v>
      </c>
      <c r="G137" s="37" t="s">
        <v>952</v>
      </c>
      <c r="H137" s="37" t="s">
        <v>1030</v>
      </c>
      <c r="I137" s="24">
        <v>112111</v>
      </c>
      <c r="J137" s="24">
        <v>131</v>
      </c>
      <c r="K137" s="24" t="s">
        <v>21</v>
      </c>
      <c r="L137" s="24">
        <v>1</v>
      </c>
      <c r="M137" s="39">
        <v>15967742</v>
      </c>
      <c r="N137" s="39">
        <f t="shared" si="4"/>
        <v>15967742</v>
      </c>
      <c r="O137" s="24" t="s">
        <v>22</v>
      </c>
    </row>
    <row r="138" spans="1:25" ht="15" customHeight="1" x14ac:dyDescent="0.2">
      <c r="A138" s="24" t="s">
        <v>89</v>
      </c>
      <c r="B138" s="36">
        <v>45919</v>
      </c>
      <c r="C138" s="37">
        <f t="shared" si="9"/>
        <v>177</v>
      </c>
      <c r="D138" s="24">
        <v>1</v>
      </c>
      <c r="G138" s="37" t="s">
        <v>1007</v>
      </c>
      <c r="H138" s="15" t="s">
        <v>1008</v>
      </c>
      <c r="I138" s="13">
        <v>1111</v>
      </c>
      <c r="J138" s="13">
        <v>112111</v>
      </c>
      <c r="K138" s="13" t="s">
        <v>21</v>
      </c>
      <c r="L138" s="13">
        <v>1</v>
      </c>
      <c r="M138" s="21">
        <v>150000000</v>
      </c>
      <c r="N138" s="21">
        <f t="shared" ref="N138" si="10">L138*M138</f>
        <v>150000000</v>
      </c>
      <c r="O138" s="13" t="s">
        <v>22</v>
      </c>
    </row>
    <row r="139" spans="1:25" ht="15" customHeight="1" x14ac:dyDescent="0.2">
      <c r="A139" s="24" t="s">
        <v>33</v>
      </c>
      <c r="B139" s="36">
        <v>45919</v>
      </c>
      <c r="C139" s="37">
        <f t="shared" si="9"/>
        <v>178</v>
      </c>
      <c r="D139" s="24">
        <v>1</v>
      </c>
      <c r="G139" s="37" t="s">
        <v>821</v>
      </c>
      <c r="H139" s="37" t="s">
        <v>1031</v>
      </c>
      <c r="I139" s="13">
        <v>112111</v>
      </c>
      <c r="J139" s="13">
        <v>131</v>
      </c>
      <c r="K139" s="24" t="s">
        <v>21</v>
      </c>
      <c r="L139" s="24">
        <v>1</v>
      </c>
      <c r="M139" s="39">
        <v>26612903</v>
      </c>
      <c r="N139" s="39">
        <f t="shared" si="4"/>
        <v>26612903</v>
      </c>
      <c r="O139" s="24" t="s">
        <v>22</v>
      </c>
    </row>
    <row r="140" spans="1:25" ht="15" customHeight="1" x14ac:dyDescent="0.2">
      <c r="A140" s="24" t="s">
        <v>33</v>
      </c>
      <c r="B140" s="36">
        <v>45926</v>
      </c>
      <c r="C140" s="37">
        <f t="shared" si="9"/>
        <v>179</v>
      </c>
      <c r="D140" s="24">
        <v>1</v>
      </c>
      <c r="G140" s="37" t="s">
        <v>976</v>
      </c>
      <c r="H140" s="37" t="s">
        <v>1032</v>
      </c>
      <c r="I140" s="13">
        <v>112111</v>
      </c>
      <c r="J140" s="13">
        <v>131</v>
      </c>
      <c r="K140" s="24" t="s">
        <v>21</v>
      </c>
      <c r="L140" s="24">
        <v>1</v>
      </c>
      <c r="M140" s="39">
        <v>53225806</v>
      </c>
      <c r="N140" s="39">
        <f t="shared" si="4"/>
        <v>53225806</v>
      </c>
      <c r="O140" s="24" t="s">
        <v>22</v>
      </c>
    </row>
    <row r="141" spans="1:25" ht="15" customHeight="1" x14ac:dyDescent="0.2">
      <c r="A141" s="24" t="s">
        <v>33</v>
      </c>
      <c r="B141" s="36">
        <v>45927</v>
      </c>
      <c r="C141" s="37">
        <f t="shared" si="9"/>
        <v>180</v>
      </c>
      <c r="D141" s="24">
        <v>1</v>
      </c>
      <c r="G141" s="37" t="s">
        <v>128</v>
      </c>
      <c r="H141" s="37" t="s">
        <v>129</v>
      </c>
      <c r="I141" s="24">
        <v>112111</v>
      </c>
      <c r="J141" s="24">
        <v>5154</v>
      </c>
      <c r="K141" s="24" t="s">
        <v>21</v>
      </c>
      <c r="L141" s="24">
        <v>1</v>
      </c>
      <c r="M141" s="39">
        <v>2697</v>
      </c>
      <c r="N141" s="39">
        <f t="shared" si="4"/>
        <v>2697</v>
      </c>
      <c r="O141" s="24" t="s">
        <v>22</v>
      </c>
    </row>
    <row r="143" spans="1:25" ht="15" customHeight="1" x14ac:dyDescent="0.25">
      <c r="S143"/>
      <c r="T143"/>
      <c r="U143"/>
      <c r="V143"/>
      <c r="W143"/>
      <c r="X143"/>
      <c r="Y143"/>
    </row>
    <row r="144" spans="1:25" ht="15" customHeight="1" x14ac:dyDescent="0.25">
      <c r="S144"/>
      <c r="T144"/>
      <c r="U144"/>
      <c r="V144"/>
      <c r="W144"/>
      <c r="X144"/>
      <c r="Y144"/>
    </row>
    <row r="145" spans="19:25" ht="15" customHeight="1" x14ac:dyDescent="0.25">
      <c r="S145"/>
      <c r="T145"/>
      <c r="U145"/>
      <c r="V145"/>
      <c r="W145"/>
      <c r="X145"/>
      <c r="Y145"/>
    </row>
    <row r="146" spans="19:25" ht="15" customHeight="1" x14ac:dyDescent="0.25">
      <c r="S146"/>
      <c r="T146"/>
      <c r="U146"/>
      <c r="V146"/>
      <c r="W146"/>
      <c r="X146"/>
      <c r="Y146"/>
    </row>
    <row r="147" spans="19:25" ht="15" customHeight="1" x14ac:dyDescent="0.25">
      <c r="S147"/>
      <c r="T147"/>
      <c r="U147"/>
      <c r="V147"/>
      <c r="W147"/>
      <c r="X147"/>
      <c r="Y147"/>
    </row>
    <row r="148" spans="19:25" ht="15" customHeight="1" x14ac:dyDescent="0.25">
      <c r="S148"/>
      <c r="T148"/>
      <c r="U148"/>
      <c r="V148"/>
      <c r="W148"/>
      <c r="X148"/>
      <c r="Y148"/>
    </row>
    <row r="149" spans="19:25" ht="15" customHeight="1" x14ac:dyDescent="0.25">
      <c r="S149"/>
      <c r="T149"/>
      <c r="U149"/>
      <c r="V149"/>
      <c r="W149"/>
      <c r="X149"/>
      <c r="Y149"/>
    </row>
    <row r="150" spans="19:25" ht="15" customHeight="1" x14ac:dyDescent="0.25">
      <c r="S150"/>
      <c r="T150"/>
      <c r="U150"/>
      <c r="V150"/>
      <c r="W150"/>
      <c r="X150"/>
      <c r="Y150"/>
    </row>
    <row r="151" spans="19:25" ht="15" customHeight="1" x14ac:dyDescent="0.25">
      <c r="S151"/>
      <c r="T151"/>
      <c r="U151"/>
      <c r="V151"/>
      <c r="W151"/>
      <c r="X151"/>
      <c r="Y151"/>
    </row>
  </sheetData>
  <autoFilter ref="A3:P141" xr:uid="{00000000-0009-0000-0000-000003000000}"/>
  <mergeCells count="13">
    <mergeCell ref="N1:N2"/>
    <mergeCell ref="G1:G2"/>
    <mergeCell ref="H1:H2"/>
    <mergeCell ref="I1:J1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38"/>
  <sheetViews>
    <sheetView workbookViewId="0">
      <selection sqref="A1:A2"/>
    </sheetView>
  </sheetViews>
  <sheetFormatPr defaultRowHeight="15" customHeight="1" x14ac:dyDescent="0.2"/>
  <cols>
    <col min="1" max="1" width="9.140625" style="13"/>
    <col min="2" max="2" width="10.7109375" style="41" bestFit="1" customWidth="1"/>
    <col min="3" max="6" width="9.140625" style="13"/>
    <col min="7" max="7" width="11" style="15" bestFit="1" customWidth="1"/>
    <col min="8" max="8" width="42.7109375" style="13" customWidth="1"/>
    <col min="9" max="12" width="9.140625" style="13"/>
    <col min="13" max="14" width="11.5703125" style="21" bestFit="1" customWidth="1"/>
    <col min="15" max="15" width="11.5703125" style="13" bestFit="1" customWidth="1"/>
    <col min="16" max="16" width="9.85546875" style="13" bestFit="1" customWidth="1"/>
    <col min="17" max="17" width="9.140625" style="13"/>
    <col min="18" max="18" width="12.7109375" style="15" bestFit="1" customWidth="1"/>
    <col min="19" max="25" width="9.140625" style="15"/>
    <col min="26" max="16384" width="9.140625" style="13"/>
  </cols>
  <sheetData>
    <row r="1" spans="1:16" ht="15" customHeight="1" thickBot="1" x14ac:dyDescent="0.25">
      <c r="A1" s="125" t="s">
        <v>0</v>
      </c>
      <c r="B1" s="154" t="s">
        <v>1</v>
      </c>
      <c r="C1" s="125" t="s">
        <v>2</v>
      </c>
      <c r="D1" s="127" t="s">
        <v>3</v>
      </c>
      <c r="E1" s="132" t="s">
        <v>4</v>
      </c>
      <c r="F1" s="127" t="s">
        <v>5</v>
      </c>
      <c r="G1" s="119" t="s">
        <v>6</v>
      </c>
      <c r="H1" s="121" t="s">
        <v>7</v>
      </c>
      <c r="I1" s="123" t="s">
        <v>8</v>
      </c>
      <c r="J1" s="124"/>
      <c r="K1" s="125" t="s">
        <v>9</v>
      </c>
      <c r="L1" s="125" t="s">
        <v>10</v>
      </c>
      <c r="M1" s="130" t="s">
        <v>11</v>
      </c>
      <c r="N1" s="130" t="s">
        <v>12</v>
      </c>
      <c r="O1" s="1"/>
    </row>
    <row r="2" spans="1:16" ht="15" customHeight="1" thickBot="1" x14ac:dyDescent="0.25">
      <c r="A2" s="126"/>
      <c r="B2" s="155"/>
      <c r="C2" s="126"/>
      <c r="D2" s="129"/>
      <c r="E2" s="133"/>
      <c r="F2" s="128"/>
      <c r="G2" s="120"/>
      <c r="H2" s="122"/>
      <c r="I2" s="19" t="s">
        <v>13</v>
      </c>
      <c r="J2" s="3" t="s">
        <v>14</v>
      </c>
      <c r="K2" s="126"/>
      <c r="L2" s="126"/>
      <c r="M2" s="131"/>
      <c r="N2" s="131"/>
      <c r="O2" s="4"/>
    </row>
    <row r="3" spans="1:16" ht="15" customHeight="1" x14ac:dyDescent="0.2">
      <c r="A3" s="5"/>
      <c r="B3" s="6"/>
      <c r="C3" s="5" t="s">
        <v>1033</v>
      </c>
      <c r="D3" s="7"/>
      <c r="E3" s="7"/>
      <c r="F3" s="7"/>
      <c r="G3" s="5" t="s">
        <v>15</v>
      </c>
      <c r="H3" s="8"/>
      <c r="I3" s="9"/>
      <c r="J3" s="9"/>
      <c r="K3" s="10"/>
      <c r="L3" s="11"/>
      <c r="M3" s="20"/>
      <c r="N3" s="20"/>
      <c r="O3" s="13" t="s">
        <v>16</v>
      </c>
      <c r="P3" s="13" t="s">
        <v>17</v>
      </c>
    </row>
    <row r="4" spans="1:16" ht="15" customHeight="1" x14ac:dyDescent="0.2">
      <c r="A4" s="13" t="s">
        <v>18</v>
      </c>
      <c r="B4" s="41">
        <v>45856</v>
      </c>
      <c r="C4" s="15" t="s">
        <v>1034</v>
      </c>
      <c r="D4" s="13">
        <v>1</v>
      </c>
      <c r="G4" s="15" t="s">
        <v>1035</v>
      </c>
      <c r="H4" s="13" t="s">
        <v>1036</v>
      </c>
      <c r="I4" s="24">
        <v>131</v>
      </c>
      <c r="J4" s="24">
        <v>5113</v>
      </c>
      <c r="K4" s="13" t="s">
        <v>21</v>
      </c>
      <c r="L4" s="13">
        <v>1</v>
      </c>
      <c r="M4" s="21">
        <v>25806451</v>
      </c>
      <c r="N4" s="21">
        <v>25806451</v>
      </c>
      <c r="O4" s="21" t="s">
        <v>1037</v>
      </c>
    </row>
    <row r="5" spans="1:16" ht="15" customHeight="1" x14ac:dyDescent="0.2">
      <c r="A5" s="13" t="s">
        <v>18</v>
      </c>
      <c r="B5" s="41">
        <v>45856</v>
      </c>
      <c r="C5" s="15" t="s">
        <v>1038</v>
      </c>
      <c r="D5" s="13">
        <v>1</v>
      </c>
      <c r="G5" s="15" t="s">
        <v>1035</v>
      </c>
      <c r="H5" s="13" t="s">
        <v>1039</v>
      </c>
      <c r="I5" s="13">
        <v>333812</v>
      </c>
      <c r="J5" s="24">
        <v>131</v>
      </c>
      <c r="K5" s="13" t="s">
        <v>21</v>
      </c>
      <c r="L5" s="13">
        <v>1</v>
      </c>
      <c r="M5" s="21">
        <v>258065</v>
      </c>
      <c r="N5" s="21">
        <v>258065</v>
      </c>
      <c r="O5" s="21" t="s">
        <v>1037</v>
      </c>
    </row>
    <row r="6" spans="1:16" ht="15" customHeight="1" x14ac:dyDescent="0.2">
      <c r="A6" s="13" t="s">
        <v>18</v>
      </c>
      <c r="B6" s="41">
        <v>45856</v>
      </c>
      <c r="C6" s="15" t="s">
        <v>1040</v>
      </c>
      <c r="D6" s="13">
        <v>1</v>
      </c>
      <c r="G6" s="15" t="s">
        <v>1041</v>
      </c>
      <c r="H6" s="13" t="s">
        <v>1042</v>
      </c>
      <c r="I6" s="24">
        <v>131</v>
      </c>
      <c r="J6" s="24">
        <v>5113</v>
      </c>
      <c r="K6" s="13" t="s">
        <v>21</v>
      </c>
      <c r="L6" s="13">
        <v>1</v>
      </c>
      <c r="M6" s="21">
        <v>12903226</v>
      </c>
      <c r="N6" s="21">
        <v>12903226</v>
      </c>
      <c r="O6" s="21" t="s">
        <v>1037</v>
      </c>
      <c r="P6" s="21"/>
    </row>
    <row r="7" spans="1:16" ht="15" customHeight="1" x14ac:dyDescent="0.2">
      <c r="A7" s="13" t="s">
        <v>18</v>
      </c>
      <c r="B7" s="41">
        <v>45856</v>
      </c>
      <c r="C7" s="15" t="s">
        <v>1043</v>
      </c>
      <c r="D7" s="13">
        <v>1</v>
      </c>
      <c r="G7" s="15" t="s">
        <v>1044</v>
      </c>
      <c r="H7" s="13" t="s">
        <v>1045</v>
      </c>
      <c r="I7" s="24">
        <v>131</v>
      </c>
      <c r="J7" s="24">
        <v>5113</v>
      </c>
      <c r="K7" s="13" t="s">
        <v>21</v>
      </c>
      <c r="L7" s="13">
        <v>1</v>
      </c>
      <c r="M7" s="21">
        <v>12903226</v>
      </c>
      <c r="N7" s="21">
        <v>12903226</v>
      </c>
      <c r="O7" s="21" t="s">
        <v>1037</v>
      </c>
    </row>
    <row r="8" spans="1:16" ht="15" customHeight="1" x14ac:dyDescent="0.2">
      <c r="A8" s="13" t="s">
        <v>18</v>
      </c>
      <c r="B8" s="41">
        <v>45856</v>
      </c>
      <c r="C8" s="15" t="s">
        <v>1046</v>
      </c>
      <c r="D8" s="13">
        <v>1</v>
      </c>
      <c r="G8" s="15" t="s">
        <v>1044</v>
      </c>
      <c r="H8" s="13" t="s">
        <v>1047</v>
      </c>
      <c r="I8" s="13">
        <v>333812</v>
      </c>
      <c r="J8" s="24">
        <v>131</v>
      </c>
      <c r="K8" s="13" t="s">
        <v>21</v>
      </c>
      <c r="L8" s="13">
        <v>1</v>
      </c>
      <c r="M8" s="21">
        <v>129032</v>
      </c>
      <c r="N8" s="21">
        <v>129032</v>
      </c>
      <c r="O8" s="21" t="s">
        <v>1037</v>
      </c>
    </row>
    <row r="9" spans="1:16" ht="15" customHeight="1" x14ac:dyDescent="0.2">
      <c r="A9" s="13" t="s">
        <v>18</v>
      </c>
      <c r="B9" s="41">
        <v>45856</v>
      </c>
      <c r="C9" s="15" t="s">
        <v>1048</v>
      </c>
      <c r="D9" s="13">
        <v>1</v>
      </c>
      <c r="G9" s="15" t="s">
        <v>1049</v>
      </c>
      <c r="H9" s="13" t="s">
        <v>1050</v>
      </c>
      <c r="I9" s="24">
        <v>131</v>
      </c>
      <c r="J9" s="24">
        <v>5113</v>
      </c>
      <c r="K9" s="13" t="s">
        <v>21</v>
      </c>
      <c r="L9" s="13">
        <v>1</v>
      </c>
      <c r="M9" s="21">
        <v>16129032</v>
      </c>
      <c r="N9" s="21">
        <v>16129032</v>
      </c>
      <c r="O9" s="21" t="s">
        <v>1037</v>
      </c>
    </row>
    <row r="10" spans="1:16" ht="15" customHeight="1" x14ac:dyDescent="0.2">
      <c r="A10" s="13" t="s">
        <v>18</v>
      </c>
      <c r="B10" s="41">
        <v>45856</v>
      </c>
      <c r="C10" s="15" t="s">
        <v>1051</v>
      </c>
      <c r="D10" s="13">
        <v>1</v>
      </c>
      <c r="G10" s="15" t="s">
        <v>55</v>
      </c>
      <c r="H10" s="13" t="s">
        <v>1052</v>
      </c>
      <c r="I10" s="24">
        <v>131</v>
      </c>
      <c r="J10" s="24">
        <v>5113</v>
      </c>
      <c r="K10" s="13" t="s">
        <v>21</v>
      </c>
      <c r="L10" s="13">
        <v>1</v>
      </c>
      <c r="M10" s="21">
        <v>12903226</v>
      </c>
      <c r="N10" s="21">
        <v>12903226</v>
      </c>
      <c r="O10" s="21" t="s">
        <v>1037</v>
      </c>
    </row>
    <row r="11" spans="1:16" ht="15" customHeight="1" x14ac:dyDescent="0.2">
      <c r="A11" s="13" t="s">
        <v>18</v>
      </c>
      <c r="B11" s="41">
        <v>45856</v>
      </c>
      <c r="C11" s="15" t="s">
        <v>1053</v>
      </c>
      <c r="D11" s="13">
        <v>1</v>
      </c>
      <c r="G11" s="15" t="s">
        <v>1054</v>
      </c>
      <c r="H11" s="13" t="s">
        <v>1055</v>
      </c>
      <c r="I11" s="24">
        <v>131</v>
      </c>
      <c r="J11" s="24">
        <v>5113</v>
      </c>
      <c r="K11" s="13" t="s">
        <v>21</v>
      </c>
      <c r="L11" s="13">
        <v>1</v>
      </c>
      <c r="M11" s="21">
        <v>16129032</v>
      </c>
      <c r="N11" s="21">
        <v>16129032</v>
      </c>
      <c r="O11" s="21" t="s">
        <v>1037</v>
      </c>
    </row>
    <row r="12" spans="1:16" ht="15" customHeight="1" x14ac:dyDescent="0.2">
      <c r="A12" s="13" t="s">
        <v>18</v>
      </c>
      <c r="B12" s="41">
        <v>45856</v>
      </c>
      <c r="C12" s="15" t="s">
        <v>1056</v>
      </c>
      <c r="D12" s="13">
        <v>1</v>
      </c>
      <c r="G12" s="15" t="s">
        <v>756</v>
      </c>
      <c r="H12" s="13" t="s">
        <v>1057</v>
      </c>
      <c r="I12" s="24">
        <v>131</v>
      </c>
      <c r="J12" s="24">
        <v>5113</v>
      </c>
      <c r="K12" s="13" t="s">
        <v>21</v>
      </c>
      <c r="L12" s="13">
        <v>1</v>
      </c>
      <c r="M12" s="21">
        <v>10752688</v>
      </c>
      <c r="N12" s="21">
        <v>10752688</v>
      </c>
      <c r="O12" s="21" t="s">
        <v>1037</v>
      </c>
    </row>
    <row r="13" spans="1:16" ht="15" customHeight="1" x14ac:dyDescent="0.2">
      <c r="A13" s="13" t="s">
        <v>18</v>
      </c>
      <c r="B13" s="41">
        <v>45856</v>
      </c>
      <c r="C13" s="15" t="s">
        <v>1058</v>
      </c>
      <c r="D13" s="13">
        <v>1</v>
      </c>
      <c r="G13" s="15" t="s">
        <v>756</v>
      </c>
      <c r="H13" s="13" t="s">
        <v>1059</v>
      </c>
      <c r="I13" s="13">
        <v>333812</v>
      </c>
      <c r="J13" s="24">
        <v>131</v>
      </c>
      <c r="K13" s="13" t="s">
        <v>21</v>
      </c>
      <c r="L13" s="13">
        <v>1</v>
      </c>
      <c r="M13" s="21">
        <v>107527</v>
      </c>
      <c r="N13" s="21">
        <v>107527</v>
      </c>
      <c r="O13" s="21" t="s">
        <v>1037</v>
      </c>
    </row>
    <row r="14" spans="1:16" ht="15" customHeight="1" x14ac:dyDescent="0.2">
      <c r="A14" s="13" t="s">
        <v>18</v>
      </c>
      <c r="B14" s="41">
        <v>45856</v>
      </c>
      <c r="C14" s="15" t="s">
        <v>1060</v>
      </c>
      <c r="D14" s="13">
        <v>1</v>
      </c>
      <c r="G14" s="15" t="s">
        <v>976</v>
      </c>
      <c r="H14" s="13" t="s">
        <v>1061</v>
      </c>
      <c r="I14" s="24">
        <v>131</v>
      </c>
      <c r="J14" s="24">
        <v>5113</v>
      </c>
      <c r="K14" s="13" t="s">
        <v>21</v>
      </c>
      <c r="L14" s="13">
        <v>1</v>
      </c>
      <c r="M14" s="21">
        <v>10752688</v>
      </c>
      <c r="N14" s="21">
        <v>10752688</v>
      </c>
      <c r="O14" s="21" t="s">
        <v>1037</v>
      </c>
    </row>
    <row r="15" spans="1:16" ht="15" customHeight="1" x14ac:dyDescent="0.2">
      <c r="A15" s="13" t="s">
        <v>18</v>
      </c>
      <c r="B15" s="41">
        <v>45858</v>
      </c>
      <c r="C15" s="15" t="s">
        <v>1062</v>
      </c>
      <c r="D15" s="13">
        <v>1</v>
      </c>
      <c r="G15" s="15" t="s">
        <v>1063</v>
      </c>
      <c r="H15" s="13" t="s">
        <v>1064</v>
      </c>
      <c r="I15" s="24">
        <v>131</v>
      </c>
      <c r="J15" s="24">
        <v>5113</v>
      </c>
      <c r="K15" s="13" t="s">
        <v>21</v>
      </c>
      <c r="L15" s="13">
        <v>1</v>
      </c>
      <c r="M15" s="21">
        <v>5376344</v>
      </c>
      <c r="N15" s="21">
        <v>5376344</v>
      </c>
      <c r="O15" s="21" t="s">
        <v>1037</v>
      </c>
    </row>
    <row r="16" spans="1:16" ht="15" customHeight="1" x14ac:dyDescent="0.2">
      <c r="A16" s="13" t="s">
        <v>18</v>
      </c>
      <c r="B16" s="41">
        <v>45859</v>
      </c>
      <c r="C16" s="15" t="s">
        <v>1065</v>
      </c>
      <c r="D16" s="13">
        <v>1</v>
      </c>
      <c r="G16" s="15" t="s">
        <v>607</v>
      </c>
      <c r="H16" s="13" t="s">
        <v>1066</v>
      </c>
      <c r="I16" s="24">
        <v>131</v>
      </c>
      <c r="J16" s="24">
        <v>5113</v>
      </c>
      <c r="K16" s="13" t="s">
        <v>21</v>
      </c>
      <c r="L16" s="13">
        <v>1</v>
      </c>
      <c r="M16" s="21">
        <v>12903226</v>
      </c>
      <c r="N16" s="21">
        <v>12903226</v>
      </c>
      <c r="O16" s="21" t="s">
        <v>1037</v>
      </c>
    </row>
    <row r="17" spans="1:17" ht="15" customHeight="1" x14ac:dyDescent="0.2">
      <c r="A17" s="13" t="s">
        <v>18</v>
      </c>
      <c r="B17" s="41">
        <v>45860</v>
      </c>
      <c r="C17" s="15" t="s">
        <v>1067</v>
      </c>
      <c r="D17" s="13">
        <v>1</v>
      </c>
      <c r="G17" s="15" t="s">
        <v>1068</v>
      </c>
      <c r="H17" s="13" t="s">
        <v>1069</v>
      </c>
      <c r="I17" s="24">
        <v>131</v>
      </c>
      <c r="J17" s="24">
        <v>5113</v>
      </c>
      <c r="K17" s="13" t="s">
        <v>21</v>
      </c>
      <c r="L17" s="13">
        <v>1</v>
      </c>
      <c r="M17" s="21">
        <v>10752688</v>
      </c>
      <c r="N17" s="21">
        <v>10752688</v>
      </c>
      <c r="O17" s="21" t="s">
        <v>1037</v>
      </c>
    </row>
    <row r="18" spans="1:17" ht="15" customHeight="1" x14ac:dyDescent="0.2">
      <c r="A18" s="13" t="s">
        <v>18</v>
      </c>
      <c r="B18" s="41">
        <v>45860</v>
      </c>
      <c r="C18" s="15" t="s">
        <v>1070</v>
      </c>
      <c r="D18" s="13">
        <v>1</v>
      </c>
      <c r="G18" s="15" t="s">
        <v>1068</v>
      </c>
      <c r="H18" s="13" t="s">
        <v>1071</v>
      </c>
      <c r="I18" s="13">
        <v>333812</v>
      </c>
      <c r="J18" s="24">
        <v>131</v>
      </c>
      <c r="K18" s="13" t="s">
        <v>21</v>
      </c>
      <c r="L18" s="13">
        <v>1</v>
      </c>
      <c r="M18" s="21">
        <v>107527</v>
      </c>
      <c r="N18" s="21">
        <v>107527</v>
      </c>
      <c r="O18" s="21" t="s">
        <v>1037</v>
      </c>
    </row>
    <row r="19" spans="1:17" ht="15" customHeight="1" x14ac:dyDescent="0.2">
      <c r="A19" s="13" t="s">
        <v>18</v>
      </c>
      <c r="B19" s="41">
        <v>45860</v>
      </c>
      <c r="C19" s="15" t="s">
        <v>1072</v>
      </c>
      <c r="D19" s="13">
        <v>1</v>
      </c>
      <c r="G19" s="15" t="s">
        <v>274</v>
      </c>
      <c r="H19" s="13" t="s">
        <v>1073</v>
      </c>
      <c r="I19" s="24">
        <v>131</v>
      </c>
      <c r="J19" s="24">
        <v>5113</v>
      </c>
      <c r="K19" s="13" t="s">
        <v>21</v>
      </c>
      <c r="L19" s="13">
        <v>1</v>
      </c>
      <c r="M19" s="21">
        <v>12903226</v>
      </c>
      <c r="N19" s="21">
        <v>12903226</v>
      </c>
      <c r="O19" s="21" t="s">
        <v>1037</v>
      </c>
    </row>
    <row r="20" spans="1:17" ht="15" customHeight="1" x14ac:dyDescent="0.2">
      <c r="A20" s="13" t="s">
        <v>18</v>
      </c>
      <c r="B20" s="41">
        <v>45860</v>
      </c>
      <c r="C20" s="15" t="s">
        <v>1074</v>
      </c>
      <c r="D20" s="13">
        <v>1</v>
      </c>
      <c r="G20" s="15" t="s">
        <v>274</v>
      </c>
      <c r="H20" s="13" t="s">
        <v>1075</v>
      </c>
      <c r="I20" s="13">
        <v>333812</v>
      </c>
      <c r="J20" s="24">
        <v>131</v>
      </c>
      <c r="K20" s="13" t="s">
        <v>21</v>
      </c>
      <c r="L20" s="13">
        <v>1</v>
      </c>
      <c r="M20" s="21">
        <v>129032</v>
      </c>
      <c r="N20" s="21">
        <v>129032</v>
      </c>
      <c r="O20" s="21" t="s">
        <v>1037</v>
      </c>
      <c r="P20" s="21"/>
      <c r="Q20" s="21"/>
    </row>
    <row r="21" spans="1:17" ht="15" customHeight="1" x14ac:dyDescent="0.2">
      <c r="A21" s="13" t="s">
        <v>18</v>
      </c>
      <c r="B21" s="41">
        <v>45861</v>
      </c>
      <c r="C21" s="15" t="s">
        <v>1076</v>
      </c>
      <c r="D21" s="13">
        <v>1</v>
      </c>
      <c r="G21" s="15" t="s">
        <v>1077</v>
      </c>
      <c r="H21" s="13" t="s">
        <v>1078</v>
      </c>
      <c r="I21" s="24">
        <v>131</v>
      </c>
      <c r="J21" s="24">
        <v>5113</v>
      </c>
      <c r="K21" s="13" t="s">
        <v>21</v>
      </c>
      <c r="L21" s="13">
        <v>1</v>
      </c>
      <c r="M21" s="21">
        <v>11827957</v>
      </c>
      <c r="N21" s="21">
        <v>11827957</v>
      </c>
      <c r="O21" s="21" t="s">
        <v>1037</v>
      </c>
    </row>
    <row r="22" spans="1:17" ht="15" customHeight="1" x14ac:dyDescent="0.2">
      <c r="A22" s="13" t="s">
        <v>18</v>
      </c>
      <c r="B22" s="41">
        <v>45861</v>
      </c>
      <c r="C22" s="15" t="s">
        <v>1079</v>
      </c>
      <c r="D22" s="13">
        <v>1</v>
      </c>
      <c r="G22" s="15" t="s">
        <v>287</v>
      </c>
      <c r="H22" s="13" t="s">
        <v>1080</v>
      </c>
      <c r="I22" s="24">
        <v>131</v>
      </c>
      <c r="J22" s="24">
        <v>5113</v>
      </c>
      <c r="K22" s="13" t="s">
        <v>21</v>
      </c>
      <c r="L22" s="13">
        <v>1</v>
      </c>
      <c r="M22" s="21">
        <v>10752688</v>
      </c>
      <c r="N22" s="21">
        <v>10752688</v>
      </c>
      <c r="O22" s="21" t="s">
        <v>1037</v>
      </c>
    </row>
    <row r="23" spans="1:17" ht="15" customHeight="1" x14ac:dyDescent="0.2">
      <c r="A23" s="13" t="s">
        <v>18</v>
      </c>
      <c r="B23" s="41">
        <v>45861</v>
      </c>
      <c r="C23" s="15" t="s">
        <v>1081</v>
      </c>
      <c r="D23" s="13">
        <v>1</v>
      </c>
      <c r="G23" s="15" t="s">
        <v>287</v>
      </c>
      <c r="H23" s="13" t="s">
        <v>1082</v>
      </c>
      <c r="I23" s="13">
        <v>333812</v>
      </c>
      <c r="J23" s="24">
        <v>131</v>
      </c>
      <c r="K23" s="13" t="s">
        <v>21</v>
      </c>
      <c r="L23" s="13">
        <v>1</v>
      </c>
      <c r="M23" s="21">
        <v>107527</v>
      </c>
      <c r="N23" s="21">
        <v>107527</v>
      </c>
      <c r="O23" s="21" t="s">
        <v>1037</v>
      </c>
    </row>
    <row r="24" spans="1:17" ht="15" customHeight="1" x14ac:dyDescent="0.2">
      <c r="A24" s="13" t="s">
        <v>18</v>
      </c>
      <c r="B24" s="41">
        <v>45861</v>
      </c>
      <c r="C24" s="15" t="s">
        <v>1083</v>
      </c>
      <c r="D24" s="13">
        <v>1</v>
      </c>
      <c r="G24" s="15" t="s">
        <v>1084</v>
      </c>
      <c r="H24" s="13" t="s">
        <v>1085</v>
      </c>
      <c r="I24" s="24">
        <v>131</v>
      </c>
      <c r="J24" s="24">
        <v>5113</v>
      </c>
      <c r="K24" s="13" t="s">
        <v>21</v>
      </c>
      <c r="L24" s="13">
        <v>1</v>
      </c>
      <c r="M24" s="21">
        <v>12903226</v>
      </c>
      <c r="N24" s="21">
        <v>12903226</v>
      </c>
      <c r="O24" s="21" t="s">
        <v>1037</v>
      </c>
    </row>
    <row r="25" spans="1:17" ht="15" customHeight="1" x14ac:dyDescent="0.2">
      <c r="A25" s="13" t="s">
        <v>18</v>
      </c>
      <c r="B25" s="41">
        <v>45861</v>
      </c>
      <c r="C25" s="15" t="s">
        <v>1086</v>
      </c>
      <c r="D25" s="13">
        <v>1</v>
      </c>
      <c r="G25" s="15" t="s">
        <v>1084</v>
      </c>
      <c r="H25" s="13" t="s">
        <v>1087</v>
      </c>
      <c r="I25" s="13">
        <v>333812</v>
      </c>
      <c r="J25" s="24">
        <v>131</v>
      </c>
      <c r="K25" s="13" t="s">
        <v>21</v>
      </c>
      <c r="L25" s="13">
        <v>1</v>
      </c>
      <c r="M25" s="21">
        <v>129032</v>
      </c>
      <c r="N25" s="21">
        <v>129032</v>
      </c>
      <c r="O25" s="21" t="s">
        <v>1037</v>
      </c>
    </row>
    <row r="26" spans="1:17" ht="15" customHeight="1" x14ac:dyDescent="0.2">
      <c r="A26" s="13" t="s">
        <v>18</v>
      </c>
      <c r="B26" s="41">
        <v>45863</v>
      </c>
      <c r="C26" s="15" t="s">
        <v>1088</v>
      </c>
      <c r="D26" s="13">
        <v>1</v>
      </c>
      <c r="G26" s="15" t="s">
        <v>287</v>
      </c>
      <c r="H26" s="13" t="s">
        <v>1089</v>
      </c>
      <c r="I26" s="24">
        <v>131</v>
      </c>
      <c r="J26" s="24">
        <v>5113</v>
      </c>
      <c r="K26" s="13" t="s">
        <v>21</v>
      </c>
      <c r="L26" s="13">
        <v>1</v>
      </c>
      <c r="M26" s="21">
        <v>10752688</v>
      </c>
      <c r="N26" s="21">
        <v>10752688</v>
      </c>
      <c r="O26" s="21" t="s">
        <v>1037</v>
      </c>
    </row>
    <row r="27" spans="1:17" ht="15" customHeight="1" x14ac:dyDescent="0.2">
      <c r="A27" s="13" t="s">
        <v>18</v>
      </c>
      <c r="B27" s="41">
        <v>45863</v>
      </c>
      <c r="C27" s="15" t="s">
        <v>1090</v>
      </c>
      <c r="D27" s="13">
        <v>1</v>
      </c>
      <c r="G27" s="15" t="s">
        <v>287</v>
      </c>
      <c r="H27" s="13" t="s">
        <v>1091</v>
      </c>
      <c r="I27" s="13">
        <v>333812</v>
      </c>
      <c r="J27" s="24">
        <v>131</v>
      </c>
      <c r="K27" s="13" t="s">
        <v>21</v>
      </c>
      <c r="L27" s="13">
        <v>1</v>
      </c>
      <c r="M27" s="21">
        <v>107527</v>
      </c>
      <c r="N27" s="21">
        <v>107527</v>
      </c>
      <c r="O27" s="21" t="s">
        <v>1037</v>
      </c>
    </row>
    <row r="28" spans="1:17" ht="15" customHeight="1" x14ac:dyDescent="0.2">
      <c r="A28" s="13" t="s">
        <v>18</v>
      </c>
      <c r="B28" s="41">
        <v>45866</v>
      </c>
      <c r="C28" s="15" t="s">
        <v>1092</v>
      </c>
      <c r="D28" s="13">
        <v>1</v>
      </c>
      <c r="G28" s="15" t="s">
        <v>756</v>
      </c>
      <c r="H28" s="13" t="s">
        <v>1093</v>
      </c>
      <c r="I28" s="24">
        <v>131</v>
      </c>
      <c r="J28" s="24">
        <v>5113</v>
      </c>
      <c r="K28" s="13" t="s">
        <v>21</v>
      </c>
      <c r="L28" s="13">
        <v>1</v>
      </c>
      <c r="M28" s="21">
        <v>12903226</v>
      </c>
      <c r="N28" s="21">
        <v>12903226</v>
      </c>
      <c r="O28" s="21" t="s">
        <v>1037</v>
      </c>
    </row>
    <row r="29" spans="1:17" ht="15" customHeight="1" x14ac:dyDescent="0.2">
      <c r="A29" s="13" t="s">
        <v>18</v>
      </c>
      <c r="B29" s="41">
        <v>45866</v>
      </c>
      <c r="C29" s="15" t="s">
        <v>1094</v>
      </c>
      <c r="D29" s="13">
        <v>1</v>
      </c>
      <c r="G29" s="15" t="s">
        <v>756</v>
      </c>
      <c r="H29" s="13" t="s">
        <v>1095</v>
      </c>
      <c r="I29" s="13">
        <v>333812</v>
      </c>
      <c r="J29" s="24">
        <v>131</v>
      </c>
      <c r="K29" s="13" t="s">
        <v>21</v>
      </c>
      <c r="L29" s="13">
        <v>1</v>
      </c>
      <c r="M29" s="21">
        <v>129032</v>
      </c>
      <c r="N29" s="21">
        <v>129032</v>
      </c>
      <c r="O29" s="21" t="s">
        <v>1037</v>
      </c>
    </row>
    <row r="30" spans="1:17" ht="15" customHeight="1" x14ac:dyDescent="0.2">
      <c r="A30" s="13" t="s">
        <v>18</v>
      </c>
      <c r="B30" s="41">
        <v>45875</v>
      </c>
      <c r="C30" s="15" t="s">
        <v>1096</v>
      </c>
      <c r="D30" s="13">
        <v>1</v>
      </c>
      <c r="G30" s="15" t="s">
        <v>1097</v>
      </c>
      <c r="H30" s="13" t="s">
        <v>1098</v>
      </c>
      <c r="I30" s="24">
        <v>131</v>
      </c>
      <c r="J30" s="24">
        <v>5113</v>
      </c>
      <c r="K30" s="13" t="s">
        <v>21</v>
      </c>
      <c r="L30" s="13">
        <v>1</v>
      </c>
      <c r="M30" s="21">
        <v>12903226</v>
      </c>
      <c r="N30" s="21">
        <v>12903226</v>
      </c>
      <c r="O30" s="21" t="s">
        <v>1037</v>
      </c>
    </row>
    <row r="31" spans="1:17" ht="15" customHeight="1" x14ac:dyDescent="0.2">
      <c r="A31" s="13" t="s">
        <v>18</v>
      </c>
      <c r="B31" s="41">
        <v>45875</v>
      </c>
      <c r="C31" s="15" t="s">
        <v>1099</v>
      </c>
      <c r="D31" s="13">
        <v>1</v>
      </c>
      <c r="G31" s="15" t="s">
        <v>1097</v>
      </c>
      <c r="H31" s="13" t="s">
        <v>1100</v>
      </c>
      <c r="I31" s="13">
        <v>333812</v>
      </c>
      <c r="J31" s="24">
        <v>131</v>
      </c>
      <c r="K31" s="13" t="s">
        <v>21</v>
      </c>
      <c r="L31" s="13">
        <v>1</v>
      </c>
      <c r="M31" s="21">
        <v>129032</v>
      </c>
      <c r="N31" s="21">
        <v>129032</v>
      </c>
      <c r="O31" s="21" t="s">
        <v>1037</v>
      </c>
    </row>
    <row r="32" spans="1:17" ht="15" customHeight="1" x14ac:dyDescent="0.2">
      <c r="A32" s="13" t="s">
        <v>18</v>
      </c>
      <c r="B32" s="41">
        <v>45876</v>
      </c>
      <c r="C32" s="15" t="s">
        <v>1101</v>
      </c>
      <c r="D32" s="13">
        <v>1</v>
      </c>
      <c r="G32" s="15" t="s">
        <v>756</v>
      </c>
      <c r="H32" s="13" t="s">
        <v>1102</v>
      </c>
      <c r="I32" s="24">
        <v>131</v>
      </c>
      <c r="J32" s="24">
        <v>5113</v>
      </c>
      <c r="K32" s="13" t="s">
        <v>21</v>
      </c>
      <c r="L32" s="13">
        <v>1</v>
      </c>
      <c r="M32" s="21">
        <v>10752688</v>
      </c>
      <c r="N32" s="21">
        <v>10752688</v>
      </c>
      <c r="O32" s="21" t="s">
        <v>1037</v>
      </c>
    </row>
    <row r="33" spans="1:15" ht="15" customHeight="1" x14ac:dyDescent="0.2">
      <c r="A33" s="13" t="s">
        <v>18</v>
      </c>
      <c r="B33" s="41">
        <v>45881</v>
      </c>
      <c r="C33" s="15" t="s">
        <v>1103</v>
      </c>
      <c r="D33" s="13">
        <v>1</v>
      </c>
      <c r="G33" s="15" t="s">
        <v>756</v>
      </c>
      <c r="H33" s="13" t="s">
        <v>1104</v>
      </c>
      <c r="I33" s="24">
        <v>131</v>
      </c>
      <c r="J33" s="24">
        <v>5113</v>
      </c>
      <c r="K33" s="13" t="s">
        <v>21</v>
      </c>
      <c r="L33" s="13">
        <v>1</v>
      </c>
      <c r="M33" s="21">
        <v>10752688</v>
      </c>
      <c r="N33" s="21">
        <v>10752688</v>
      </c>
      <c r="O33" s="21" t="s">
        <v>1037</v>
      </c>
    </row>
    <row r="34" spans="1:15" ht="15" customHeight="1" x14ac:dyDescent="0.2">
      <c r="A34" s="13" t="s">
        <v>18</v>
      </c>
      <c r="B34" s="41">
        <v>45881</v>
      </c>
      <c r="C34" s="15" t="s">
        <v>1105</v>
      </c>
      <c r="D34" s="13">
        <v>1</v>
      </c>
      <c r="G34" s="15" t="s">
        <v>756</v>
      </c>
      <c r="H34" s="13" t="s">
        <v>1106</v>
      </c>
      <c r="I34" s="13">
        <v>333812</v>
      </c>
      <c r="J34" s="24">
        <v>131</v>
      </c>
      <c r="K34" s="13" t="s">
        <v>21</v>
      </c>
      <c r="L34" s="13">
        <v>1</v>
      </c>
      <c r="M34" s="21">
        <v>107527</v>
      </c>
      <c r="N34" s="21">
        <v>107527</v>
      </c>
      <c r="O34" s="21" t="s">
        <v>1037</v>
      </c>
    </row>
    <row r="35" spans="1:15" ht="15" customHeight="1" x14ac:dyDescent="0.2">
      <c r="A35" s="13" t="s">
        <v>18</v>
      </c>
      <c r="B35" s="41">
        <v>45883</v>
      </c>
      <c r="C35" s="15" t="s">
        <v>888</v>
      </c>
      <c r="D35" s="13">
        <v>1</v>
      </c>
      <c r="G35" s="15" t="s">
        <v>1107</v>
      </c>
      <c r="H35" s="13" t="s">
        <v>1108</v>
      </c>
      <c r="I35" s="24">
        <v>131</v>
      </c>
      <c r="J35" s="24">
        <v>5113</v>
      </c>
      <c r="K35" s="13" t="s">
        <v>21</v>
      </c>
      <c r="L35" s="13">
        <v>1</v>
      </c>
      <c r="M35" s="21">
        <v>17204301</v>
      </c>
      <c r="N35" s="21">
        <v>17204301</v>
      </c>
      <c r="O35" s="21" t="s">
        <v>1037</v>
      </c>
    </row>
    <row r="36" spans="1:15" ht="15" customHeight="1" x14ac:dyDescent="0.2">
      <c r="A36" s="13" t="s">
        <v>18</v>
      </c>
      <c r="B36" s="41">
        <v>45883</v>
      </c>
      <c r="C36" s="15" t="s">
        <v>1109</v>
      </c>
      <c r="D36" s="13">
        <v>1</v>
      </c>
      <c r="G36" s="15" t="s">
        <v>1107</v>
      </c>
      <c r="H36" s="13" t="s">
        <v>1110</v>
      </c>
      <c r="I36" s="13">
        <v>333812</v>
      </c>
      <c r="J36" s="24">
        <v>131</v>
      </c>
      <c r="K36" s="13" t="s">
        <v>21</v>
      </c>
      <c r="L36" s="13">
        <v>1</v>
      </c>
      <c r="M36" s="21">
        <v>172043</v>
      </c>
      <c r="N36" s="21">
        <v>172043</v>
      </c>
      <c r="O36" s="21" t="s">
        <v>1037</v>
      </c>
    </row>
    <row r="37" spans="1:15" ht="15" customHeight="1" x14ac:dyDescent="0.2">
      <c r="A37" s="13" t="s">
        <v>18</v>
      </c>
      <c r="B37" s="41">
        <v>45883</v>
      </c>
      <c r="C37" s="15" t="s">
        <v>1111</v>
      </c>
      <c r="D37" s="13">
        <v>1</v>
      </c>
      <c r="G37" s="15" t="s">
        <v>632</v>
      </c>
      <c r="H37" s="13" t="s">
        <v>1112</v>
      </c>
      <c r="I37" s="24">
        <v>131</v>
      </c>
      <c r="J37" s="24">
        <v>5113</v>
      </c>
      <c r="K37" s="13" t="s">
        <v>21</v>
      </c>
      <c r="L37" s="13">
        <v>1</v>
      </c>
      <c r="M37" s="21">
        <v>10752688</v>
      </c>
      <c r="N37" s="21">
        <v>10752688</v>
      </c>
      <c r="O37" s="21" t="s">
        <v>1037</v>
      </c>
    </row>
    <row r="38" spans="1:15" ht="15" customHeight="1" x14ac:dyDescent="0.2">
      <c r="A38" s="13" t="s">
        <v>18</v>
      </c>
      <c r="B38" s="41">
        <v>45883</v>
      </c>
      <c r="C38" s="15" t="s">
        <v>1113</v>
      </c>
      <c r="D38" s="13">
        <v>1</v>
      </c>
      <c r="G38" s="15" t="s">
        <v>632</v>
      </c>
      <c r="H38" s="13" t="s">
        <v>1114</v>
      </c>
      <c r="I38" s="13">
        <v>333812</v>
      </c>
      <c r="J38" s="24">
        <v>131</v>
      </c>
      <c r="K38" s="13" t="s">
        <v>21</v>
      </c>
      <c r="L38" s="13">
        <v>1</v>
      </c>
      <c r="M38" s="21">
        <v>107527</v>
      </c>
      <c r="N38" s="21">
        <v>107527</v>
      </c>
      <c r="O38" s="21" t="s">
        <v>1037</v>
      </c>
    </row>
    <row r="39" spans="1:15" ht="15" customHeight="1" x14ac:dyDescent="0.2">
      <c r="A39" s="13" t="s">
        <v>18</v>
      </c>
      <c r="B39" s="41">
        <v>45888</v>
      </c>
      <c r="C39" s="15" t="s">
        <v>1115</v>
      </c>
      <c r="D39" s="13">
        <v>1</v>
      </c>
      <c r="G39" s="15" t="s">
        <v>756</v>
      </c>
      <c r="H39" s="13" t="s">
        <v>1116</v>
      </c>
      <c r="I39" s="24">
        <v>131</v>
      </c>
      <c r="J39" s="24">
        <v>5113</v>
      </c>
      <c r="K39" s="13" t="s">
        <v>21</v>
      </c>
      <c r="L39" s="13">
        <v>1</v>
      </c>
      <c r="M39" s="21">
        <v>12903226</v>
      </c>
      <c r="N39" s="21">
        <v>12903226</v>
      </c>
      <c r="O39" s="21" t="s">
        <v>1037</v>
      </c>
    </row>
    <row r="40" spans="1:15" ht="15" customHeight="1" x14ac:dyDescent="0.2">
      <c r="A40" s="13" t="s">
        <v>18</v>
      </c>
      <c r="B40" s="41">
        <v>45888</v>
      </c>
      <c r="C40" s="15" t="s">
        <v>1117</v>
      </c>
      <c r="D40" s="13">
        <v>1</v>
      </c>
      <c r="G40" s="15" t="s">
        <v>756</v>
      </c>
      <c r="H40" s="13" t="s">
        <v>1118</v>
      </c>
      <c r="I40" s="13">
        <v>333812</v>
      </c>
      <c r="J40" s="24">
        <v>131</v>
      </c>
      <c r="K40" s="13" t="s">
        <v>21</v>
      </c>
      <c r="L40" s="13">
        <v>1</v>
      </c>
      <c r="M40" s="21">
        <v>129032</v>
      </c>
      <c r="N40" s="21">
        <v>129032</v>
      </c>
      <c r="O40" s="21" t="s">
        <v>1037</v>
      </c>
    </row>
    <row r="41" spans="1:15" ht="15" customHeight="1" x14ac:dyDescent="0.2">
      <c r="A41" s="13" t="s">
        <v>18</v>
      </c>
      <c r="B41" s="41">
        <v>45896</v>
      </c>
      <c r="C41" s="15" t="s">
        <v>1119</v>
      </c>
      <c r="D41" s="13">
        <v>1</v>
      </c>
      <c r="G41" s="15" t="s">
        <v>635</v>
      </c>
      <c r="H41" s="13" t="s">
        <v>1120</v>
      </c>
      <c r="I41" s="24">
        <v>131</v>
      </c>
      <c r="J41" s="24">
        <v>5113</v>
      </c>
      <c r="K41" s="13" t="s">
        <v>21</v>
      </c>
      <c r="L41" s="13">
        <v>1</v>
      </c>
      <c r="M41" s="21">
        <v>10752688</v>
      </c>
      <c r="N41" s="21">
        <v>10752688</v>
      </c>
      <c r="O41" s="21" t="s">
        <v>1037</v>
      </c>
    </row>
    <row r="42" spans="1:15" ht="15" customHeight="1" x14ac:dyDescent="0.2">
      <c r="A42" s="13" t="s">
        <v>18</v>
      </c>
      <c r="B42" s="41">
        <v>45896</v>
      </c>
      <c r="C42" s="15" t="s">
        <v>1121</v>
      </c>
      <c r="D42" s="13">
        <v>1</v>
      </c>
      <c r="G42" s="15" t="s">
        <v>635</v>
      </c>
      <c r="H42" s="13" t="s">
        <v>1122</v>
      </c>
      <c r="I42" s="13">
        <v>333812</v>
      </c>
      <c r="J42" s="24">
        <v>131</v>
      </c>
      <c r="K42" s="13" t="s">
        <v>21</v>
      </c>
      <c r="L42" s="13">
        <v>1</v>
      </c>
      <c r="M42" s="21">
        <v>107527</v>
      </c>
      <c r="N42" s="21">
        <v>107527</v>
      </c>
      <c r="O42" s="21" t="s">
        <v>1037</v>
      </c>
    </row>
    <row r="43" spans="1:15" ht="15" customHeight="1" x14ac:dyDescent="0.2">
      <c r="A43" s="13" t="s">
        <v>18</v>
      </c>
      <c r="B43" s="41">
        <v>45897</v>
      </c>
      <c r="C43" s="15" t="s">
        <v>1123</v>
      </c>
      <c r="D43" s="13">
        <v>1</v>
      </c>
      <c r="G43" s="15" t="s">
        <v>287</v>
      </c>
      <c r="H43" s="13" t="s">
        <v>1124</v>
      </c>
      <c r="I43" s="24">
        <v>131</v>
      </c>
      <c r="J43" s="24">
        <v>5113</v>
      </c>
      <c r="K43" s="13" t="s">
        <v>21</v>
      </c>
      <c r="L43" s="13">
        <v>1</v>
      </c>
      <c r="M43" s="21">
        <v>10752688</v>
      </c>
      <c r="N43" s="21">
        <v>10752688</v>
      </c>
      <c r="O43" s="21" t="s">
        <v>1037</v>
      </c>
    </row>
    <row r="44" spans="1:15" ht="15" customHeight="1" x14ac:dyDescent="0.2">
      <c r="A44" s="13" t="s">
        <v>18</v>
      </c>
      <c r="B44" s="41">
        <v>45897</v>
      </c>
      <c r="C44" s="15" t="s">
        <v>1125</v>
      </c>
      <c r="D44" s="13">
        <v>1</v>
      </c>
      <c r="G44" s="15" t="s">
        <v>287</v>
      </c>
      <c r="H44" s="13" t="s">
        <v>1126</v>
      </c>
      <c r="I44" s="13">
        <v>333812</v>
      </c>
      <c r="J44" s="24">
        <v>131</v>
      </c>
      <c r="K44" s="13" t="s">
        <v>21</v>
      </c>
      <c r="L44" s="13">
        <v>1</v>
      </c>
      <c r="M44" s="21">
        <v>107527</v>
      </c>
      <c r="N44" s="21">
        <v>107527</v>
      </c>
      <c r="O44" s="21" t="s">
        <v>1037</v>
      </c>
    </row>
    <row r="45" spans="1:15" ht="15" customHeight="1" x14ac:dyDescent="0.2">
      <c r="A45" s="13" t="s">
        <v>18</v>
      </c>
      <c r="B45" s="41">
        <v>45898</v>
      </c>
      <c r="C45" s="15" t="s">
        <v>1127</v>
      </c>
      <c r="D45" s="13">
        <v>1</v>
      </c>
      <c r="G45" s="15" t="s">
        <v>1049</v>
      </c>
      <c r="H45" s="13" t="s">
        <v>1128</v>
      </c>
      <c r="I45" s="24">
        <v>131</v>
      </c>
      <c r="J45" s="24">
        <v>5113</v>
      </c>
      <c r="K45" s="13" t="s">
        <v>21</v>
      </c>
      <c r="L45" s="13">
        <v>1</v>
      </c>
      <c r="M45" s="21">
        <v>16129032</v>
      </c>
      <c r="N45" s="21">
        <v>16129032</v>
      </c>
      <c r="O45" s="21" t="s">
        <v>1037</v>
      </c>
    </row>
    <row r="46" spans="1:15" ht="15" customHeight="1" x14ac:dyDescent="0.2">
      <c r="A46" s="13" t="s">
        <v>18</v>
      </c>
      <c r="B46" s="41">
        <v>45898</v>
      </c>
      <c r="C46" s="15" t="s">
        <v>1129</v>
      </c>
      <c r="D46" s="13">
        <v>1</v>
      </c>
      <c r="G46" s="15" t="s">
        <v>1049</v>
      </c>
      <c r="H46" s="13" t="s">
        <v>1130</v>
      </c>
      <c r="I46" s="13">
        <v>333812</v>
      </c>
      <c r="J46" s="24">
        <v>131</v>
      </c>
      <c r="K46" s="13" t="s">
        <v>21</v>
      </c>
      <c r="L46" s="13">
        <v>1</v>
      </c>
      <c r="M46" s="21">
        <v>161290</v>
      </c>
      <c r="N46" s="21">
        <v>161290</v>
      </c>
      <c r="O46" s="21" t="s">
        <v>1037</v>
      </c>
    </row>
    <row r="47" spans="1:15" ht="15" customHeight="1" x14ac:dyDescent="0.2">
      <c r="A47" s="13" t="s">
        <v>18</v>
      </c>
      <c r="B47" s="41">
        <v>45905</v>
      </c>
      <c r="C47" s="15" t="s">
        <v>1131</v>
      </c>
      <c r="D47" s="13">
        <v>1</v>
      </c>
      <c r="G47" s="15" t="s">
        <v>768</v>
      </c>
      <c r="H47" s="13" t="s">
        <v>1132</v>
      </c>
      <c r="I47" s="24">
        <v>131</v>
      </c>
      <c r="J47" s="24">
        <v>5113</v>
      </c>
      <c r="K47" s="13" t="s">
        <v>21</v>
      </c>
      <c r="L47" s="13">
        <v>1</v>
      </c>
      <c r="M47" s="21">
        <v>15053764</v>
      </c>
      <c r="N47" s="21">
        <v>15053764</v>
      </c>
      <c r="O47" s="21" t="s">
        <v>1037</v>
      </c>
    </row>
    <row r="48" spans="1:15" ht="15" customHeight="1" x14ac:dyDescent="0.2">
      <c r="A48" s="13" t="s">
        <v>18</v>
      </c>
      <c r="B48" s="41">
        <v>45905</v>
      </c>
      <c r="C48" s="15" t="s">
        <v>1133</v>
      </c>
      <c r="D48" s="13">
        <v>1</v>
      </c>
      <c r="G48" s="15" t="s">
        <v>768</v>
      </c>
      <c r="H48" s="13" t="s">
        <v>1134</v>
      </c>
      <c r="I48" s="13">
        <v>333812</v>
      </c>
      <c r="J48" s="24">
        <v>131</v>
      </c>
      <c r="K48" s="13" t="s">
        <v>21</v>
      </c>
      <c r="L48" s="13">
        <v>1</v>
      </c>
      <c r="M48" s="21">
        <v>150538</v>
      </c>
      <c r="N48" s="21">
        <v>150538</v>
      </c>
      <c r="O48" s="21" t="s">
        <v>1037</v>
      </c>
    </row>
    <row r="49" spans="1:15" ht="15" customHeight="1" x14ac:dyDescent="0.2">
      <c r="A49" s="13" t="s">
        <v>18</v>
      </c>
      <c r="B49" s="41">
        <v>45909</v>
      </c>
      <c r="C49" s="15" t="s">
        <v>1135</v>
      </c>
      <c r="D49" s="13">
        <v>1</v>
      </c>
      <c r="G49" s="15" t="s">
        <v>1136</v>
      </c>
      <c r="H49" s="13" t="s">
        <v>1137</v>
      </c>
      <c r="I49" s="24">
        <v>131</v>
      </c>
      <c r="J49" s="24">
        <v>5113</v>
      </c>
      <c r="K49" s="13" t="s">
        <v>21</v>
      </c>
      <c r="L49" s="13">
        <v>1</v>
      </c>
      <c r="M49" s="21">
        <v>19354838</v>
      </c>
      <c r="N49" s="21">
        <v>19354838</v>
      </c>
      <c r="O49" s="21" t="s">
        <v>1037</v>
      </c>
    </row>
    <row r="50" spans="1:15" ht="15" customHeight="1" x14ac:dyDescent="0.2">
      <c r="A50" s="13" t="s">
        <v>18</v>
      </c>
      <c r="B50" s="41">
        <v>45909</v>
      </c>
      <c r="C50" s="15" t="s">
        <v>1138</v>
      </c>
      <c r="D50" s="13">
        <v>1</v>
      </c>
      <c r="G50" s="15" t="s">
        <v>1136</v>
      </c>
      <c r="H50" s="13" t="s">
        <v>1139</v>
      </c>
      <c r="I50" s="13">
        <v>333812</v>
      </c>
      <c r="J50" s="24">
        <v>131</v>
      </c>
      <c r="K50" s="13" t="s">
        <v>21</v>
      </c>
      <c r="L50" s="13">
        <v>1</v>
      </c>
      <c r="M50" s="21">
        <v>193548</v>
      </c>
      <c r="N50" s="21">
        <v>193548</v>
      </c>
      <c r="O50" s="21" t="s">
        <v>1037</v>
      </c>
    </row>
    <row r="51" spans="1:15" ht="15" customHeight="1" x14ac:dyDescent="0.2">
      <c r="A51" s="13" t="s">
        <v>18</v>
      </c>
      <c r="B51" s="41">
        <v>45912</v>
      </c>
      <c r="C51" s="15" t="s">
        <v>1140</v>
      </c>
      <c r="D51" s="13">
        <v>1</v>
      </c>
      <c r="G51" s="15" t="s">
        <v>1141</v>
      </c>
      <c r="H51" s="13" t="s">
        <v>1142</v>
      </c>
      <c r="I51" s="24">
        <v>131</v>
      </c>
      <c r="J51" s="24">
        <v>5113</v>
      </c>
      <c r="K51" s="13" t="s">
        <v>21</v>
      </c>
      <c r="L51" s="13">
        <v>1</v>
      </c>
      <c r="M51" s="21">
        <v>10752688</v>
      </c>
      <c r="N51" s="21">
        <v>10752688</v>
      </c>
      <c r="O51" s="21" t="s">
        <v>1037</v>
      </c>
    </row>
    <row r="52" spans="1:15" ht="15" customHeight="1" x14ac:dyDescent="0.2">
      <c r="A52" s="13" t="s">
        <v>18</v>
      </c>
      <c r="B52" s="41">
        <v>45912</v>
      </c>
      <c r="C52" s="15" t="s">
        <v>1143</v>
      </c>
      <c r="D52" s="13">
        <v>1</v>
      </c>
      <c r="G52" s="15" t="s">
        <v>1141</v>
      </c>
      <c r="H52" s="13" t="s">
        <v>1144</v>
      </c>
      <c r="I52" s="13">
        <v>333812</v>
      </c>
      <c r="J52" s="24">
        <v>131</v>
      </c>
      <c r="K52" s="13" t="s">
        <v>21</v>
      </c>
      <c r="L52" s="13">
        <v>1</v>
      </c>
      <c r="M52" s="21">
        <v>107527</v>
      </c>
      <c r="N52" s="21">
        <v>107527</v>
      </c>
      <c r="O52" s="21" t="s">
        <v>1037</v>
      </c>
    </row>
    <row r="53" spans="1:15" ht="15" customHeight="1" x14ac:dyDescent="0.2">
      <c r="A53" s="13" t="s">
        <v>18</v>
      </c>
      <c r="B53" s="41">
        <v>45922</v>
      </c>
      <c r="C53" s="15" t="s">
        <v>1145</v>
      </c>
      <c r="D53" s="13">
        <v>1</v>
      </c>
      <c r="G53" s="15" t="s">
        <v>756</v>
      </c>
      <c r="H53" s="13" t="s">
        <v>1146</v>
      </c>
      <c r="I53" s="24">
        <v>131</v>
      </c>
      <c r="J53" s="24">
        <v>5113</v>
      </c>
      <c r="K53" s="13" t="s">
        <v>21</v>
      </c>
      <c r="L53" s="13">
        <v>1</v>
      </c>
      <c r="M53" s="21">
        <v>10752688</v>
      </c>
      <c r="N53" s="21">
        <v>10752688</v>
      </c>
      <c r="O53" s="21" t="s">
        <v>1037</v>
      </c>
    </row>
    <row r="54" spans="1:15" ht="15" customHeight="1" x14ac:dyDescent="0.2">
      <c r="A54" s="13" t="s">
        <v>18</v>
      </c>
      <c r="B54" s="41">
        <v>45922</v>
      </c>
      <c r="C54" s="15" t="s">
        <v>1147</v>
      </c>
      <c r="D54" s="13">
        <v>1</v>
      </c>
      <c r="G54" s="15" t="s">
        <v>756</v>
      </c>
      <c r="H54" s="13" t="s">
        <v>1148</v>
      </c>
      <c r="I54" s="13">
        <v>333812</v>
      </c>
      <c r="J54" s="24">
        <v>131</v>
      </c>
      <c r="K54" s="13" t="s">
        <v>21</v>
      </c>
      <c r="L54" s="13">
        <v>1</v>
      </c>
      <c r="M54" s="21">
        <v>107527</v>
      </c>
      <c r="N54" s="21">
        <v>107527</v>
      </c>
      <c r="O54" s="21" t="s">
        <v>1037</v>
      </c>
    </row>
    <row r="55" spans="1:15" ht="15" customHeight="1" x14ac:dyDescent="0.2">
      <c r="A55" s="13" t="s">
        <v>18</v>
      </c>
      <c r="B55" s="41">
        <v>45923</v>
      </c>
      <c r="C55" s="15" t="s">
        <v>1149</v>
      </c>
      <c r="D55" s="13">
        <v>1</v>
      </c>
      <c r="G55" s="15" t="s">
        <v>756</v>
      </c>
      <c r="H55" s="13" t="s">
        <v>1150</v>
      </c>
      <c r="I55" s="24">
        <v>131</v>
      </c>
      <c r="J55" s="24">
        <v>5113</v>
      </c>
      <c r="K55" s="13" t="s">
        <v>21</v>
      </c>
      <c r="L55" s="13">
        <v>1</v>
      </c>
      <c r="M55" s="21">
        <v>12903226</v>
      </c>
      <c r="N55" s="21">
        <v>12903226</v>
      </c>
      <c r="O55" s="21" t="s">
        <v>1037</v>
      </c>
    </row>
    <row r="56" spans="1:15" ht="15" customHeight="1" x14ac:dyDescent="0.2">
      <c r="A56" s="13" t="s">
        <v>18</v>
      </c>
      <c r="B56" s="41">
        <v>45923</v>
      </c>
      <c r="C56" s="15" t="s">
        <v>1151</v>
      </c>
      <c r="D56" s="13">
        <v>1</v>
      </c>
      <c r="G56" s="15" t="s">
        <v>756</v>
      </c>
      <c r="H56" s="13" t="s">
        <v>1152</v>
      </c>
      <c r="I56" s="13">
        <v>333812</v>
      </c>
      <c r="J56" s="24">
        <v>131</v>
      </c>
      <c r="K56" s="13" t="s">
        <v>21</v>
      </c>
      <c r="L56" s="13">
        <v>1</v>
      </c>
      <c r="M56" s="21">
        <v>129032</v>
      </c>
      <c r="N56" s="21">
        <v>129032</v>
      </c>
      <c r="O56" s="21" t="s">
        <v>1037</v>
      </c>
    </row>
    <row r="57" spans="1:15" ht="15" customHeight="1" x14ac:dyDescent="0.2">
      <c r="A57" s="13" t="s">
        <v>18</v>
      </c>
      <c r="B57" s="41">
        <v>45930</v>
      </c>
      <c r="C57" s="15" t="s">
        <v>1153</v>
      </c>
      <c r="D57" s="13">
        <v>1</v>
      </c>
      <c r="G57" s="15" t="s">
        <v>55</v>
      </c>
      <c r="H57" s="13" t="s">
        <v>1154</v>
      </c>
      <c r="I57" s="24">
        <v>131</v>
      </c>
      <c r="J57" s="24">
        <v>5113</v>
      </c>
      <c r="K57" s="13" t="s">
        <v>21</v>
      </c>
      <c r="L57" s="13">
        <v>1</v>
      </c>
      <c r="M57" s="21">
        <v>12903226</v>
      </c>
      <c r="N57" s="21">
        <v>12903226</v>
      </c>
      <c r="O57" s="21" t="s">
        <v>1037</v>
      </c>
    </row>
    <row r="58" spans="1:15" ht="15" customHeight="1" x14ac:dyDescent="0.2">
      <c r="A58" s="13" t="s">
        <v>18</v>
      </c>
      <c r="B58" s="41">
        <v>45930</v>
      </c>
      <c r="C58" s="15" t="s">
        <v>1155</v>
      </c>
      <c r="D58" s="13">
        <v>1</v>
      </c>
      <c r="G58" s="15" t="s">
        <v>55</v>
      </c>
      <c r="H58" s="13" t="s">
        <v>1156</v>
      </c>
      <c r="I58" s="13">
        <v>333812</v>
      </c>
      <c r="J58" s="24">
        <v>131</v>
      </c>
      <c r="K58" s="13" t="s">
        <v>21</v>
      </c>
      <c r="L58" s="13">
        <v>1</v>
      </c>
      <c r="M58" s="21">
        <v>129032</v>
      </c>
      <c r="N58" s="21">
        <v>129032</v>
      </c>
      <c r="O58" s="21" t="s">
        <v>1037</v>
      </c>
    </row>
    <row r="59" spans="1:15" ht="15" customHeight="1" x14ac:dyDescent="0.2">
      <c r="A59" s="13" t="s">
        <v>18</v>
      </c>
      <c r="B59" s="41">
        <v>45845</v>
      </c>
      <c r="C59" s="15" t="s">
        <v>1157</v>
      </c>
      <c r="D59" s="13">
        <v>1</v>
      </c>
      <c r="G59" s="15" t="s">
        <v>158</v>
      </c>
      <c r="H59" s="13" t="s">
        <v>1158</v>
      </c>
      <c r="I59" s="13">
        <v>64277</v>
      </c>
      <c r="J59" s="13">
        <v>331</v>
      </c>
      <c r="K59" s="13" t="s">
        <v>21</v>
      </c>
      <c r="L59" s="13">
        <v>1</v>
      </c>
      <c r="M59" s="21">
        <v>3240000</v>
      </c>
      <c r="N59" s="21">
        <v>3240000</v>
      </c>
      <c r="O59" s="21" t="s">
        <v>1037</v>
      </c>
    </row>
    <row r="60" spans="1:15" ht="15" customHeight="1" x14ac:dyDescent="0.2">
      <c r="A60" s="13" t="s">
        <v>18</v>
      </c>
      <c r="B60" s="41">
        <v>45871</v>
      </c>
      <c r="C60" s="15" t="s">
        <v>1159</v>
      </c>
      <c r="D60" s="13">
        <v>1</v>
      </c>
      <c r="G60" s="15" t="s">
        <v>158</v>
      </c>
      <c r="H60" s="13" t="s">
        <v>1160</v>
      </c>
      <c r="I60" s="13">
        <v>64277</v>
      </c>
      <c r="J60" s="13">
        <v>331</v>
      </c>
      <c r="K60" s="13" t="s">
        <v>21</v>
      </c>
      <c r="L60" s="13">
        <v>1</v>
      </c>
      <c r="M60" s="21">
        <v>3240000</v>
      </c>
      <c r="N60" s="21">
        <v>3240000</v>
      </c>
      <c r="O60" s="21" t="s">
        <v>1037</v>
      </c>
    </row>
    <row r="61" spans="1:15" ht="15" customHeight="1" x14ac:dyDescent="0.2">
      <c r="A61" s="13" t="s">
        <v>18</v>
      </c>
      <c r="B61" s="41">
        <v>45900</v>
      </c>
      <c r="C61" s="15" t="s">
        <v>1161</v>
      </c>
      <c r="D61" s="13">
        <v>1</v>
      </c>
      <c r="G61" s="15" t="s">
        <v>158</v>
      </c>
      <c r="H61" s="13" t="s">
        <v>1162</v>
      </c>
      <c r="I61" s="13">
        <v>64277</v>
      </c>
      <c r="J61" s="13">
        <v>331</v>
      </c>
      <c r="K61" s="13" t="s">
        <v>21</v>
      </c>
      <c r="L61" s="13">
        <v>1</v>
      </c>
      <c r="M61" s="21">
        <v>3240000</v>
      </c>
      <c r="N61" s="21">
        <v>3240000</v>
      </c>
      <c r="O61" s="21" t="s">
        <v>1037</v>
      </c>
    </row>
    <row r="62" spans="1:15" ht="15" customHeight="1" x14ac:dyDescent="0.2">
      <c r="A62" s="13" t="s">
        <v>18</v>
      </c>
      <c r="B62" s="41">
        <v>45923</v>
      </c>
      <c r="C62" s="15" t="s">
        <v>1163</v>
      </c>
      <c r="D62" s="13">
        <v>1</v>
      </c>
      <c r="G62" s="15" t="s">
        <v>1164</v>
      </c>
      <c r="H62" s="13" t="s">
        <v>1165</v>
      </c>
      <c r="I62" s="13">
        <v>64276</v>
      </c>
      <c r="J62" s="13">
        <v>331</v>
      </c>
      <c r="K62" s="13" t="s">
        <v>21</v>
      </c>
      <c r="L62" s="13">
        <v>1</v>
      </c>
      <c r="M62" s="21">
        <v>50400000</v>
      </c>
      <c r="N62" s="21">
        <v>50400000</v>
      </c>
      <c r="O62" s="21" t="s">
        <v>1037</v>
      </c>
    </row>
    <row r="63" spans="1:15" ht="15" customHeight="1" x14ac:dyDescent="0.2">
      <c r="A63" s="13" t="s">
        <v>18</v>
      </c>
      <c r="B63" s="41">
        <v>45839</v>
      </c>
      <c r="C63" s="15" t="s">
        <v>1166</v>
      </c>
      <c r="D63" s="13">
        <v>1</v>
      </c>
      <c r="G63" s="15" t="s">
        <v>46</v>
      </c>
      <c r="H63" s="13" t="s">
        <v>1167</v>
      </c>
      <c r="I63" s="13">
        <v>64277</v>
      </c>
      <c r="J63" s="13">
        <v>331</v>
      </c>
      <c r="K63" s="13" t="s">
        <v>21</v>
      </c>
      <c r="L63" s="13">
        <v>1</v>
      </c>
      <c r="M63" s="21">
        <v>1055160</v>
      </c>
      <c r="N63" s="21">
        <v>1055160</v>
      </c>
      <c r="O63" s="21" t="s">
        <v>1037</v>
      </c>
    </row>
    <row r="64" spans="1:15" ht="15" customHeight="1" x14ac:dyDescent="0.2">
      <c r="A64" s="13" t="s">
        <v>18</v>
      </c>
      <c r="B64" s="41">
        <v>45897</v>
      </c>
      <c r="C64" s="15" t="s">
        <v>1168</v>
      </c>
      <c r="D64" s="13">
        <v>1</v>
      </c>
      <c r="G64" s="15" t="s">
        <v>1169</v>
      </c>
      <c r="H64" s="13" t="s">
        <v>1170</v>
      </c>
      <c r="I64" s="13">
        <v>64275</v>
      </c>
      <c r="J64" s="13">
        <v>331</v>
      </c>
      <c r="K64" s="13" t="s">
        <v>21</v>
      </c>
      <c r="L64" s="13">
        <v>1</v>
      </c>
      <c r="M64" s="21">
        <v>5100000</v>
      </c>
      <c r="N64" s="21">
        <v>5100000</v>
      </c>
      <c r="O64" s="21" t="s">
        <v>1037</v>
      </c>
    </row>
    <row r="65" spans="1:15" ht="15" customHeight="1" x14ac:dyDescent="0.2">
      <c r="A65" s="13" t="s">
        <v>368</v>
      </c>
      <c r="B65" s="41">
        <v>45845</v>
      </c>
      <c r="C65" s="15" t="s">
        <v>1171</v>
      </c>
      <c r="D65" s="13">
        <v>1</v>
      </c>
      <c r="G65" s="15" t="s">
        <v>158</v>
      </c>
      <c r="H65" s="13" t="s">
        <v>1172</v>
      </c>
      <c r="I65" s="13">
        <v>331</v>
      </c>
      <c r="J65" s="13">
        <v>1111</v>
      </c>
      <c r="K65" s="13" t="s">
        <v>21</v>
      </c>
      <c r="L65" s="13">
        <v>1</v>
      </c>
      <c r="M65" s="21">
        <v>3240000</v>
      </c>
      <c r="N65" s="21">
        <v>3240000</v>
      </c>
      <c r="O65" s="13" t="s">
        <v>1037</v>
      </c>
    </row>
    <row r="66" spans="1:15" ht="15" customHeight="1" x14ac:dyDescent="0.2">
      <c r="A66" s="13" t="s">
        <v>368</v>
      </c>
      <c r="B66" s="41">
        <v>45871</v>
      </c>
      <c r="C66" s="15" t="s">
        <v>1173</v>
      </c>
      <c r="D66" s="13">
        <v>1</v>
      </c>
      <c r="G66" s="15" t="s">
        <v>158</v>
      </c>
      <c r="H66" s="13" t="s">
        <v>1174</v>
      </c>
      <c r="I66" s="13">
        <v>331</v>
      </c>
      <c r="J66" s="13">
        <v>1111</v>
      </c>
      <c r="K66" s="13" t="s">
        <v>21</v>
      </c>
      <c r="L66" s="13">
        <v>1</v>
      </c>
      <c r="M66" s="21">
        <v>3240000</v>
      </c>
      <c r="N66" s="21">
        <v>3240000</v>
      </c>
      <c r="O66" s="13" t="s">
        <v>1037</v>
      </c>
    </row>
    <row r="67" spans="1:15" ht="15" customHeight="1" x14ac:dyDescent="0.2">
      <c r="A67" s="13" t="s">
        <v>368</v>
      </c>
      <c r="B67" s="41">
        <v>45900</v>
      </c>
      <c r="C67" s="15" t="s">
        <v>1175</v>
      </c>
      <c r="D67" s="13">
        <v>1</v>
      </c>
      <c r="G67" s="15" t="s">
        <v>158</v>
      </c>
      <c r="H67" s="13" t="s">
        <v>1176</v>
      </c>
      <c r="I67" s="13">
        <v>331</v>
      </c>
      <c r="J67" s="13">
        <v>1111</v>
      </c>
      <c r="K67" s="13" t="s">
        <v>21</v>
      </c>
      <c r="L67" s="13">
        <v>1</v>
      </c>
      <c r="M67" s="21">
        <v>3240000</v>
      </c>
      <c r="N67" s="21">
        <v>3240000</v>
      </c>
      <c r="O67" s="13" t="s">
        <v>1037</v>
      </c>
    </row>
    <row r="68" spans="1:15" ht="15" customHeight="1" x14ac:dyDescent="0.2">
      <c r="A68" s="13" t="s">
        <v>368</v>
      </c>
      <c r="B68" s="41">
        <v>45923</v>
      </c>
      <c r="C68" s="15" t="s">
        <v>1177</v>
      </c>
      <c r="D68" s="13">
        <v>1</v>
      </c>
      <c r="G68" s="15" t="s">
        <v>1164</v>
      </c>
      <c r="H68" s="13" t="s">
        <v>1178</v>
      </c>
      <c r="I68" s="13">
        <v>331</v>
      </c>
      <c r="J68" s="13">
        <v>1111</v>
      </c>
      <c r="K68" s="13" t="s">
        <v>21</v>
      </c>
      <c r="L68" s="13">
        <v>1</v>
      </c>
      <c r="M68" s="21">
        <v>50400000</v>
      </c>
      <c r="N68" s="21">
        <v>50400000</v>
      </c>
      <c r="O68" s="13" t="s">
        <v>1037</v>
      </c>
    </row>
    <row r="69" spans="1:15" ht="15" customHeight="1" x14ac:dyDescent="0.2">
      <c r="A69" s="13" t="s">
        <v>368</v>
      </c>
      <c r="B69" s="41">
        <v>45839</v>
      </c>
      <c r="C69" s="15" t="s">
        <v>1179</v>
      </c>
      <c r="D69" s="13">
        <v>1</v>
      </c>
      <c r="G69" s="15" t="s">
        <v>46</v>
      </c>
      <c r="H69" s="13" t="s">
        <v>1180</v>
      </c>
      <c r="I69" s="13">
        <v>331</v>
      </c>
      <c r="J69" s="13">
        <v>1111</v>
      </c>
      <c r="K69" s="13" t="s">
        <v>21</v>
      </c>
      <c r="L69" s="13">
        <v>1</v>
      </c>
      <c r="M69" s="21">
        <v>1055160</v>
      </c>
      <c r="N69" s="21">
        <v>1055160</v>
      </c>
      <c r="O69" s="21" t="s">
        <v>1037</v>
      </c>
    </row>
    <row r="70" spans="1:15" ht="15" customHeight="1" x14ac:dyDescent="0.2">
      <c r="A70" s="13" t="s">
        <v>368</v>
      </c>
      <c r="B70" s="41">
        <v>45897</v>
      </c>
      <c r="C70" s="15" t="s">
        <v>1181</v>
      </c>
      <c r="D70" s="13">
        <v>1</v>
      </c>
      <c r="G70" s="15" t="s">
        <v>1169</v>
      </c>
      <c r="H70" s="13" t="s">
        <v>1182</v>
      </c>
      <c r="I70" s="13">
        <v>331</v>
      </c>
      <c r="J70" s="13">
        <v>1111</v>
      </c>
      <c r="K70" s="13" t="s">
        <v>21</v>
      </c>
      <c r="L70" s="13">
        <v>1</v>
      </c>
      <c r="M70" s="21">
        <v>5100000</v>
      </c>
      <c r="N70" s="21">
        <v>5100000</v>
      </c>
      <c r="O70" s="21" t="s">
        <v>1037</v>
      </c>
    </row>
    <row r="71" spans="1:15" ht="15" customHeight="1" x14ac:dyDescent="0.2">
      <c r="A71" s="13" t="s">
        <v>89</v>
      </c>
      <c r="B71" s="41">
        <v>45839</v>
      </c>
      <c r="C71" s="15" t="s">
        <v>1183</v>
      </c>
      <c r="D71" s="13">
        <v>1</v>
      </c>
      <c r="G71" s="15" t="s">
        <v>1184</v>
      </c>
      <c r="H71" s="13" t="s">
        <v>1008</v>
      </c>
      <c r="I71" s="13">
        <v>1111</v>
      </c>
      <c r="J71" s="13">
        <v>112111</v>
      </c>
      <c r="K71" s="13" t="s">
        <v>21</v>
      </c>
      <c r="L71" s="13">
        <v>1</v>
      </c>
      <c r="M71" s="21">
        <v>25000000</v>
      </c>
      <c r="N71" s="21">
        <v>25000000</v>
      </c>
      <c r="O71" s="21" t="s">
        <v>22</v>
      </c>
    </row>
    <row r="72" spans="1:15" ht="15" customHeight="1" x14ac:dyDescent="0.2">
      <c r="A72" s="13" t="s">
        <v>89</v>
      </c>
      <c r="B72" s="41">
        <v>45845</v>
      </c>
      <c r="C72" s="15" t="s">
        <v>1185</v>
      </c>
      <c r="D72" s="13">
        <v>1</v>
      </c>
      <c r="G72" s="15" t="s">
        <v>1186</v>
      </c>
      <c r="H72" s="13" t="s">
        <v>1187</v>
      </c>
      <c r="I72" s="13">
        <v>6425</v>
      </c>
      <c r="J72" s="13">
        <v>112111</v>
      </c>
      <c r="K72" s="13" t="s">
        <v>21</v>
      </c>
      <c r="L72" s="13">
        <v>1</v>
      </c>
      <c r="M72" s="21">
        <v>16500</v>
      </c>
      <c r="N72" s="21">
        <v>16500</v>
      </c>
      <c r="O72" s="21" t="s">
        <v>22</v>
      </c>
    </row>
    <row r="73" spans="1:15" ht="15" customHeight="1" x14ac:dyDescent="0.2">
      <c r="A73" s="13" t="s">
        <v>33</v>
      </c>
      <c r="B73" s="41">
        <v>45842</v>
      </c>
      <c r="C73" s="15" t="s">
        <v>1188</v>
      </c>
      <c r="D73" s="13">
        <v>1</v>
      </c>
      <c r="G73" s="15" t="s">
        <v>756</v>
      </c>
      <c r="H73" s="13" t="s">
        <v>1189</v>
      </c>
      <c r="I73" s="13">
        <v>112111</v>
      </c>
      <c r="J73" s="13">
        <v>131</v>
      </c>
      <c r="K73" s="13" t="s">
        <v>21</v>
      </c>
      <c r="L73" s="13">
        <v>1</v>
      </c>
      <c r="M73" s="21">
        <v>10752688</v>
      </c>
      <c r="N73" s="21">
        <v>10752688</v>
      </c>
      <c r="O73" s="13" t="s">
        <v>22</v>
      </c>
    </row>
    <row r="74" spans="1:15" ht="15" customHeight="1" x14ac:dyDescent="0.2">
      <c r="A74" s="13" t="s">
        <v>33</v>
      </c>
      <c r="B74" s="41">
        <v>45847</v>
      </c>
      <c r="C74" s="15" t="s">
        <v>1190</v>
      </c>
      <c r="D74" s="13">
        <v>1</v>
      </c>
      <c r="G74" s="15" t="s">
        <v>1054</v>
      </c>
      <c r="H74" s="13" t="s">
        <v>1191</v>
      </c>
      <c r="I74" s="13">
        <v>112111</v>
      </c>
      <c r="J74" s="13">
        <v>131</v>
      </c>
      <c r="K74" s="13" t="s">
        <v>21</v>
      </c>
      <c r="L74" s="13">
        <v>1</v>
      </c>
      <c r="M74" s="21">
        <v>16129032</v>
      </c>
      <c r="N74" s="21">
        <v>16129032</v>
      </c>
      <c r="O74" s="13" t="s">
        <v>22</v>
      </c>
    </row>
    <row r="75" spans="1:15" ht="15" customHeight="1" x14ac:dyDescent="0.2">
      <c r="A75" s="13" t="s">
        <v>33</v>
      </c>
      <c r="B75" s="41">
        <v>45856</v>
      </c>
      <c r="C75" s="15" t="s">
        <v>687</v>
      </c>
      <c r="D75" s="13">
        <v>1</v>
      </c>
      <c r="G75" s="15" t="s">
        <v>1044</v>
      </c>
      <c r="H75" s="13" t="s">
        <v>1192</v>
      </c>
      <c r="I75" s="13">
        <v>112111</v>
      </c>
      <c r="J75" s="13">
        <v>131</v>
      </c>
      <c r="K75" s="13" t="s">
        <v>21</v>
      </c>
      <c r="L75" s="13">
        <v>1</v>
      </c>
      <c r="M75" s="21">
        <v>12774194</v>
      </c>
      <c r="N75" s="21">
        <v>12774194</v>
      </c>
      <c r="O75" s="13" t="s">
        <v>1037</v>
      </c>
    </row>
    <row r="76" spans="1:15" ht="15" customHeight="1" x14ac:dyDescent="0.2">
      <c r="A76" s="13" t="s">
        <v>33</v>
      </c>
      <c r="B76" s="41">
        <v>45856</v>
      </c>
      <c r="C76" s="15" t="s">
        <v>1193</v>
      </c>
      <c r="D76" s="13">
        <v>1</v>
      </c>
      <c r="G76" s="15" t="s">
        <v>1049</v>
      </c>
      <c r="H76" s="13" t="s">
        <v>1194</v>
      </c>
      <c r="I76" s="13">
        <v>112111</v>
      </c>
      <c r="J76" s="13">
        <v>131</v>
      </c>
      <c r="K76" s="13" t="s">
        <v>21</v>
      </c>
      <c r="L76" s="13">
        <v>1</v>
      </c>
      <c r="M76" s="21">
        <v>16129032</v>
      </c>
      <c r="N76" s="21">
        <v>16129032</v>
      </c>
      <c r="O76" s="13" t="s">
        <v>1037</v>
      </c>
    </row>
    <row r="77" spans="1:15" ht="15" customHeight="1" x14ac:dyDescent="0.2">
      <c r="A77" s="13" t="s">
        <v>33</v>
      </c>
      <c r="B77" s="41">
        <v>45859</v>
      </c>
      <c r="C77" s="15" t="s">
        <v>1195</v>
      </c>
      <c r="D77" s="13">
        <v>1</v>
      </c>
      <c r="G77" s="15" t="s">
        <v>1196</v>
      </c>
      <c r="H77" s="13" t="s">
        <v>1197</v>
      </c>
      <c r="I77" s="13">
        <v>112111</v>
      </c>
      <c r="J77" s="13">
        <v>131</v>
      </c>
      <c r="K77" s="13" t="s">
        <v>21</v>
      </c>
      <c r="L77" s="13">
        <v>1</v>
      </c>
      <c r="M77" s="21">
        <v>9900000</v>
      </c>
      <c r="N77" s="21">
        <v>9900000</v>
      </c>
      <c r="O77" s="13" t="s">
        <v>1037</v>
      </c>
    </row>
    <row r="78" spans="1:15" ht="15" customHeight="1" x14ac:dyDescent="0.2">
      <c r="A78" s="13" t="s">
        <v>33</v>
      </c>
      <c r="B78" s="41">
        <v>45860</v>
      </c>
      <c r="C78" s="15" t="s">
        <v>1198</v>
      </c>
      <c r="D78" s="13">
        <v>1</v>
      </c>
      <c r="G78" s="15" t="s">
        <v>1084</v>
      </c>
      <c r="H78" s="13" t="s">
        <v>1199</v>
      </c>
      <c r="I78" s="13">
        <v>112111</v>
      </c>
      <c r="J78" s="13">
        <v>131</v>
      </c>
      <c r="K78" s="13" t="s">
        <v>21</v>
      </c>
      <c r="L78" s="13">
        <v>1</v>
      </c>
      <c r="M78" s="21">
        <v>12774194</v>
      </c>
      <c r="N78" s="21">
        <v>12774194</v>
      </c>
      <c r="O78" s="13" t="s">
        <v>1037</v>
      </c>
    </row>
    <row r="79" spans="1:15" ht="15" customHeight="1" x14ac:dyDescent="0.2">
      <c r="A79" s="13" t="s">
        <v>89</v>
      </c>
      <c r="B79" s="41">
        <v>45860</v>
      </c>
      <c r="C79" s="15" t="s">
        <v>1200</v>
      </c>
      <c r="D79" s="13">
        <v>1</v>
      </c>
      <c r="G79" s="15" t="s">
        <v>1184</v>
      </c>
      <c r="H79" s="13" t="s">
        <v>1008</v>
      </c>
      <c r="I79" s="13">
        <v>1111</v>
      </c>
      <c r="J79" s="13">
        <v>112111</v>
      </c>
      <c r="K79" s="13" t="s">
        <v>21</v>
      </c>
      <c r="L79" s="13">
        <v>1</v>
      </c>
      <c r="M79" s="21">
        <v>80000000</v>
      </c>
      <c r="N79" s="21">
        <v>80000000</v>
      </c>
      <c r="O79" s="13" t="s">
        <v>22</v>
      </c>
    </row>
    <row r="80" spans="1:15" ht="15" customHeight="1" x14ac:dyDescent="0.2">
      <c r="A80" s="13" t="s">
        <v>33</v>
      </c>
      <c r="B80" s="41">
        <v>45862</v>
      </c>
      <c r="C80" s="15" t="s">
        <v>1201</v>
      </c>
      <c r="D80" s="13">
        <v>1</v>
      </c>
      <c r="G80" s="15" t="s">
        <v>607</v>
      </c>
      <c r="H80" s="13" t="s">
        <v>1202</v>
      </c>
      <c r="I80" s="13">
        <v>112111</v>
      </c>
      <c r="J80" s="13">
        <v>131</v>
      </c>
      <c r="K80" s="13" t="s">
        <v>21</v>
      </c>
      <c r="L80" s="13">
        <v>1</v>
      </c>
      <c r="M80" s="21">
        <v>12903226</v>
      </c>
      <c r="N80" s="21">
        <v>12903226</v>
      </c>
      <c r="O80" s="13" t="s">
        <v>22</v>
      </c>
    </row>
    <row r="81" spans="1:15" ht="15" customHeight="1" x14ac:dyDescent="0.2">
      <c r="A81" s="13" t="s">
        <v>33</v>
      </c>
      <c r="B81" s="41">
        <v>45862</v>
      </c>
      <c r="C81" s="15" t="s">
        <v>1203</v>
      </c>
      <c r="D81" s="13">
        <v>1</v>
      </c>
      <c r="G81" s="15" t="s">
        <v>1035</v>
      </c>
      <c r="H81" s="13" t="s">
        <v>1204</v>
      </c>
      <c r="I81" s="13">
        <v>112111</v>
      </c>
      <c r="J81" s="13">
        <v>131</v>
      </c>
      <c r="K81" s="13" t="s">
        <v>21</v>
      </c>
      <c r="L81" s="13">
        <v>1</v>
      </c>
      <c r="M81" s="21">
        <v>25548386</v>
      </c>
      <c r="N81" s="21">
        <v>25548386</v>
      </c>
      <c r="O81" s="13" t="s">
        <v>22</v>
      </c>
    </row>
    <row r="82" spans="1:15" ht="15" customHeight="1" x14ac:dyDescent="0.2">
      <c r="A82" s="13" t="s">
        <v>89</v>
      </c>
      <c r="B82" s="41">
        <v>45862</v>
      </c>
      <c r="C82" s="15" t="s">
        <v>1205</v>
      </c>
      <c r="D82" s="13">
        <v>1</v>
      </c>
      <c r="G82" s="15" t="s">
        <v>1184</v>
      </c>
      <c r="H82" s="13" t="s">
        <v>1008</v>
      </c>
      <c r="I82" s="13">
        <v>1111</v>
      </c>
      <c r="J82" s="13">
        <v>112111</v>
      </c>
      <c r="K82" s="13" t="s">
        <v>21</v>
      </c>
      <c r="L82" s="13">
        <v>1</v>
      </c>
      <c r="M82" s="21">
        <v>38000000</v>
      </c>
      <c r="N82" s="21">
        <v>38000000</v>
      </c>
      <c r="O82" s="13" t="s">
        <v>22</v>
      </c>
    </row>
    <row r="83" spans="1:15" ht="15" customHeight="1" x14ac:dyDescent="0.2">
      <c r="A83" s="13" t="s">
        <v>33</v>
      </c>
      <c r="B83" s="41">
        <v>45863</v>
      </c>
      <c r="C83" s="15" t="s">
        <v>1206</v>
      </c>
      <c r="D83" s="13">
        <v>1</v>
      </c>
      <c r="G83" s="15" t="s">
        <v>1186</v>
      </c>
      <c r="H83" s="13" t="s">
        <v>1207</v>
      </c>
      <c r="I83" s="13">
        <v>112111</v>
      </c>
      <c r="J83" s="13">
        <v>1111</v>
      </c>
      <c r="K83" s="13" t="s">
        <v>21</v>
      </c>
      <c r="L83" s="13">
        <v>1</v>
      </c>
      <c r="M83" s="21">
        <v>100000</v>
      </c>
      <c r="N83" s="21">
        <v>100000</v>
      </c>
      <c r="O83" s="13" t="s">
        <v>22</v>
      </c>
    </row>
    <row r="84" spans="1:15" ht="15" customHeight="1" x14ac:dyDescent="0.2">
      <c r="A84" s="13" t="s">
        <v>89</v>
      </c>
      <c r="B84" s="41">
        <v>45863</v>
      </c>
      <c r="C84" s="15" t="s">
        <v>1208</v>
      </c>
      <c r="D84" s="13">
        <v>1</v>
      </c>
      <c r="G84" s="15" t="s">
        <v>29</v>
      </c>
      <c r="H84" s="13" t="s">
        <v>122</v>
      </c>
      <c r="I84" s="13">
        <v>333821</v>
      </c>
      <c r="J84" s="13">
        <v>112111</v>
      </c>
      <c r="K84" s="13" t="s">
        <v>21</v>
      </c>
      <c r="L84" s="13">
        <v>1</v>
      </c>
      <c r="M84" s="21">
        <v>10137648</v>
      </c>
      <c r="N84" s="21">
        <v>10137648</v>
      </c>
      <c r="O84" s="13" t="s">
        <v>22</v>
      </c>
    </row>
    <row r="85" spans="1:15" ht="15" customHeight="1" x14ac:dyDescent="0.2">
      <c r="A85" s="13" t="s">
        <v>33</v>
      </c>
      <c r="B85" s="41">
        <v>45863</v>
      </c>
      <c r="C85" s="15" t="s">
        <v>1209</v>
      </c>
      <c r="D85" s="13">
        <v>1</v>
      </c>
      <c r="G85" s="15" t="s">
        <v>1041</v>
      </c>
      <c r="H85" s="13" t="s">
        <v>1210</v>
      </c>
      <c r="I85" s="13">
        <v>112111</v>
      </c>
      <c r="J85" s="13">
        <v>131</v>
      </c>
      <c r="K85" s="13" t="s">
        <v>21</v>
      </c>
      <c r="L85" s="13">
        <v>1</v>
      </c>
      <c r="M85" s="21">
        <v>6451613</v>
      </c>
      <c r="N85" s="21">
        <v>6451613</v>
      </c>
      <c r="O85" s="13" t="s">
        <v>22</v>
      </c>
    </row>
    <row r="86" spans="1:15" ht="15" customHeight="1" x14ac:dyDescent="0.2">
      <c r="A86" s="13" t="s">
        <v>33</v>
      </c>
      <c r="B86" s="41">
        <v>45866</v>
      </c>
      <c r="C86" s="15" t="s">
        <v>1211</v>
      </c>
      <c r="D86" s="13">
        <v>1</v>
      </c>
      <c r="G86" s="15" t="s">
        <v>287</v>
      </c>
      <c r="H86" s="13" t="s">
        <v>1212</v>
      </c>
      <c r="I86" s="13">
        <v>112111</v>
      </c>
      <c r="J86" s="13">
        <v>131</v>
      </c>
      <c r="K86" s="13" t="s">
        <v>21</v>
      </c>
      <c r="L86" s="13">
        <v>1</v>
      </c>
      <c r="M86" s="21">
        <v>10645161</v>
      </c>
      <c r="N86" s="21">
        <v>10645161</v>
      </c>
      <c r="O86" s="13" t="s">
        <v>22</v>
      </c>
    </row>
    <row r="87" spans="1:15" ht="15" customHeight="1" x14ac:dyDescent="0.2">
      <c r="A87" s="13" t="s">
        <v>33</v>
      </c>
      <c r="B87" s="41">
        <v>45866</v>
      </c>
      <c r="C87" s="15" t="s">
        <v>1213</v>
      </c>
      <c r="D87" s="13">
        <v>1</v>
      </c>
      <c r="G87" s="15" t="s">
        <v>274</v>
      </c>
      <c r="H87" s="13" t="s">
        <v>1214</v>
      </c>
      <c r="I87" s="13">
        <v>112111</v>
      </c>
      <c r="J87" s="13">
        <v>131</v>
      </c>
      <c r="K87" s="13" t="s">
        <v>21</v>
      </c>
      <c r="L87" s="13">
        <v>1</v>
      </c>
      <c r="M87" s="21">
        <v>6387097</v>
      </c>
      <c r="N87" s="21">
        <v>6387097</v>
      </c>
      <c r="O87" s="13" t="s">
        <v>22</v>
      </c>
    </row>
    <row r="88" spans="1:15" ht="15" customHeight="1" x14ac:dyDescent="0.2">
      <c r="A88" s="13" t="s">
        <v>89</v>
      </c>
      <c r="B88" s="41">
        <v>45866</v>
      </c>
      <c r="C88" s="15" t="s">
        <v>1215</v>
      </c>
      <c r="D88" s="13">
        <v>1</v>
      </c>
      <c r="G88" s="15" t="s">
        <v>1184</v>
      </c>
      <c r="H88" s="15" t="s">
        <v>1008</v>
      </c>
      <c r="I88" s="13">
        <v>1111</v>
      </c>
      <c r="J88" s="13">
        <v>112111</v>
      </c>
      <c r="K88" s="13" t="s">
        <v>21</v>
      </c>
      <c r="L88" s="13">
        <v>1</v>
      </c>
      <c r="M88" s="21">
        <v>23000000</v>
      </c>
      <c r="N88" s="21">
        <v>23000000</v>
      </c>
      <c r="O88" s="13" t="s">
        <v>22</v>
      </c>
    </row>
    <row r="89" spans="1:15" ht="15" customHeight="1" x14ac:dyDescent="0.2">
      <c r="A89" s="13" t="s">
        <v>33</v>
      </c>
      <c r="B89" s="41">
        <v>45866</v>
      </c>
      <c r="C89" s="15" t="s">
        <v>1216</v>
      </c>
      <c r="D89" s="13">
        <v>1</v>
      </c>
      <c r="G89" s="15" t="s">
        <v>1068</v>
      </c>
      <c r="H89" s="15" t="s">
        <v>1217</v>
      </c>
      <c r="I89" s="13">
        <v>112111</v>
      </c>
      <c r="J89" s="13">
        <v>131</v>
      </c>
      <c r="K89" s="13" t="s">
        <v>21</v>
      </c>
      <c r="L89" s="13">
        <v>1</v>
      </c>
      <c r="M89" s="21">
        <v>10645161</v>
      </c>
      <c r="N89" s="21">
        <v>10645161</v>
      </c>
      <c r="O89" s="13" t="s">
        <v>22</v>
      </c>
    </row>
    <row r="90" spans="1:15" ht="15" customHeight="1" x14ac:dyDescent="0.2">
      <c r="A90" s="13" t="s">
        <v>89</v>
      </c>
      <c r="B90" s="41">
        <v>45866</v>
      </c>
      <c r="C90" s="15" t="s">
        <v>1218</v>
      </c>
      <c r="D90" s="13">
        <v>1</v>
      </c>
      <c r="G90" s="15" t="s">
        <v>1184</v>
      </c>
      <c r="H90" s="15" t="s">
        <v>1008</v>
      </c>
      <c r="I90" s="13">
        <v>1111</v>
      </c>
      <c r="J90" s="13">
        <v>112111</v>
      </c>
      <c r="K90" s="13" t="s">
        <v>21</v>
      </c>
      <c r="L90" s="13">
        <v>1</v>
      </c>
      <c r="M90" s="21">
        <v>11000000</v>
      </c>
      <c r="N90" s="21">
        <v>11000000</v>
      </c>
      <c r="O90" s="13" t="s">
        <v>22</v>
      </c>
    </row>
    <row r="91" spans="1:15" ht="15" customHeight="1" x14ac:dyDescent="0.2">
      <c r="A91" s="13" t="s">
        <v>33</v>
      </c>
      <c r="B91" s="41">
        <v>45868</v>
      </c>
      <c r="C91" s="15" t="s">
        <v>1219</v>
      </c>
      <c r="D91" s="13">
        <v>1</v>
      </c>
      <c r="G91" s="15" t="s">
        <v>287</v>
      </c>
      <c r="H91" s="13" t="s">
        <v>1220</v>
      </c>
      <c r="I91" s="13">
        <v>112111</v>
      </c>
      <c r="J91" s="13">
        <v>131</v>
      </c>
      <c r="K91" s="13" t="s">
        <v>21</v>
      </c>
      <c r="L91" s="13">
        <v>1</v>
      </c>
      <c r="M91" s="21">
        <v>10645161</v>
      </c>
      <c r="N91" s="21">
        <v>10645161</v>
      </c>
      <c r="O91" s="13" t="s">
        <v>22</v>
      </c>
    </row>
    <row r="92" spans="1:15" ht="15" customHeight="1" x14ac:dyDescent="0.2">
      <c r="A92" s="13" t="s">
        <v>33</v>
      </c>
      <c r="B92" s="41">
        <v>45869</v>
      </c>
      <c r="C92" s="15" t="s">
        <v>1221</v>
      </c>
      <c r="D92" s="13">
        <v>1</v>
      </c>
      <c r="G92" s="15" t="s">
        <v>1196</v>
      </c>
      <c r="H92" s="13" t="s">
        <v>1197</v>
      </c>
      <c r="I92" s="13">
        <v>112111</v>
      </c>
      <c r="J92" s="13">
        <v>131</v>
      </c>
      <c r="K92" s="13" t="s">
        <v>21</v>
      </c>
      <c r="L92" s="13">
        <v>1</v>
      </c>
      <c r="M92" s="21">
        <v>1100000</v>
      </c>
      <c r="N92" s="21">
        <v>1100000</v>
      </c>
      <c r="O92" s="13" t="s">
        <v>22</v>
      </c>
    </row>
    <row r="93" spans="1:15" ht="15" customHeight="1" x14ac:dyDescent="0.2">
      <c r="A93" s="13" t="s">
        <v>33</v>
      </c>
      <c r="B93" s="41">
        <v>45869</v>
      </c>
      <c r="C93" s="15" t="s">
        <v>1222</v>
      </c>
      <c r="D93" s="13">
        <v>1</v>
      </c>
      <c r="G93" s="15" t="s">
        <v>1186</v>
      </c>
      <c r="H93" s="13" t="s">
        <v>129</v>
      </c>
      <c r="I93" s="13">
        <v>112111</v>
      </c>
      <c r="J93" s="13">
        <v>5154</v>
      </c>
      <c r="K93" s="13" t="s">
        <v>21</v>
      </c>
      <c r="L93" s="13">
        <v>1</v>
      </c>
      <c r="M93" s="21">
        <v>2638</v>
      </c>
      <c r="N93" s="21">
        <v>2638</v>
      </c>
      <c r="O93" s="13" t="s">
        <v>22</v>
      </c>
    </row>
    <row r="94" spans="1:15" ht="15" customHeight="1" x14ac:dyDescent="0.2">
      <c r="A94" s="13" t="s">
        <v>33</v>
      </c>
      <c r="B94" s="41">
        <v>45869</v>
      </c>
      <c r="C94" s="15" t="s">
        <v>1223</v>
      </c>
      <c r="D94" s="13">
        <v>1</v>
      </c>
      <c r="G94" s="15" t="s">
        <v>1186</v>
      </c>
      <c r="H94" s="13" t="s">
        <v>129</v>
      </c>
      <c r="I94" s="13">
        <v>112111</v>
      </c>
      <c r="J94" s="13">
        <v>5154</v>
      </c>
      <c r="K94" s="13" t="s">
        <v>21</v>
      </c>
      <c r="L94" s="13">
        <v>1</v>
      </c>
      <c r="M94" s="21">
        <v>2638</v>
      </c>
      <c r="N94" s="21">
        <v>2638</v>
      </c>
      <c r="O94" s="13" t="s">
        <v>22</v>
      </c>
    </row>
    <row r="95" spans="1:15" ht="15" customHeight="1" x14ac:dyDescent="0.2">
      <c r="A95" s="13" t="s">
        <v>18</v>
      </c>
      <c r="B95" s="41">
        <v>45869</v>
      </c>
      <c r="C95" s="15" t="s">
        <v>1224</v>
      </c>
      <c r="D95" s="13">
        <v>1</v>
      </c>
      <c r="G95" s="15" t="s">
        <v>252</v>
      </c>
      <c r="H95" s="13" t="s">
        <v>147</v>
      </c>
      <c r="I95" s="13">
        <v>64271</v>
      </c>
      <c r="J95" s="13">
        <v>3383</v>
      </c>
      <c r="K95" s="13" t="s">
        <v>21</v>
      </c>
      <c r="L95" s="13">
        <v>1</v>
      </c>
      <c r="M95" s="21">
        <v>690300</v>
      </c>
      <c r="N95" s="21">
        <v>690300</v>
      </c>
      <c r="O95" s="13" t="s">
        <v>22</v>
      </c>
    </row>
    <row r="96" spans="1:15" ht="15" customHeight="1" x14ac:dyDescent="0.2">
      <c r="A96" s="13" t="s">
        <v>18</v>
      </c>
      <c r="B96" s="41">
        <v>45900</v>
      </c>
      <c r="C96" s="15" t="s">
        <v>1225</v>
      </c>
      <c r="D96" s="13">
        <v>1</v>
      </c>
      <c r="G96" s="15" t="s">
        <v>252</v>
      </c>
      <c r="H96" s="13" t="s">
        <v>280</v>
      </c>
      <c r="I96" s="13">
        <v>64271</v>
      </c>
      <c r="J96" s="13">
        <v>3383</v>
      </c>
      <c r="K96" s="13" t="s">
        <v>21</v>
      </c>
      <c r="L96" s="13">
        <v>1</v>
      </c>
      <c r="M96" s="21">
        <v>690300</v>
      </c>
      <c r="N96" s="21">
        <v>690300</v>
      </c>
      <c r="O96" s="13" t="s">
        <v>22</v>
      </c>
    </row>
    <row r="97" spans="1:15" ht="15" customHeight="1" x14ac:dyDescent="0.2">
      <c r="A97" s="13" t="s">
        <v>18</v>
      </c>
      <c r="B97" s="41">
        <v>45930</v>
      </c>
      <c r="C97" s="15" t="s">
        <v>1226</v>
      </c>
      <c r="D97" s="13">
        <v>1</v>
      </c>
      <c r="G97" s="15" t="s">
        <v>252</v>
      </c>
      <c r="H97" s="13" t="s">
        <v>367</v>
      </c>
      <c r="I97" s="13">
        <v>64271</v>
      </c>
      <c r="J97" s="13">
        <v>3383</v>
      </c>
      <c r="K97" s="13" t="s">
        <v>21</v>
      </c>
      <c r="L97" s="13">
        <v>1</v>
      </c>
      <c r="M97" s="21">
        <v>690300</v>
      </c>
      <c r="N97" s="21">
        <v>690300</v>
      </c>
      <c r="O97" s="13" t="s">
        <v>22</v>
      </c>
    </row>
    <row r="98" spans="1:15" ht="15" customHeight="1" x14ac:dyDescent="0.2">
      <c r="A98" s="13" t="s">
        <v>33</v>
      </c>
      <c r="B98" s="41">
        <v>45870</v>
      </c>
      <c r="C98" s="15" t="s">
        <v>1227</v>
      </c>
      <c r="D98" s="13">
        <v>1</v>
      </c>
      <c r="G98" s="15" t="s">
        <v>976</v>
      </c>
      <c r="H98" s="13" t="s">
        <v>1228</v>
      </c>
      <c r="I98" s="13">
        <v>112111</v>
      </c>
      <c r="J98" s="13">
        <v>131</v>
      </c>
      <c r="K98" s="13" t="s">
        <v>21</v>
      </c>
      <c r="L98" s="13">
        <v>1</v>
      </c>
      <c r="M98" s="21">
        <v>10752688</v>
      </c>
      <c r="N98" s="21">
        <v>10752688</v>
      </c>
      <c r="O98" s="13" t="s">
        <v>22</v>
      </c>
    </row>
    <row r="99" spans="1:15" ht="15" customHeight="1" x14ac:dyDescent="0.2">
      <c r="A99" s="13" t="s">
        <v>33</v>
      </c>
      <c r="B99" s="41">
        <v>45870</v>
      </c>
      <c r="C99" s="15" t="s">
        <v>1229</v>
      </c>
      <c r="D99" s="13">
        <v>1</v>
      </c>
      <c r="G99" s="15" t="s">
        <v>756</v>
      </c>
      <c r="H99" s="13" t="s">
        <v>1189</v>
      </c>
      <c r="I99" s="13">
        <v>112111</v>
      </c>
      <c r="J99" s="13">
        <v>131</v>
      </c>
      <c r="K99" s="13" t="s">
        <v>21</v>
      </c>
      <c r="L99" s="13">
        <v>1</v>
      </c>
      <c r="M99" s="21">
        <v>10752688</v>
      </c>
      <c r="N99" s="21">
        <v>10752688</v>
      </c>
      <c r="O99" s="13" t="s">
        <v>22</v>
      </c>
    </row>
    <row r="100" spans="1:15" ht="15" customHeight="1" x14ac:dyDescent="0.2">
      <c r="A100" s="13" t="s">
        <v>89</v>
      </c>
      <c r="B100" s="41">
        <v>45875</v>
      </c>
      <c r="C100" s="15" t="s">
        <v>1230</v>
      </c>
      <c r="D100" s="13">
        <v>1</v>
      </c>
      <c r="G100" s="15" t="s">
        <v>1186</v>
      </c>
      <c r="H100" s="13" t="s">
        <v>1187</v>
      </c>
      <c r="I100" s="13">
        <v>6425</v>
      </c>
      <c r="J100" s="13">
        <v>112111</v>
      </c>
      <c r="K100" s="13" t="s">
        <v>21</v>
      </c>
      <c r="L100" s="13">
        <v>1</v>
      </c>
      <c r="M100" s="21">
        <v>16500</v>
      </c>
      <c r="N100" s="21">
        <v>16500</v>
      </c>
      <c r="O100" s="13" t="s">
        <v>22</v>
      </c>
    </row>
    <row r="101" spans="1:15" ht="15" customHeight="1" x14ac:dyDescent="0.2">
      <c r="A101" s="13" t="s">
        <v>33</v>
      </c>
      <c r="B101" s="41">
        <v>45876</v>
      </c>
      <c r="C101" s="15" t="s">
        <v>1231</v>
      </c>
      <c r="D101" s="13">
        <v>1</v>
      </c>
      <c r="G101" s="15" t="s">
        <v>1077</v>
      </c>
      <c r="H101" s="13" t="s">
        <v>1232</v>
      </c>
      <c r="I101" s="13">
        <v>112111</v>
      </c>
      <c r="J101" s="13">
        <v>131</v>
      </c>
      <c r="K101" s="13" t="s">
        <v>21</v>
      </c>
      <c r="L101" s="13">
        <v>1</v>
      </c>
      <c r="M101" s="21">
        <v>11827957</v>
      </c>
      <c r="N101" s="21">
        <v>11827957</v>
      </c>
      <c r="O101" s="13" t="s">
        <v>22</v>
      </c>
    </row>
    <row r="102" spans="1:15" ht="15" customHeight="1" x14ac:dyDescent="0.2">
      <c r="A102" s="13" t="s">
        <v>89</v>
      </c>
      <c r="B102" s="41">
        <v>45876</v>
      </c>
      <c r="C102" s="15" t="s">
        <v>1233</v>
      </c>
      <c r="D102" s="13">
        <v>1</v>
      </c>
      <c r="G102" s="15" t="s">
        <v>1184</v>
      </c>
      <c r="H102" s="13" t="s">
        <v>1008</v>
      </c>
      <c r="I102" s="13">
        <v>1111</v>
      </c>
      <c r="J102" s="13">
        <v>112111</v>
      </c>
      <c r="K102" s="13" t="s">
        <v>21</v>
      </c>
      <c r="L102" s="13">
        <v>1</v>
      </c>
      <c r="M102" s="21">
        <v>40000000</v>
      </c>
      <c r="N102" s="21">
        <v>40000000</v>
      </c>
      <c r="O102" s="13" t="s">
        <v>22</v>
      </c>
    </row>
    <row r="103" spans="1:15" ht="15" customHeight="1" x14ac:dyDescent="0.2">
      <c r="A103" s="13" t="s">
        <v>33</v>
      </c>
      <c r="B103" s="41">
        <v>45878</v>
      </c>
      <c r="C103" s="15" t="s">
        <v>1234</v>
      </c>
      <c r="D103" s="13">
        <v>1</v>
      </c>
      <c r="G103" s="15" t="s">
        <v>1235</v>
      </c>
      <c r="H103" s="13" t="s">
        <v>1236</v>
      </c>
      <c r="I103" s="13">
        <v>112111</v>
      </c>
      <c r="J103" s="13">
        <v>3388</v>
      </c>
      <c r="K103" s="13" t="s">
        <v>21</v>
      </c>
      <c r="L103" s="13">
        <v>1</v>
      </c>
      <c r="M103" s="21">
        <v>12000000</v>
      </c>
      <c r="N103" s="21">
        <v>12000000</v>
      </c>
      <c r="O103" s="13" t="s">
        <v>22</v>
      </c>
    </row>
    <row r="104" spans="1:15" ht="15" customHeight="1" x14ac:dyDescent="0.2">
      <c r="A104" s="13" t="s">
        <v>89</v>
      </c>
      <c r="B104" s="41">
        <v>45878</v>
      </c>
      <c r="C104" s="15" t="s">
        <v>1237</v>
      </c>
      <c r="D104" s="13">
        <v>1</v>
      </c>
      <c r="G104" s="15" t="s">
        <v>1235</v>
      </c>
      <c r="H104" s="13" t="s">
        <v>1238</v>
      </c>
      <c r="I104" s="13">
        <v>3388</v>
      </c>
      <c r="J104" s="13">
        <v>112111</v>
      </c>
      <c r="K104" s="13" t="s">
        <v>21</v>
      </c>
      <c r="L104" s="13">
        <v>1</v>
      </c>
      <c r="M104" s="21">
        <v>12000000</v>
      </c>
      <c r="N104" s="21">
        <v>12000000</v>
      </c>
      <c r="O104" s="21" t="s">
        <v>22</v>
      </c>
    </row>
    <row r="105" spans="1:15" ht="15" customHeight="1" x14ac:dyDescent="0.2">
      <c r="A105" s="13" t="s">
        <v>33</v>
      </c>
      <c r="B105" s="41">
        <v>45880</v>
      </c>
      <c r="C105" s="15" t="s">
        <v>1239</v>
      </c>
      <c r="D105" s="13">
        <v>1</v>
      </c>
      <c r="G105" s="15" t="s">
        <v>756</v>
      </c>
      <c r="H105" s="13" t="s">
        <v>1240</v>
      </c>
      <c r="I105" s="13">
        <v>112111</v>
      </c>
      <c r="J105" s="13">
        <v>131</v>
      </c>
      <c r="K105" s="13" t="s">
        <v>21</v>
      </c>
      <c r="L105" s="13">
        <v>1</v>
      </c>
      <c r="M105" s="21">
        <v>10645161</v>
      </c>
      <c r="N105" s="21">
        <v>10645161</v>
      </c>
      <c r="O105" s="13" t="s">
        <v>22</v>
      </c>
    </row>
    <row r="106" spans="1:15" ht="15" customHeight="1" x14ac:dyDescent="0.2">
      <c r="A106" s="13" t="s">
        <v>33</v>
      </c>
      <c r="B106" s="41">
        <v>45884</v>
      </c>
      <c r="C106" s="15" t="s">
        <v>1241</v>
      </c>
      <c r="D106" s="13">
        <v>1</v>
      </c>
      <c r="G106" s="15" t="s">
        <v>1041</v>
      </c>
      <c r="H106" s="15" t="s">
        <v>1210</v>
      </c>
      <c r="I106" s="13">
        <v>112111</v>
      </c>
      <c r="J106" s="13">
        <v>131</v>
      </c>
      <c r="K106" s="13" t="s">
        <v>21</v>
      </c>
      <c r="L106" s="13">
        <v>1</v>
      </c>
      <c r="M106" s="21">
        <v>6451613</v>
      </c>
      <c r="N106" s="21">
        <v>6451613</v>
      </c>
      <c r="O106" s="13" t="s">
        <v>22</v>
      </c>
    </row>
    <row r="107" spans="1:15" ht="15" customHeight="1" x14ac:dyDescent="0.2">
      <c r="A107" s="13" t="s">
        <v>33</v>
      </c>
      <c r="B107" s="41">
        <v>45887</v>
      </c>
      <c r="C107" s="15" t="s">
        <v>1242</v>
      </c>
      <c r="D107" s="13">
        <v>1</v>
      </c>
      <c r="G107" s="15" t="s">
        <v>1243</v>
      </c>
      <c r="H107" s="13" t="s">
        <v>1244</v>
      </c>
      <c r="I107" s="13">
        <v>112111</v>
      </c>
      <c r="J107" s="13">
        <v>131</v>
      </c>
      <c r="K107" s="13" t="s">
        <v>21</v>
      </c>
      <c r="L107" s="13">
        <v>1</v>
      </c>
      <c r="M107" s="21">
        <v>10645161</v>
      </c>
      <c r="N107" s="21">
        <v>10645161</v>
      </c>
      <c r="O107" s="13" t="s">
        <v>22</v>
      </c>
    </row>
    <row r="108" spans="1:15" ht="15" customHeight="1" x14ac:dyDescent="0.2">
      <c r="A108" s="13" t="s">
        <v>89</v>
      </c>
      <c r="B108" s="41">
        <v>45887</v>
      </c>
      <c r="C108" s="15" t="s">
        <v>1245</v>
      </c>
      <c r="D108" s="13">
        <v>1</v>
      </c>
      <c r="G108" s="15" t="s">
        <v>1184</v>
      </c>
      <c r="H108" s="13" t="s">
        <v>1008</v>
      </c>
      <c r="I108" s="13">
        <v>1111</v>
      </c>
      <c r="J108" s="13">
        <v>112111</v>
      </c>
      <c r="K108" s="13" t="s">
        <v>21</v>
      </c>
      <c r="L108" s="13">
        <v>1</v>
      </c>
      <c r="M108" s="21">
        <v>20000000</v>
      </c>
      <c r="N108" s="21">
        <v>20000000</v>
      </c>
      <c r="O108" s="13" t="s">
        <v>22</v>
      </c>
    </row>
    <row r="109" spans="1:15" ht="15" customHeight="1" x14ac:dyDescent="0.2">
      <c r="A109" s="13" t="s">
        <v>33</v>
      </c>
      <c r="B109" s="41">
        <v>45887</v>
      </c>
      <c r="C109" s="15" t="s">
        <v>1246</v>
      </c>
      <c r="D109" s="13">
        <v>1</v>
      </c>
      <c r="G109" s="15" t="s">
        <v>1107</v>
      </c>
      <c r="H109" s="13" t="s">
        <v>1247</v>
      </c>
      <c r="I109" s="13">
        <v>112111</v>
      </c>
      <c r="J109" s="13">
        <v>131</v>
      </c>
      <c r="K109" s="13" t="s">
        <v>21</v>
      </c>
      <c r="L109" s="13">
        <v>1</v>
      </c>
      <c r="M109" s="21">
        <v>17032258</v>
      </c>
      <c r="N109" s="21">
        <v>17032258</v>
      </c>
      <c r="O109" s="13" t="s">
        <v>22</v>
      </c>
    </row>
    <row r="110" spans="1:15" ht="15" customHeight="1" x14ac:dyDescent="0.2">
      <c r="A110" s="13" t="s">
        <v>33</v>
      </c>
      <c r="B110" s="41">
        <v>45887</v>
      </c>
      <c r="C110" s="15" t="s">
        <v>1248</v>
      </c>
      <c r="D110" s="13">
        <v>1</v>
      </c>
      <c r="G110" s="15" t="s">
        <v>756</v>
      </c>
      <c r="H110" s="13" t="s">
        <v>1249</v>
      </c>
      <c r="I110" s="13">
        <v>112111</v>
      </c>
      <c r="J110" s="13">
        <v>131</v>
      </c>
      <c r="K110" s="13" t="s">
        <v>21</v>
      </c>
      <c r="L110" s="13">
        <v>1</v>
      </c>
      <c r="M110" s="21">
        <v>12774194</v>
      </c>
      <c r="N110" s="21">
        <v>12774194</v>
      </c>
      <c r="O110" s="13" t="s">
        <v>22</v>
      </c>
    </row>
    <row r="111" spans="1:15" ht="15" customHeight="1" x14ac:dyDescent="0.2">
      <c r="A111" s="13" t="s">
        <v>33</v>
      </c>
      <c r="B111" s="41">
        <v>45897</v>
      </c>
      <c r="C111" s="15" t="s">
        <v>1250</v>
      </c>
      <c r="D111" s="13">
        <v>1</v>
      </c>
      <c r="G111" s="15" t="s">
        <v>635</v>
      </c>
      <c r="H111" s="13" t="s">
        <v>1251</v>
      </c>
      <c r="I111" s="13">
        <v>112111</v>
      </c>
      <c r="J111" s="13">
        <v>131</v>
      </c>
      <c r="K111" s="13" t="s">
        <v>21</v>
      </c>
      <c r="L111" s="13">
        <v>1</v>
      </c>
      <c r="M111" s="21">
        <v>10645161</v>
      </c>
      <c r="N111" s="21">
        <v>10645161</v>
      </c>
      <c r="O111" s="13" t="s">
        <v>1037</v>
      </c>
    </row>
    <row r="112" spans="1:15" ht="15" customHeight="1" x14ac:dyDescent="0.2">
      <c r="A112" s="13" t="s">
        <v>89</v>
      </c>
      <c r="B112" s="41">
        <v>45897</v>
      </c>
      <c r="C112" s="15" t="s">
        <v>1252</v>
      </c>
      <c r="D112" s="13">
        <v>1</v>
      </c>
      <c r="G112" s="15" t="s">
        <v>1184</v>
      </c>
      <c r="H112" s="13" t="s">
        <v>1008</v>
      </c>
      <c r="I112" s="13">
        <v>1111</v>
      </c>
      <c r="J112" s="13">
        <v>112111</v>
      </c>
      <c r="K112" s="13" t="s">
        <v>21</v>
      </c>
      <c r="L112" s="13">
        <v>1</v>
      </c>
      <c r="M112" s="21">
        <v>50000000</v>
      </c>
      <c r="N112" s="21">
        <v>50000000</v>
      </c>
      <c r="O112" s="13" t="s">
        <v>22</v>
      </c>
    </row>
    <row r="113" spans="1:15" ht="15" customHeight="1" x14ac:dyDescent="0.2">
      <c r="A113" s="13" t="s">
        <v>89</v>
      </c>
      <c r="B113" s="41">
        <v>45897</v>
      </c>
      <c r="C113" s="15" t="s">
        <v>1253</v>
      </c>
      <c r="D113" s="13">
        <v>1</v>
      </c>
      <c r="G113" s="15" t="s">
        <v>252</v>
      </c>
      <c r="H113" s="13" t="s">
        <v>281</v>
      </c>
      <c r="I113" s="13">
        <v>3383</v>
      </c>
      <c r="J113" s="13">
        <v>112111</v>
      </c>
      <c r="K113" s="13" t="s">
        <v>21</v>
      </c>
      <c r="L113" s="13">
        <v>1</v>
      </c>
      <c r="M113" s="21">
        <v>690300</v>
      </c>
      <c r="N113" s="21">
        <v>690300</v>
      </c>
      <c r="O113" s="13" t="s">
        <v>22</v>
      </c>
    </row>
    <row r="114" spans="1:15" ht="15" customHeight="1" x14ac:dyDescent="0.2">
      <c r="A114" s="13" t="s">
        <v>33</v>
      </c>
      <c r="B114" s="41">
        <v>45898</v>
      </c>
      <c r="C114" s="15" t="s">
        <v>1254</v>
      </c>
      <c r="D114" s="13">
        <v>1</v>
      </c>
      <c r="G114" s="15" t="s">
        <v>1049</v>
      </c>
      <c r="H114" s="13" t="s">
        <v>1255</v>
      </c>
      <c r="I114" s="13">
        <v>112111</v>
      </c>
      <c r="J114" s="13">
        <v>131</v>
      </c>
      <c r="K114" s="13" t="s">
        <v>21</v>
      </c>
      <c r="L114" s="13">
        <v>1</v>
      </c>
      <c r="M114" s="21">
        <v>15967742</v>
      </c>
      <c r="N114" s="21">
        <v>15967742</v>
      </c>
      <c r="O114" s="13" t="s">
        <v>22</v>
      </c>
    </row>
    <row r="115" spans="1:15" ht="15" customHeight="1" x14ac:dyDescent="0.2">
      <c r="A115" s="13" t="s">
        <v>33</v>
      </c>
      <c r="B115" s="41">
        <v>45898</v>
      </c>
      <c r="C115" s="15" t="s">
        <v>1256</v>
      </c>
      <c r="D115" s="13">
        <v>1</v>
      </c>
      <c r="G115" s="15" t="s">
        <v>1141</v>
      </c>
      <c r="H115" s="13" t="s">
        <v>1257</v>
      </c>
      <c r="I115" s="13">
        <v>112111</v>
      </c>
      <c r="J115" s="13">
        <v>131</v>
      </c>
      <c r="K115" s="13" t="s">
        <v>21</v>
      </c>
      <c r="L115" s="13">
        <v>1</v>
      </c>
      <c r="M115" s="21">
        <v>10645161</v>
      </c>
      <c r="N115" s="21">
        <v>10645161</v>
      </c>
      <c r="O115" s="13" t="s">
        <v>22</v>
      </c>
    </row>
    <row r="116" spans="1:15" ht="15" customHeight="1" x14ac:dyDescent="0.2">
      <c r="A116" s="13" t="s">
        <v>33</v>
      </c>
      <c r="B116" s="41">
        <v>45900</v>
      </c>
      <c r="C116" s="15" t="s">
        <v>1258</v>
      </c>
      <c r="D116" s="13">
        <v>1</v>
      </c>
      <c r="G116" s="15" t="s">
        <v>1186</v>
      </c>
      <c r="H116" s="13" t="s">
        <v>129</v>
      </c>
      <c r="I116" s="13">
        <v>112111</v>
      </c>
      <c r="J116" s="13">
        <v>5154</v>
      </c>
      <c r="K116" s="13" t="s">
        <v>21</v>
      </c>
      <c r="L116" s="13">
        <v>1</v>
      </c>
      <c r="M116" s="21">
        <v>2522</v>
      </c>
      <c r="N116" s="21">
        <v>2522</v>
      </c>
      <c r="O116" s="13" t="s">
        <v>22</v>
      </c>
    </row>
    <row r="117" spans="1:15" ht="15" customHeight="1" x14ac:dyDescent="0.2">
      <c r="A117" s="13" t="s">
        <v>33</v>
      </c>
      <c r="B117" s="41">
        <v>45900</v>
      </c>
      <c r="C117" s="15" t="s">
        <v>1259</v>
      </c>
      <c r="D117" s="13">
        <v>1</v>
      </c>
      <c r="G117" s="15" t="s">
        <v>1186</v>
      </c>
      <c r="H117" s="13" t="s">
        <v>129</v>
      </c>
      <c r="I117" s="13">
        <v>112111</v>
      </c>
      <c r="J117" s="13">
        <v>5154</v>
      </c>
      <c r="K117" s="13" t="s">
        <v>21</v>
      </c>
      <c r="L117" s="13">
        <v>1</v>
      </c>
      <c r="M117" s="21">
        <v>2522</v>
      </c>
      <c r="N117" s="21">
        <v>2522</v>
      </c>
      <c r="O117" s="13" t="s">
        <v>22</v>
      </c>
    </row>
    <row r="118" spans="1:15" ht="15" customHeight="1" x14ac:dyDescent="0.2">
      <c r="A118" s="13" t="s">
        <v>89</v>
      </c>
      <c r="B118" s="41">
        <v>45904</v>
      </c>
      <c r="C118" s="15" t="s">
        <v>1260</v>
      </c>
      <c r="D118" s="13">
        <v>1</v>
      </c>
      <c r="G118" s="15" t="s">
        <v>1186</v>
      </c>
      <c r="H118" s="13" t="s">
        <v>1187</v>
      </c>
      <c r="I118" s="13">
        <v>6425</v>
      </c>
      <c r="J118" s="13">
        <v>112111</v>
      </c>
      <c r="K118" s="13" t="s">
        <v>21</v>
      </c>
      <c r="L118" s="13">
        <v>1</v>
      </c>
      <c r="M118" s="21">
        <v>16500</v>
      </c>
      <c r="N118" s="21">
        <v>16500</v>
      </c>
      <c r="O118" s="13" t="s">
        <v>22</v>
      </c>
    </row>
    <row r="119" spans="1:15" ht="15" customHeight="1" x14ac:dyDescent="0.2">
      <c r="A119" s="13" t="s">
        <v>33</v>
      </c>
      <c r="B119" s="41">
        <v>45904</v>
      </c>
      <c r="C119" s="15" t="s">
        <v>1261</v>
      </c>
      <c r="D119" s="13">
        <v>1</v>
      </c>
      <c r="G119" s="15" t="s">
        <v>768</v>
      </c>
      <c r="H119" s="13" t="s">
        <v>1262</v>
      </c>
      <c r="I119" s="13">
        <v>112111</v>
      </c>
      <c r="J119" s="13">
        <v>131</v>
      </c>
      <c r="K119" s="13" t="s">
        <v>21</v>
      </c>
      <c r="L119" s="13">
        <v>1</v>
      </c>
      <c r="M119" s="21">
        <v>14903226</v>
      </c>
      <c r="N119" s="21">
        <v>14903226</v>
      </c>
      <c r="O119" s="13" t="s">
        <v>22</v>
      </c>
    </row>
    <row r="120" spans="1:15" ht="15" customHeight="1" x14ac:dyDescent="0.2">
      <c r="A120" s="13" t="s">
        <v>89</v>
      </c>
      <c r="B120" s="41">
        <v>45904</v>
      </c>
      <c r="C120" s="15" t="s">
        <v>1263</v>
      </c>
      <c r="D120" s="13">
        <v>1</v>
      </c>
      <c r="G120" s="15" t="s">
        <v>1184</v>
      </c>
      <c r="H120" s="13" t="s">
        <v>1008</v>
      </c>
      <c r="I120" s="13">
        <v>1111</v>
      </c>
      <c r="J120" s="13">
        <v>112111</v>
      </c>
      <c r="K120" s="13" t="s">
        <v>21</v>
      </c>
      <c r="L120" s="13">
        <v>1</v>
      </c>
      <c r="M120" s="21">
        <v>40000000</v>
      </c>
      <c r="N120" s="21">
        <v>40000000</v>
      </c>
      <c r="O120" s="13" t="s">
        <v>22</v>
      </c>
    </row>
    <row r="121" spans="1:15" ht="15" customHeight="1" x14ac:dyDescent="0.2">
      <c r="A121" s="13" t="s">
        <v>33</v>
      </c>
      <c r="B121" s="41">
        <v>45909</v>
      </c>
      <c r="C121" s="15" t="s">
        <v>1264</v>
      </c>
      <c r="D121" s="13">
        <v>1</v>
      </c>
      <c r="G121" s="15" t="s">
        <v>55</v>
      </c>
      <c r="H121" s="13" t="s">
        <v>1265</v>
      </c>
      <c r="I121" s="13">
        <v>112111</v>
      </c>
      <c r="J121" s="13">
        <v>131</v>
      </c>
      <c r="K121" s="13" t="s">
        <v>21</v>
      </c>
      <c r="L121" s="13">
        <v>1</v>
      </c>
      <c r="M121" s="21">
        <v>10752688</v>
      </c>
      <c r="N121" s="21">
        <v>10752688</v>
      </c>
      <c r="O121" s="13" t="s">
        <v>22</v>
      </c>
    </row>
    <row r="122" spans="1:15" ht="15" customHeight="1" x14ac:dyDescent="0.2">
      <c r="A122" s="13" t="s">
        <v>33</v>
      </c>
      <c r="B122" s="41">
        <v>45909</v>
      </c>
      <c r="C122" s="15" t="s">
        <v>1266</v>
      </c>
      <c r="D122" s="13">
        <v>1</v>
      </c>
      <c r="G122" s="15" t="s">
        <v>632</v>
      </c>
      <c r="H122" s="13" t="s">
        <v>1267</v>
      </c>
      <c r="I122" s="13">
        <v>112111</v>
      </c>
      <c r="J122" s="13">
        <v>131</v>
      </c>
      <c r="K122" s="13" t="s">
        <v>21</v>
      </c>
      <c r="L122" s="13">
        <v>1</v>
      </c>
      <c r="M122" s="21">
        <v>10645161</v>
      </c>
      <c r="N122" s="21">
        <v>10645161</v>
      </c>
      <c r="O122" s="13" t="s">
        <v>22</v>
      </c>
    </row>
    <row r="123" spans="1:15" ht="15" customHeight="1" x14ac:dyDescent="0.2">
      <c r="A123" s="13" t="s">
        <v>33</v>
      </c>
      <c r="B123" s="41">
        <v>45909</v>
      </c>
      <c r="C123" s="15" t="s">
        <v>1268</v>
      </c>
      <c r="D123" s="13">
        <v>1</v>
      </c>
      <c r="G123" s="15" t="s">
        <v>756</v>
      </c>
      <c r="H123" s="13" t="s">
        <v>1269</v>
      </c>
      <c r="I123" s="13">
        <v>112111</v>
      </c>
      <c r="J123" s="13">
        <v>131</v>
      </c>
      <c r="K123" s="13" t="s">
        <v>21</v>
      </c>
      <c r="L123" s="13">
        <v>1</v>
      </c>
      <c r="M123" s="21">
        <v>10645161</v>
      </c>
      <c r="N123" s="21">
        <v>10645161</v>
      </c>
      <c r="O123" s="13" t="s">
        <v>22</v>
      </c>
    </row>
    <row r="124" spans="1:15" ht="15" customHeight="1" x14ac:dyDescent="0.2">
      <c r="A124" s="13" t="s">
        <v>33</v>
      </c>
      <c r="B124" s="41">
        <v>45911</v>
      </c>
      <c r="C124" s="15" t="s">
        <v>1270</v>
      </c>
      <c r="D124" s="13">
        <v>1</v>
      </c>
      <c r="G124" s="15" t="s">
        <v>1136</v>
      </c>
      <c r="H124" s="13" t="s">
        <v>1271</v>
      </c>
      <c r="I124" s="13">
        <v>112111</v>
      </c>
      <c r="J124" s="13">
        <v>131</v>
      </c>
      <c r="K124" s="13" t="s">
        <v>21</v>
      </c>
      <c r="L124" s="13">
        <v>1</v>
      </c>
      <c r="M124" s="21">
        <v>19161290</v>
      </c>
      <c r="N124" s="21">
        <v>19161290</v>
      </c>
      <c r="O124" s="13" t="s">
        <v>22</v>
      </c>
    </row>
    <row r="125" spans="1:15" ht="15" customHeight="1" x14ac:dyDescent="0.2">
      <c r="A125" s="13" t="s">
        <v>89</v>
      </c>
      <c r="B125" s="41">
        <v>45911</v>
      </c>
      <c r="C125" s="15" t="s">
        <v>1272</v>
      </c>
      <c r="D125" s="13">
        <v>1</v>
      </c>
      <c r="G125" s="15" t="s">
        <v>1184</v>
      </c>
      <c r="H125" s="13" t="s">
        <v>1008</v>
      </c>
      <c r="I125" s="13">
        <v>1111</v>
      </c>
      <c r="J125" s="13">
        <v>112111</v>
      </c>
      <c r="K125" s="13" t="s">
        <v>21</v>
      </c>
      <c r="L125" s="13">
        <v>1</v>
      </c>
      <c r="M125" s="21">
        <v>50000000</v>
      </c>
      <c r="N125" s="21">
        <v>50000000</v>
      </c>
      <c r="O125" s="13" t="s">
        <v>22</v>
      </c>
    </row>
    <row r="126" spans="1:15" ht="15" customHeight="1" x14ac:dyDescent="0.2">
      <c r="A126" s="13" t="s">
        <v>33</v>
      </c>
      <c r="B126" s="41">
        <v>45912</v>
      </c>
      <c r="C126" s="15" t="s">
        <v>1273</v>
      </c>
      <c r="D126" s="13">
        <v>1</v>
      </c>
      <c r="G126" s="15" t="s">
        <v>1186</v>
      </c>
      <c r="H126" s="13" t="s">
        <v>1207</v>
      </c>
      <c r="I126" s="13">
        <v>112111</v>
      </c>
      <c r="J126" s="13">
        <v>1111</v>
      </c>
      <c r="K126" s="13" t="s">
        <v>21</v>
      </c>
      <c r="L126" s="13">
        <v>1</v>
      </c>
      <c r="M126" s="21">
        <v>10000000</v>
      </c>
      <c r="N126" s="21">
        <v>10000000</v>
      </c>
      <c r="O126" s="13" t="s">
        <v>22</v>
      </c>
    </row>
    <row r="127" spans="1:15" ht="15" customHeight="1" x14ac:dyDescent="0.2">
      <c r="A127" s="13" t="s">
        <v>33</v>
      </c>
      <c r="B127" s="41">
        <v>45912</v>
      </c>
      <c r="C127" s="15" t="s">
        <v>1274</v>
      </c>
      <c r="D127" s="13">
        <v>1</v>
      </c>
      <c r="G127" s="15" t="s">
        <v>1186</v>
      </c>
      <c r="H127" s="13" t="s">
        <v>1207</v>
      </c>
      <c r="I127" s="13">
        <v>112111</v>
      </c>
      <c r="J127" s="13">
        <v>1111</v>
      </c>
      <c r="K127" s="13" t="s">
        <v>21</v>
      </c>
      <c r="L127" s="13">
        <v>1</v>
      </c>
      <c r="M127" s="21">
        <v>10000000</v>
      </c>
      <c r="N127" s="21">
        <v>10000000</v>
      </c>
      <c r="O127" s="13" t="s">
        <v>22</v>
      </c>
    </row>
    <row r="128" spans="1:15" ht="15" customHeight="1" x14ac:dyDescent="0.2">
      <c r="A128" s="13" t="s">
        <v>33</v>
      </c>
      <c r="B128" s="41">
        <v>45915</v>
      </c>
      <c r="C128" s="15" t="s">
        <v>1275</v>
      </c>
      <c r="D128" s="13">
        <v>1</v>
      </c>
      <c r="G128" s="15" t="s">
        <v>287</v>
      </c>
      <c r="H128" s="13" t="s">
        <v>1276</v>
      </c>
      <c r="I128" s="13">
        <v>112111</v>
      </c>
      <c r="J128" s="13">
        <v>131</v>
      </c>
      <c r="K128" s="13" t="s">
        <v>21</v>
      </c>
      <c r="L128" s="13">
        <v>1</v>
      </c>
      <c r="M128" s="21">
        <v>10645161</v>
      </c>
      <c r="N128" s="21">
        <v>10645161</v>
      </c>
      <c r="O128" s="13" t="s">
        <v>22</v>
      </c>
    </row>
    <row r="129" spans="1:15" ht="15" customHeight="1" x14ac:dyDescent="0.2">
      <c r="A129" s="13" t="s">
        <v>89</v>
      </c>
      <c r="B129" s="41">
        <v>45916</v>
      </c>
      <c r="C129" s="15" t="s">
        <v>1277</v>
      </c>
      <c r="D129" s="13">
        <v>1</v>
      </c>
      <c r="G129" s="15" t="s">
        <v>1184</v>
      </c>
      <c r="H129" s="15" t="s">
        <v>1008</v>
      </c>
      <c r="I129" s="13">
        <v>1111</v>
      </c>
      <c r="J129" s="13">
        <v>112111</v>
      </c>
      <c r="K129" s="13" t="s">
        <v>21</v>
      </c>
      <c r="L129" s="13">
        <v>1</v>
      </c>
      <c r="M129" s="21">
        <v>35000000</v>
      </c>
      <c r="N129" s="21">
        <v>35000000</v>
      </c>
      <c r="O129" s="13" t="s">
        <v>22</v>
      </c>
    </row>
    <row r="130" spans="1:15" ht="15" customHeight="1" x14ac:dyDescent="0.2">
      <c r="A130" s="13" t="s">
        <v>33</v>
      </c>
      <c r="B130" s="41">
        <v>45918</v>
      </c>
      <c r="C130" s="15" t="s">
        <v>1278</v>
      </c>
      <c r="D130" s="13">
        <v>1</v>
      </c>
      <c r="G130" s="15" t="s">
        <v>1097</v>
      </c>
      <c r="H130" s="13" t="s">
        <v>1279</v>
      </c>
      <c r="I130" s="13">
        <v>112111</v>
      </c>
      <c r="J130" s="13">
        <v>131</v>
      </c>
      <c r="K130" s="13" t="s">
        <v>21</v>
      </c>
      <c r="L130" s="13">
        <v>1</v>
      </c>
      <c r="M130" s="21">
        <v>12774194</v>
      </c>
      <c r="N130" s="21">
        <v>12774194</v>
      </c>
      <c r="O130" s="13" t="s">
        <v>22</v>
      </c>
    </row>
    <row r="131" spans="1:15" ht="15" customHeight="1" x14ac:dyDescent="0.2">
      <c r="A131" s="13" t="s">
        <v>33</v>
      </c>
      <c r="B131" s="41">
        <v>45919</v>
      </c>
      <c r="C131" s="13">
        <v>132</v>
      </c>
      <c r="D131" s="13">
        <v>1</v>
      </c>
      <c r="G131" s="15" t="s">
        <v>1280</v>
      </c>
      <c r="H131" s="13" t="s">
        <v>1281</v>
      </c>
      <c r="I131" s="13">
        <v>112111</v>
      </c>
      <c r="J131" s="13">
        <v>131</v>
      </c>
      <c r="K131" s="13" t="s">
        <v>21</v>
      </c>
      <c r="L131" s="13">
        <v>1</v>
      </c>
      <c r="M131" s="21">
        <v>12774194</v>
      </c>
      <c r="N131" s="21">
        <v>12774194</v>
      </c>
      <c r="O131" s="13" t="s">
        <v>22</v>
      </c>
    </row>
    <row r="132" spans="1:15" ht="15" customHeight="1" x14ac:dyDescent="0.2">
      <c r="A132" s="13" t="s">
        <v>33</v>
      </c>
      <c r="B132" s="41">
        <v>45919</v>
      </c>
      <c r="C132" s="13">
        <v>133</v>
      </c>
      <c r="D132" s="13">
        <v>1</v>
      </c>
      <c r="G132" s="15" t="s">
        <v>55</v>
      </c>
      <c r="H132" s="13" t="s">
        <v>1282</v>
      </c>
      <c r="I132" s="13">
        <v>112111</v>
      </c>
      <c r="J132" s="13">
        <v>131</v>
      </c>
      <c r="K132" s="13" t="s">
        <v>21</v>
      </c>
      <c r="L132" s="13">
        <v>1</v>
      </c>
      <c r="M132" s="21">
        <v>12903226</v>
      </c>
      <c r="N132" s="21">
        <v>12903226</v>
      </c>
      <c r="O132" s="13" t="s">
        <v>22</v>
      </c>
    </row>
    <row r="133" spans="1:15" ht="15" customHeight="1" x14ac:dyDescent="0.2">
      <c r="A133" s="13" t="s">
        <v>89</v>
      </c>
      <c r="B133" s="41">
        <v>45922</v>
      </c>
      <c r="C133" s="13">
        <v>134</v>
      </c>
      <c r="D133" s="13">
        <v>1</v>
      </c>
      <c r="G133" s="15" t="s">
        <v>1184</v>
      </c>
      <c r="H133" s="13" t="s">
        <v>1008</v>
      </c>
      <c r="I133" s="13">
        <v>1111</v>
      </c>
      <c r="J133" s="13">
        <v>112111</v>
      </c>
      <c r="K133" s="13" t="s">
        <v>21</v>
      </c>
      <c r="L133" s="13">
        <v>1</v>
      </c>
      <c r="M133" s="21">
        <v>35000000</v>
      </c>
      <c r="N133" s="21">
        <v>35000000</v>
      </c>
      <c r="O133" s="13" t="s">
        <v>22</v>
      </c>
    </row>
    <row r="134" spans="1:15" ht="15" customHeight="1" x14ac:dyDescent="0.2">
      <c r="A134" s="13" t="s">
        <v>33</v>
      </c>
      <c r="B134" s="41">
        <v>45925</v>
      </c>
      <c r="C134" s="13">
        <v>135</v>
      </c>
      <c r="D134" s="13">
        <v>1</v>
      </c>
      <c r="G134" s="15" t="s">
        <v>1283</v>
      </c>
      <c r="H134" s="13" t="s">
        <v>1284</v>
      </c>
      <c r="I134" s="13">
        <v>112111</v>
      </c>
      <c r="J134" s="13">
        <v>131</v>
      </c>
      <c r="K134" s="13" t="s">
        <v>21</v>
      </c>
      <c r="L134" s="13">
        <v>1</v>
      </c>
      <c r="M134" s="21">
        <v>10645161</v>
      </c>
      <c r="N134" s="21">
        <v>10645161</v>
      </c>
      <c r="O134" s="13" t="s">
        <v>22</v>
      </c>
    </row>
    <row r="135" spans="1:15" ht="15" customHeight="1" x14ac:dyDescent="0.2">
      <c r="A135" s="13" t="s">
        <v>33</v>
      </c>
      <c r="B135" s="41">
        <v>45929</v>
      </c>
      <c r="C135" s="13">
        <v>136</v>
      </c>
      <c r="D135" s="13">
        <v>1</v>
      </c>
      <c r="G135" s="15" t="s">
        <v>1285</v>
      </c>
      <c r="H135" s="13" t="s">
        <v>1244</v>
      </c>
      <c r="I135" s="13">
        <v>112111</v>
      </c>
      <c r="J135" s="13">
        <v>131</v>
      </c>
      <c r="K135" s="13" t="s">
        <v>21</v>
      </c>
      <c r="L135" s="13">
        <v>1</v>
      </c>
      <c r="M135" s="21">
        <v>5322581</v>
      </c>
      <c r="N135" s="21">
        <v>5322581</v>
      </c>
      <c r="O135" s="13" t="s">
        <v>22</v>
      </c>
    </row>
    <row r="136" spans="1:15" ht="15" customHeight="1" x14ac:dyDescent="0.2">
      <c r="A136" s="13" t="s">
        <v>89</v>
      </c>
      <c r="B136" s="41">
        <v>45930</v>
      </c>
      <c r="C136" s="13">
        <v>137</v>
      </c>
      <c r="D136" s="13">
        <v>1</v>
      </c>
      <c r="G136" s="15" t="s">
        <v>252</v>
      </c>
      <c r="H136" s="13" t="s">
        <v>686</v>
      </c>
      <c r="I136" s="13">
        <v>3383</v>
      </c>
      <c r="J136" s="13">
        <v>112111</v>
      </c>
      <c r="K136" s="13" t="s">
        <v>21</v>
      </c>
      <c r="L136" s="13">
        <v>1</v>
      </c>
      <c r="M136" s="21">
        <v>690300</v>
      </c>
      <c r="N136" s="21">
        <v>690300</v>
      </c>
      <c r="O136" s="13" t="s">
        <v>22</v>
      </c>
    </row>
    <row r="137" spans="1:15" ht="15" customHeight="1" x14ac:dyDescent="0.2">
      <c r="A137" s="13" t="s">
        <v>33</v>
      </c>
      <c r="B137" s="41">
        <v>45930</v>
      </c>
      <c r="C137" s="13">
        <v>138</v>
      </c>
      <c r="D137" s="13">
        <v>1</v>
      </c>
      <c r="G137" s="15" t="s">
        <v>756</v>
      </c>
      <c r="H137" s="13" t="s">
        <v>1286</v>
      </c>
      <c r="I137" s="13">
        <v>112111</v>
      </c>
      <c r="J137" s="13">
        <v>131</v>
      </c>
      <c r="K137" s="13" t="s">
        <v>21</v>
      </c>
      <c r="L137" s="13">
        <v>1</v>
      </c>
      <c r="M137" s="21">
        <v>10752688</v>
      </c>
      <c r="N137" s="21">
        <v>10752688</v>
      </c>
      <c r="O137" s="13" t="s">
        <v>22</v>
      </c>
    </row>
    <row r="138" spans="1:15" ht="15" customHeight="1" x14ac:dyDescent="0.2">
      <c r="A138" s="13" t="s">
        <v>33</v>
      </c>
      <c r="B138" s="41">
        <v>45930</v>
      </c>
      <c r="C138" s="13">
        <v>146</v>
      </c>
      <c r="D138" s="13">
        <v>1</v>
      </c>
      <c r="G138" s="15" t="s">
        <v>1186</v>
      </c>
      <c r="H138" s="13" t="s">
        <v>129</v>
      </c>
      <c r="I138" s="13">
        <v>112111</v>
      </c>
      <c r="J138" s="13">
        <v>5154</v>
      </c>
      <c r="K138" s="13" t="s">
        <v>21</v>
      </c>
      <c r="L138" s="13">
        <v>1</v>
      </c>
      <c r="M138" s="21">
        <v>1642</v>
      </c>
      <c r="N138" s="21">
        <v>1642</v>
      </c>
      <c r="O138" s="13" t="s">
        <v>22</v>
      </c>
    </row>
  </sheetData>
  <autoFilter ref="A3:P138" xr:uid="{00000000-0009-0000-0000-000004000000}"/>
  <mergeCells count="13">
    <mergeCell ref="N1:N2"/>
    <mergeCell ref="G1:G2"/>
    <mergeCell ref="H1:H2"/>
    <mergeCell ref="I1:J1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2"/>
  <sheetViews>
    <sheetView topLeftCell="A61" workbookViewId="0">
      <selection activeCell="G103" sqref="G103"/>
    </sheetView>
  </sheetViews>
  <sheetFormatPr defaultRowHeight="15" customHeight="1" x14ac:dyDescent="0.2"/>
  <cols>
    <col min="1" max="1" width="9.140625" style="13"/>
    <col min="2" max="2" width="10.7109375" style="41" bestFit="1" customWidth="1"/>
    <col min="3" max="5" width="9.140625" style="13"/>
    <col min="6" max="6" width="9.140625" style="15"/>
    <col min="7" max="7" width="11" style="15" bestFit="1" customWidth="1"/>
    <col min="8" max="8" width="33.140625" style="13" customWidth="1"/>
    <col min="9" max="12" width="9.140625" style="13"/>
    <col min="13" max="14" width="11.5703125" style="21" bestFit="1" customWidth="1"/>
    <col min="15" max="15" width="10.5703125" style="13" bestFit="1" customWidth="1"/>
    <col min="16" max="16384" width="9.140625" style="13"/>
  </cols>
  <sheetData>
    <row r="1" spans="1:16" ht="15" customHeight="1" x14ac:dyDescent="0.2">
      <c r="A1" s="164" t="s">
        <v>0</v>
      </c>
      <c r="B1" s="168" t="s">
        <v>1</v>
      </c>
      <c r="C1" s="164" t="s">
        <v>2</v>
      </c>
      <c r="D1" s="170" t="s">
        <v>3</v>
      </c>
      <c r="E1" s="170" t="s">
        <v>4</v>
      </c>
      <c r="F1" s="166" t="s">
        <v>5</v>
      </c>
      <c r="G1" s="158" t="s">
        <v>6</v>
      </c>
      <c r="H1" s="160" t="s">
        <v>7</v>
      </c>
      <c r="I1" s="162" t="s">
        <v>8</v>
      </c>
      <c r="J1" s="163"/>
      <c r="K1" s="164" t="s">
        <v>9</v>
      </c>
      <c r="L1" s="164" t="s">
        <v>10</v>
      </c>
      <c r="M1" s="156" t="s">
        <v>1287</v>
      </c>
      <c r="N1" s="156" t="s">
        <v>1288</v>
      </c>
      <c r="O1" s="55" t="s">
        <v>1289</v>
      </c>
      <c r="P1" s="46"/>
    </row>
    <row r="2" spans="1:16" ht="15" customHeight="1" x14ac:dyDescent="0.2">
      <c r="A2" s="165"/>
      <c r="B2" s="169"/>
      <c r="C2" s="165"/>
      <c r="D2" s="171"/>
      <c r="E2" s="171"/>
      <c r="F2" s="167"/>
      <c r="G2" s="159"/>
      <c r="H2" s="161"/>
      <c r="I2" s="56" t="s">
        <v>13</v>
      </c>
      <c r="J2" s="57" t="s">
        <v>14</v>
      </c>
      <c r="K2" s="165"/>
      <c r="L2" s="165"/>
      <c r="M2" s="157"/>
      <c r="N2" s="157"/>
      <c r="O2" s="46" t="s">
        <v>1289</v>
      </c>
      <c r="P2" s="46"/>
    </row>
    <row r="3" spans="1:16" ht="15" customHeight="1" x14ac:dyDescent="0.2">
      <c r="A3" s="58"/>
      <c r="B3" s="65"/>
      <c r="C3" s="58">
        <v>1</v>
      </c>
      <c r="D3" s="60"/>
      <c r="E3" s="60"/>
      <c r="F3" s="61"/>
      <c r="G3" s="62" t="s">
        <v>15</v>
      </c>
      <c r="H3" s="63"/>
      <c r="I3" s="63"/>
      <c r="J3" s="63"/>
      <c r="K3" s="58"/>
      <c r="L3" s="58"/>
      <c r="M3" s="64"/>
      <c r="N3" s="64"/>
      <c r="O3" s="46" t="s">
        <v>16</v>
      </c>
      <c r="P3" s="46" t="s">
        <v>17</v>
      </c>
    </row>
    <row r="4" spans="1:16" ht="15" customHeight="1" x14ac:dyDescent="0.2">
      <c r="A4" s="13" t="s">
        <v>18</v>
      </c>
      <c r="B4" s="41">
        <v>45852</v>
      </c>
      <c r="C4" s="13">
        <f t="shared" ref="C4:C35" si="0">C3+D4</f>
        <v>2</v>
      </c>
      <c r="D4" s="13">
        <v>1</v>
      </c>
      <c r="E4" s="13" t="str">
        <f t="shared" ref="E4:E35" si="1">TEXT(C4,"000")</f>
        <v>002</v>
      </c>
      <c r="G4" s="15" t="s">
        <v>296</v>
      </c>
      <c r="H4" s="13" t="s">
        <v>1499</v>
      </c>
      <c r="I4" s="13">
        <v>64277</v>
      </c>
      <c r="J4" s="13">
        <v>331</v>
      </c>
      <c r="K4" s="13" t="s">
        <v>21</v>
      </c>
      <c r="L4" s="13">
        <v>1</v>
      </c>
      <c r="M4" s="21">
        <v>351</v>
      </c>
      <c r="N4" s="21">
        <f t="shared" ref="N4:N9" si="2">L4*M4</f>
        <v>351</v>
      </c>
      <c r="O4" s="21" t="s">
        <v>22</v>
      </c>
      <c r="P4" s="13">
        <v>53</v>
      </c>
    </row>
    <row r="5" spans="1:16" ht="15" customHeight="1" x14ac:dyDescent="0.2">
      <c r="A5" s="13" t="s">
        <v>368</v>
      </c>
      <c r="B5" s="41">
        <v>45852</v>
      </c>
      <c r="C5" s="13">
        <f t="shared" si="0"/>
        <v>3</v>
      </c>
      <c r="D5" s="13">
        <v>1</v>
      </c>
      <c r="E5" s="13" t="str">
        <f t="shared" si="1"/>
        <v>003</v>
      </c>
      <c r="F5" s="13"/>
      <c r="G5" s="15" t="s">
        <v>296</v>
      </c>
      <c r="H5" s="13" t="s">
        <v>1511</v>
      </c>
      <c r="I5" s="13">
        <v>331</v>
      </c>
      <c r="J5" s="13">
        <v>1111</v>
      </c>
      <c r="K5" s="13" t="s">
        <v>21</v>
      </c>
      <c r="L5" s="13">
        <v>1</v>
      </c>
      <c r="M5" s="21">
        <v>351</v>
      </c>
      <c r="N5" s="21">
        <f t="shared" si="2"/>
        <v>351</v>
      </c>
      <c r="O5" s="21" t="s">
        <v>22</v>
      </c>
      <c r="P5" s="13">
        <v>65</v>
      </c>
    </row>
    <row r="6" spans="1:16" ht="15" customHeight="1" x14ac:dyDescent="0.2">
      <c r="A6" s="13" t="s">
        <v>33</v>
      </c>
      <c r="B6" s="41">
        <v>45861.464965277781</v>
      </c>
      <c r="C6" s="13">
        <f t="shared" si="0"/>
        <v>4</v>
      </c>
      <c r="D6" s="13">
        <v>1</v>
      </c>
      <c r="E6" s="13" t="str">
        <f t="shared" si="1"/>
        <v>004</v>
      </c>
      <c r="G6" s="15" t="s">
        <v>1235</v>
      </c>
      <c r="H6" s="13" t="s">
        <v>1526</v>
      </c>
      <c r="I6" s="13">
        <v>112111</v>
      </c>
      <c r="J6" s="13">
        <v>3388</v>
      </c>
      <c r="K6" s="13" t="s">
        <v>21</v>
      </c>
      <c r="L6" s="13">
        <v>1</v>
      </c>
      <c r="M6" s="21">
        <v>1000000</v>
      </c>
      <c r="N6" s="21">
        <f t="shared" si="2"/>
        <v>1000000</v>
      </c>
      <c r="O6" s="21" t="s">
        <v>22</v>
      </c>
      <c r="P6" s="13">
        <v>98</v>
      </c>
    </row>
    <row r="7" spans="1:16" ht="15" customHeight="1" x14ac:dyDescent="0.2">
      <c r="A7" s="13" t="s">
        <v>89</v>
      </c>
      <c r="B7" s="41">
        <v>45861.484166666669</v>
      </c>
      <c r="C7" s="13">
        <f t="shared" si="0"/>
        <v>5</v>
      </c>
      <c r="D7" s="13">
        <v>1</v>
      </c>
      <c r="E7" s="13" t="str">
        <f t="shared" si="1"/>
        <v>005</v>
      </c>
      <c r="G7" s="15" t="s">
        <v>1235</v>
      </c>
      <c r="H7" s="13" t="s">
        <v>1527</v>
      </c>
      <c r="I7" s="13">
        <v>3388</v>
      </c>
      <c r="J7" s="13">
        <v>112111</v>
      </c>
      <c r="K7" s="13" t="s">
        <v>21</v>
      </c>
      <c r="L7" s="13">
        <v>1</v>
      </c>
      <c r="M7" s="21">
        <v>1000000</v>
      </c>
      <c r="N7" s="21">
        <f t="shared" si="2"/>
        <v>1000000</v>
      </c>
      <c r="O7" s="21" t="s">
        <v>22</v>
      </c>
      <c r="P7" s="13">
        <v>97</v>
      </c>
    </row>
    <row r="8" spans="1:16" ht="15" customHeight="1" x14ac:dyDescent="0.2">
      <c r="A8" s="13" t="s">
        <v>33</v>
      </c>
      <c r="B8" s="41">
        <v>45866.960046296299</v>
      </c>
      <c r="C8" s="13">
        <f t="shared" si="0"/>
        <v>6</v>
      </c>
      <c r="D8" s="13">
        <v>1</v>
      </c>
      <c r="E8" s="13" t="str">
        <f t="shared" si="1"/>
        <v>006</v>
      </c>
      <c r="G8" s="15" t="s">
        <v>1235</v>
      </c>
      <c r="H8" s="13" t="s">
        <v>1526</v>
      </c>
      <c r="I8" s="13">
        <v>112111</v>
      </c>
      <c r="J8" s="13">
        <v>3388</v>
      </c>
      <c r="K8" s="13" t="s">
        <v>21</v>
      </c>
      <c r="L8" s="13">
        <v>1</v>
      </c>
      <c r="M8" s="21">
        <v>550000</v>
      </c>
      <c r="N8" s="21">
        <f t="shared" si="2"/>
        <v>550000</v>
      </c>
      <c r="O8" s="21" t="s">
        <v>22</v>
      </c>
      <c r="P8" s="13">
        <v>96</v>
      </c>
    </row>
    <row r="9" spans="1:16" ht="15" customHeight="1" x14ac:dyDescent="0.2">
      <c r="A9" s="13" t="s">
        <v>89</v>
      </c>
      <c r="B9" s="41">
        <v>45866.960405092592</v>
      </c>
      <c r="C9" s="13">
        <f t="shared" si="0"/>
        <v>7</v>
      </c>
      <c r="D9" s="13">
        <v>1</v>
      </c>
      <c r="E9" s="13" t="str">
        <f t="shared" si="1"/>
        <v>007</v>
      </c>
      <c r="G9" s="15" t="s">
        <v>1235</v>
      </c>
      <c r="H9" s="13" t="s">
        <v>1527</v>
      </c>
      <c r="I9" s="13">
        <v>3388</v>
      </c>
      <c r="J9" s="13">
        <v>112111</v>
      </c>
      <c r="K9" s="13" t="s">
        <v>21</v>
      </c>
      <c r="L9" s="13">
        <v>1</v>
      </c>
      <c r="M9" s="21">
        <v>550000</v>
      </c>
      <c r="N9" s="21">
        <f t="shared" si="2"/>
        <v>550000</v>
      </c>
      <c r="O9" s="21" t="s">
        <v>22</v>
      </c>
      <c r="P9" s="13">
        <v>95</v>
      </c>
    </row>
    <row r="10" spans="1:16" ht="15" customHeight="1" x14ac:dyDescent="0.2">
      <c r="A10" s="13" t="s">
        <v>18</v>
      </c>
      <c r="B10" s="41">
        <v>45869</v>
      </c>
      <c r="C10" s="13">
        <f t="shared" si="0"/>
        <v>8</v>
      </c>
      <c r="D10" s="13">
        <v>1</v>
      </c>
      <c r="E10" s="13" t="str">
        <f t="shared" si="1"/>
        <v>008</v>
      </c>
      <c r="G10" s="15" t="s">
        <v>252</v>
      </c>
      <c r="H10" s="13" t="s">
        <v>147</v>
      </c>
      <c r="I10" s="13">
        <v>64271</v>
      </c>
      <c r="J10" s="13">
        <v>3383</v>
      </c>
      <c r="K10" s="13" t="s">
        <v>21</v>
      </c>
      <c r="L10" s="13">
        <v>1</v>
      </c>
      <c r="M10" s="21">
        <v>690300</v>
      </c>
      <c r="N10" s="21">
        <v>690300</v>
      </c>
      <c r="O10" s="21" t="s">
        <v>22</v>
      </c>
      <c r="P10" s="13">
        <v>1</v>
      </c>
    </row>
    <row r="11" spans="1:16" ht="15" customHeight="1" x14ac:dyDescent="0.2">
      <c r="A11" s="13" t="s">
        <v>33</v>
      </c>
      <c r="B11" s="41">
        <v>45873.492129629631</v>
      </c>
      <c r="C11" s="13">
        <f t="shared" si="0"/>
        <v>9</v>
      </c>
      <c r="D11" s="13">
        <v>1</v>
      </c>
      <c r="E11" s="13" t="str">
        <f t="shared" si="1"/>
        <v>009</v>
      </c>
      <c r="G11" s="15" t="s">
        <v>617</v>
      </c>
      <c r="H11" s="13" t="s">
        <v>1516</v>
      </c>
      <c r="I11" s="13">
        <v>112111</v>
      </c>
      <c r="J11" s="13">
        <v>131</v>
      </c>
      <c r="K11" s="13" t="s">
        <v>21</v>
      </c>
      <c r="L11" s="13">
        <v>1</v>
      </c>
      <c r="M11" s="21">
        <v>5322581</v>
      </c>
      <c r="N11" s="21">
        <f t="shared" ref="N11:N19" si="3">L11*M11</f>
        <v>5322581</v>
      </c>
      <c r="O11" s="21" t="s">
        <v>22</v>
      </c>
      <c r="P11" s="13">
        <v>94</v>
      </c>
    </row>
    <row r="12" spans="1:16" ht="15" customHeight="1" x14ac:dyDescent="0.2">
      <c r="A12" s="13" t="s">
        <v>33</v>
      </c>
      <c r="B12" s="41">
        <v>45882.624537037038</v>
      </c>
      <c r="C12" s="13">
        <f t="shared" si="0"/>
        <v>10</v>
      </c>
      <c r="D12" s="13">
        <v>1</v>
      </c>
      <c r="E12" s="13" t="str">
        <f t="shared" si="1"/>
        <v>010</v>
      </c>
      <c r="G12" s="37" t="s">
        <v>267</v>
      </c>
      <c r="H12" s="37" t="s">
        <v>34</v>
      </c>
      <c r="I12" s="13">
        <v>112111</v>
      </c>
      <c r="J12" s="13">
        <v>131</v>
      </c>
      <c r="K12" s="13" t="s">
        <v>21</v>
      </c>
      <c r="L12" s="13">
        <v>1</v>
      </c>
      <c r="M12" s="21">
        <v>16743411</v>
      </c>
      <c r="N12" s="21">
        <f t="shared" si="3"/>
        <v>16743411</v>
      </c>
      <c r="O12" s="21" t="s">
        <v>22</v>
      </c>
      <c r="P12" s="13">
        <v>93</v>
      </c>
    </row>
    <row r="13" spans="1:16" ht="15" customHeight="1" x14ac:dyDescent="0.2">
      <c r="A13" s="13" t="s">
        <v>18</v>
      </c>
      <c r="B13" s="41">
        <v>45882.624537037038</v>
      </c>
      <c r="C13" s="13">
        <f t="shared" si="0"/>
        <v>11</v>
      </c>
      <c r="D13" s="13">
        <v>1</v>
      </c>
      <c r="E13" s="13" t="str">
        <f t="shared" si="1"/>
        <v>011</v>
      </c>
      <c r="G13" s="37" t="s">
        <v>267</v>
      </c>
      <c r="H13" s="37" t="s">
        <v>32</v>
      </c>
      <c r="I13" s="24">
        <v>131</v>
      </c>
      <c r="J13" s="24">
        <v>5118</v>
      </c>
      <c r="K13" s="13" t="s">
        <v>21</v>
      </c>
      <c r="L13" s="13">
        <v>1</v>
      </c>
      <c r="M13" s="21">
        <v>16743411</v>
      </c>
      <c r="N13" s="21">
        <f t="shared" si="3"/>
        <v>16743411</v>
      </c>
      <c r="O13" s="21" t="s">
        <v>22</v>
      </c>
      <c r="P13" s="13">
        <v>99</v>
      </c>
    </row>
    <row r="14" spans="1:16" ht="15" customHeight="1" x14ac:dyDescent="0.2">
      <c r="A14" s="13" t="s">
        <v>89</v>
      </c>
      <c r="B14" s="41">
        <v>45882.632986111108</v>
      </c>
      <c r="C14" s="13">
        <f t="shared" si="0"/>
        <v>12</v>
      </c>
      <c r="D14" s="13">
        <v>1</v>
      </c>
      <c r="E14" s="13" t="str">
        <f t="shared" si="1"/>
        <v>012</v>
      </c>
      <c r="G14" s="15" t="s">
        <v>1528</v>
      </c>
      <c r="H14" s="13" t="s">
        <v>1008</v>
      </c>
      <c r="I14" s="13">
        <v>1111</v>
      </c>
      <c r="J14" s="13">
        <v>112111</v>
      </c>
      <c r="K14" s="13" t="s">
        <v>21</v>
      </c>
      <c r="L14" s="13">
        <v>1</v>
      </c>
      <c r="M14" s="21">
        <v>22065000</v>
      </c>
      <c r="N14" s="21">
        <f t="shared" si="3"/>
        <v>22065000</v>
      </c>
      <c r="O14" s="21" t="s">
        <v>22</v>
      </c>
      <c r="P14" s="13">
        <v>92</v>
      </c>
    </row>
    <row r="15" spans="1:16" ht="15" customHeight="1" x14ac:dyDescent="0.2">
      <c r="A15" s="13" t="s">
        <v>33</v>
      </c>
      <c r="B15" s="41">
        <v>45889.340266203704</v>
      </c>
      <c r="C15" s="13">
        <f t="shared" si="0"/>
        <v>13</v>
      </c>
      <c r="D15" s="13">
        <v>1</v>
      </c>
      <c r="E15" s="13" t="str">
        <f t="shared" si="1"/>
        <v>013</v>
      </c>
      <c r="G15" s="15" t="s">
        <v>1427</v>
      </c>
      <c r="H15" s="13" t="s">
        <v>1514</v>
      </c>
      <c r="I15" s="13">
        <v>112111</v>
      </c>
      <c r="J15" s="13">
        <v>131</v>
      </c>
      <c r="K15" s="13" t="s">
        <v>21</v>
      </c>
      <c r="L15" s="13">
        <v>1</v>
      </c>
      <c r="M15" s="21">
        <v>5322581</v>
      </c>
      <c r="N15" s="21">
        <f t="shared" si="3"/>
        <v>5322581</v>
      </c>
      <c r="O15" s="21" t="s">
        <v>22</v>
      </c>
      <c r="P15" s="13">
        <v>91</v>
      </c>
    </row>
    <row r="16" spans="1:16" ht="15" customHeight="1" x14ac:dyDescent="0.2">
      <c r="A16" s="13" t="s">
        <v>33</v>
      </c>
      <c r="B16" s="41">
        <v>45894.665601851855</v>
      </c>
      <c r="C16" s="13">
        <f t="shared" si="0"/>
        <v>14</v>
      </c>
      <c r="D16" s="13">
        <v>1</v>
      </c>
      <c r="E16" s="13" t="str">
        <f t="shared" si="1"/>
        <v>014</v>
      </c>
      <c r="G16" s="15" t="s">
        <v>627</v>
      </c>
      <c r="H16" s="13" t="s">
        <v>1518</v>
      </c>
      <c r="I16" s="13">
        <v>112111</v>
      </c>
      <c r="J16" s="13">
        <v>131</v>
      </c>
      <c r="K16" s="13" t="s">
        <v>21</v>
      </c>
      <c r="L16" s="13">
        <v>1</v>
      </c>
      <c r="M16" s="21">
        <v>5322581</v>
      </c>
      <c r="N16" s="21">
        <f t="shared" si="3"/>
        <v>5322581</v>
      </c>
      <c r="O16" s="21" t="s">
        <v>22</v>
      </c>
      <c r="P16" s="13">
        <v>90</v>
      </c>
    </row>
    <row r="17" spans="1:16" ht="15" customHeight="1" x14ac:dyDescent="0.2">
      <c r="A17" s="13" t="s">
        <v>33</v>
      </c>
      <c r="B17" s="41">
        <v>45894.665671296294</v>
      </c>
      <c r="C17" s="13">
        <f t="shared" si="0"/>
        <v>15</v>
      </c>
      <c r="D17" s="13">
        <v>1</v>
      </c>
      <c r="E17" s="13" t="str">
        <f t="shared" si="1"/>
        <v>015</v>
      </c>
      <c r="G17" s="15" t="s">
        <v>627</v>
      </c>
      <c r="H17" s="13" t="s">
        <v>1519</v>
      </c>
      <c r="I17" s="13">
        <v>112111</v>
      </c>
      <c r="J17" s="13">
        <v>131</v>
      </c>
      <c r="K17" s="13" t="s">
        <v>21</v>
      </c>
      <c r="L17" s="13">
        <v>1</v>
      </c>
      <c r="M17" s="21">
        <v>6387097</v>
      </c>
      <c r="N17" s="21">
        <f t="shared" si="3"/>
        <v>6387097</v>
      </c>
      <c r="O17" s="21" t="s">
        <v>22</v>
      </c>
      <c r="P17" s="13">
        <v>89</v>
      </c>
    </row>
    <row r="18" spans="1:16" ht="15" customHeight="1" x14ac:dyDescent="0.2">
      <c r="A18" s="13" t="s">
        <v>89</v>
      </c>
      <c r="B18" s="41">
        <v>45895.453888888886</v>
      </c>
      <c r="C18" s="13">
        <f t="shared" si="0"/>
        <v>16</v>
      </c>
      <c r="D18" s="13">
        <v>1</v>
      </c>
      <c r="E18" s="13" t="str">
        <f t="shared" si="1"/>
        <v>016</v>
      </c>
      <c r="G18" s="15" t="s">
        <v>1528</v>
      </c>
      <c r="H18" s="13" t="s">
        <v>1008</v>
      </c>
      <c r="I18" s="13">
        <v>1111</v>
      </c>
      <c r="J18" s="13">
        <v>112111</v>
      </c>
      <c r="K18" s="13" t="s">
        <v>21</v>
      </c>
      <c r="L18" s="13">
        <v>1</v>
      </c>
      <c r="M18" s="21">
        <v>900000</v>
      </c>
      <c r="N18" s="21">
        <f t="shared" si="3"/>
        <v>900000</v>
      </c>
      <c r="O18" s="21" t="s">
        <v>22</v>
      </c>
      <c r="P18" s="13">
        <v>88</v>
      </c>
    </row>
    <row r="19" spans="1:16" ht="15" customHeight="1" x14ac:dyDescent="0.2">
      <c r="A19" s="13" t="s">
        <v>33</v>
      </c>
      <c r="B19" s="41">
        <v>45898.339826388888</v>
      </c>
      <c r="C19" s="13">
        <f t="shared" si="0"/>
        <v>17</v>
      </c>
      <c r="D19" s="13">
        <v>1</v>
      </c>
      <c r="E19" s="13" t="str">
        <f t="shared" si="1"/>
        <v>017</v>
      </c>
      <c r="G19" s="15" t="s">
        <v>239</v>
      </c>
      <c r="H19" s="13" t="s">
        <v>1521</v>
      </c>
      <c r="I19" s="13">
        <v>112111</v>
      </c>
      <c r="J19" s="13">
        <v>131</v>
      </c>
      <c r="K19" s="13" t="s">
        <v>21</v>
      </c>
      <c r="L19" s="13">
        <v>1</v>
      </c>
      <c r="M19" s="21">
        <v>25548387</v>
      </c>
      <c r="N19" s="21">
        <f t="shared" si="3"/>
        <v>25548387</v>
      </c>
      <c r="O19" s="21" t="s">
        <v>22</v>
      </c>
      <c r="P19" s="13">
        <v>87</v>
      </c>
    </row>
    <row r="20" spans="1:16" ht="15" customHeight="1" x14ac:dyDescent="0.2">
      <c r="A20" s="13" t="s">
        <v>18</v>
      </c>
      <c r="B20" s="41">
        <v>45900</v>
      </c>
      <c r="C20" s="13">
        <f t="shared" si="0"/>
        <v>18</v>
      </c>
      <c r="D20" s="13">
        <v>1</v>
      </c>
      <c r="E20" s="13" t="str">
        <f t="shared" si="1"/>
        <v>018</v>
      </c>
      <c r="G20" s="15" t="s">
        <v>252</v>
      </c>
      <c r="H20" s="13" t="s">
        <v>280</v>
      </c>
      <c r="I20" s="13">
        <v>64271</v>
      </c>
      <c r="J20" s="13">
        <v>3383</v>
      </c>
      <c r="K20" s="13" t="s">
        <v>21</v>
      </c>
      <c r="L20" s="13">
        <v>1</v>
      </c>
      <c r="M20" s="21">
        <v>690300</v>
      </c>
      <c r="N20" s="21">
        <v>690300</v>
      </c>
      <c r="O20" s="21" t="s">
        <v>22</v>
      </c>
      <c r="P20" s="13">
        <v>2</v>
      </c>
    </row>
    <row r="21" spans="1:16" ht="15" customHeight="1" x14ac:dyDescent="0.2">
      <c r="A21" s="13" t="s">
        <v>33</v>
      </c>
      <c r="B21" s="41">
        <v>45900.063414351855</v>
      </c>
      <c r="C21" s="13">
        <f t="shared" si="0"/>
        <v>19</v>
      </c>
      <c r="D21" s="13">
        <v>1</v>
      </c>
      <c r="E21" s="13" t="str">
        <f t="shared" si="1"/>
        <v>019</v>
      </c>
      <c r="G21" s="15" t="s">
        <v>1528</v>
      </c>
      <c r="H21" s="13" t="s">
        <v>129</v>
      </c>
      <c r="I21" s="13">
        <v>112111</v>
      </c>
      <c r="J21" s="13">
        <v>5154</v>
      </c>
      <c r="K21" s="13" t="s">
        <v>21</v>
      </c>
      <c r="L21" s="13">
        <v>1</v>
      </c>
      <c r="M21" s="21">
        <v>612</v>
      </c>
      <c r="N21" s="21">
        <f t="shared" ref="N21:N39" si="4">L21*M21</f>
        <v>612</v>
      </c>
      <c r="O21" s="21" t="s">
        <v>22</v>
      </c>
      <c r="P21" s="13">
        <v>86</v>
      </c>
    </row>
    <row r="22" spans="1:16" ht="15" customHeight="1" x14ac:dyDescent="0.2">
      <c r="A22" s="13" t="s">
        <v>33</v>
      </c>
      <c r="B22" s="41">
        <v>45905.543993055559</v>
      </c>
      <c r="C22" s="13">
        <f t="shared" si="0"/>
        <v>20</v>
      </c>
      <c r="D22" s="13">
        <v>1</v>
      </c>
      <c r="E22" s="13" t="str">
        <f t="shared" si="1"/>
        <v>020</v>
      </c>
      <c r="G22" s="15" t="s">
        <v>1528</v>
      </c>
      <c r="H22" s="13" t="s">
        <v>1512</v>
      </c>
      <c r="I22" s="13">
        <v>112111</v>
      </c>
      <c r="J22" s="13">
        <v>1111</v>
      </c>
      <c r="K22" s="13" t="s">
        <v>21</v>
      </c>
      <c r="L22" s="13">
        <v>1</v>
      </c>
      <c r="M22" s="21">
        <v>30000000</v>
      </c>
      <c r="N22" s="21">
        <f t="shared" si="4"/>
        <v>30000000</v>
      </c>
      <c r="O22" s="21" t="s">
        <v>22</v>
      </c>
      <c r="P22" s="13">
        <v>85</v>
      </c>
    </row>
    <row r="23" spans="1:16" ht="15" customHeight="1" x14ac:dyDescent="0.2">
      <c r="A23" s="13" t="s">
        <v>89</v>
      </c>
      <c r="B23" s="41">
        <v>45906.416122685187</v>
      </c>
      <c r="C23" s="13">
        <f t="shared" si="0"/>
        <v>21</v>
      </c>
      <c r="D23" s="13">
        <v>1</v>
      </c>
      <c r="E23" s="13" t="str">
        <f t="shared" si="1"/>
        <v>021</v>
      </c>
      <c r="G23" s="15" t="s">
        <v>1528</v>
      </c>
      <c r="H23" s="13" t="s">
        <v>1008</v>
      </c>
      <c r="I23" s="13">
        <v>1111</v>
      </c>
      <c r="J23" s="13">
        <v>112111</v>
      </c>
      <c r="K23" s="13" t="s">
        <v>21</v>
      </c>
      <c r="L23" s="13">
        <v>1</v>
      </c>
      <c r="M23" s="21">
        <v>700000</v>
      </c>
      <c r="N23" s="21">
        <f t="shared" si="4"/>
        <v>700000</v>
      </c>
      <c r="O23" s="21" t="s">
        <v>22</v>
      </c>
      <c r="P23" s="13">
        <v>84</v>
      </c>
    </row>
    <row r="24" spans="1:16" ht="15" customHeight="1" x14ac:dyDescent="0.2">
      <c r="A24" s="13" t="s">
        <v>33</v>
      </c>
      <c r="B24" s="41">
        <v>45907.80133101852</v>
      </c>
      <c r="C24" s="13">
        <f t="shared" si="0"/>
        <v>22</v>
      </c>
      <c r="D24" s="13">
        <v>1</v>
      </c>
      <c r="E24" s="13" t="str">
        <f t="shared" si="1"/>
        <v>022</v>
      </c>
      <c r="G24" s="15" t="s">
        <v>1528</v>
      </c>
      <c r="H24" s="13" t="s">
        <v>1512</v>
      </c>
      <c r="I24" s="13">
        <v>112111</v>
      </c>
      <c r="J24" s="13">
        <v>1111</v>
      </c>
      <c r="K24" s="13" t="s">
        <v>21</v>
      </c>
      <c r="L24" s="13">
        <v>1</v>
      </c>
      <c r="M24" s="21">
        <v>2000000</v>
      </c>
      <c r="N24" s="21">
        <f t="shared" si="4"/>
        <v>2000000</v>
      </c>
      <c r="O24" s="21" t="s">
        <v>22</v>
      </c>
      <c r="P24" s="13">
        <v>83</v>
      </c>
    </row>
    <row r="25" spans="1:16" ht="15" customHeight="1" x14ac:dyDescent="0.2">
      <c r="A25" s="13" t="s">
        <v>89</v>
      </c>
      <c r="B25" s="41">
        <v>45910.608680555553</v>
      </c>
      <c r="C25" s="13">
        <f t="shared" si="0"/>
        <v>23</v>
      </c>
      <c r="D25" s="13">
        <v>1</v>
      </c>
      <c r="E25" s="13" t="str">
        <f t="shared" si="1"/>
        <v>023</v>
      </c>
      <c r="G25" s="15" t="s">
        <v>1528</v>
      </c>
      <c r="H25" s="13" t="s">
        <v>1008</v>
      </c>
      <c r="I25" s="13">
        <v>1111</v>
      </c>
      <c r="J25" s="13">
        <v>112111</v>
      </c>
      <c r="K25" s="13" t="s">
        <v>21</v>
      </c>
      <c r="L25" s="13">
        <v>1</v>
      </c>
      <c r="M25" s="21">
        <v>100000</v>
      </c>
      <c r="N25" s="21">
        <f t="shared" si="4"/>
        <v>100000</v>
      </c>
      <c r="O25" s="21" t="s">
        <v>22</v>
      </c>
      <c r="P25" s="13">
        <v>82</v>
      </c>
    </row>
    <row r="26" spans="1:16" ht="15" customHeight="1" x14ac:dyDescent="0.2">
      <c r="A26" s="13" t="s">
        <v>33</v>
      </c>
      <c r="B26" s="41">
        <v>45912.637870370374</v>
      </c>
      <c r="C26" s="13">
        <f t="shared" si="0"/>
        <v>24</v>
      </c>
      <c r="D26" s="13">
        <v>1</v>
      </c>
      <c r="E26" s="13" t="str">
        <f t="shared" si="1"/>
        <v>024</v>
      </c>
      <c r="G26" s="15" t="s">
        <v>1428</v>
      </c>
      <c r="H26" s="13" t="s">
        <v>1515</v>
      </c>
      <c r="I26" s="13">
        <v>112111</v>
      </c>
      <c r="J26" s="13">
        <v>131</v>
      </c>
      <c r="K26" s="13" t="s">
        <v>21</v>
      </c>
      <c r="L26" s="13">
        <v>1</v>
      </c>
      <c r="M26" s="21">
        <v>15967742</v>
      </c>
      <c r="N26" s="21">
        <f t="shared" si="4"/>
        <v>15967742</v>
      </c>
      <c r="O26" s="21" t="s">
        <v>22</v>
      </c>
      <c r="P26" s="13">
        <v>81</v>
      </c>
    </row>
    <row r="27" spans="1:16" ht="15" customHeight="1" x14ac:dyDescent="0.2">
      <c r="A27" s="13" t="s">
        <v>33</v>
      </c>
      <c r="B27" s="41">
        <v>45912.686064814814</v>
      </c>
      <c r="C27" s="13">
        <f t="shared" si="0"/>
        <v>25</v>
      </c>
      <c r="D27" s="13">
        <v>1</v>
      </c>
      <c r="E27" s="13" t="str">
        <f t="shared" si="1"/>
        <v>025</v>
      </c>
      <c r="G27" s="15" t="s">
        <v>1427</v>
      </c>
      <c r="H27" s="13" t="s">
        <v>1517</v>
      </c>
      <c r="I27" s="13">
        <v>112111</v>
      </c>
      <c r="J27" s="13">
        <v>131</v>
      </c>
      <c r="K27" s="13" t="s">
        <v>21</v>
      </c>
      <c r="L27" s="13">
        <v>1</v>
      </c>
      <c r="M27" s="21">
        <v>5322581</v>
      </c>
      <c r="N27" s="21">
        <f t="shared" si="4"/>
        <v>5322581</v>
      </c>
      <c r="O27" s="21" t="s">
        <v>22</v>
      </c>
      <c r="P27" s="13">
        <v>80</v>
      </c>
    </row>
    <row r="28" spans="1:16" ht="15" customHeight="1" x14ac:dyDescent="0.2">
      <c r="A28" s="13" t="s">
        <v>33</v>
      </c>
      <c r="B28" s="41">
        <v>45912.748124999998</v>
      </c>
      <c r="C28" s="13">
        <f t="shared" si="0"/>
        <v>26</v>
      </c>
      <c r="D28" s="13">
        <v>1</v>
      </c>
      <c r="E28" s="13" t="str">
        <f t="shared" si="1"/>
        <v>026</v>
      </c>
      <c r="G28" s="15" t="s">
        <v>1426</v>
      </c>
      <c r="H28" s="13" t="s">
        <v>1513</v>
      </c>
      <c r="I28" s="13">
        <v>112111</v>
      </c>
      <c r="J28" s="13">
        <v>131</v>
      </c>
      <c r="K28" s="13" t="s">
        <v>21</v>
      </c>
      <c r="L28" s="13">
        <v>1</v>
      </c>
      <c r="M28" s="21">
        <v>19161290</v>
      </c>
      <c r="N28" s="21">
        <f t="shared" si="4"/>
        <v>19161290</v>
      </c>
      <c r="O28" s="21" t="s">
        <v>22</v>
      </c>
      <c r="P28" s="13">
        <v>79</v>
      </c>
    </row>
    <row r="29" spans="1:16" ht="15" customHeight="1" x14ac:dyDescent="0.2">
      <c r="A29" s="13" t="s">
        <v>33</v>
      </c>
      <c r="B29" s="41">
        <v>45912.859988425924</v>
      </c>
      <c r="C29" s="13">
        <f t="shared" si="0"/>
        <v>27</v>
      </c>
      <c r="D29" s="13">
        <v>1</v>
      </c>
      <c r="E29" s="13" t="str">
        <f t="shared" si="1"/>
        <v>027</v>
      </c>
      <c r="G29" s="15" t="s">
        <v>1430</v>
      </c>
      <c r="H29" s="13" t="s">
        <v>1529</v>
      </c>
      <c r="I29" s="13">
        <v>112111</v>
      </c>
      <c r="J29" s="13">
        <v>131</v>
      </c>
      <c r="K29" s="13" t="s">
        <v>21</v>
      </c>
      <c r="L29" s="13">
        <v>1</v>
      </c>
      <c r="M29" s="21">
        <v>15967742</v>
      </c>
      <c r="N29" s="21">
        <f t="shared" si="4"/>
        <v>15967742</v>
      </c>
      <c r="O29" s="21" t="s">
        <v>22</v>
      </c>
      <c r="P29" s="13">
        <v>78</v>
      </c>
    </row>
    <row r="30" spans="1:16" ht="15" customHeight="1" x14ac:dyDescent="0.2">
      <c r="A30" s="13" t="s">
        <v>89</v>
      </c>
      <c r="B30" s="41">
        <v>45917.696527777778</v>
      </c>
      <c r="C30" s="13">
        <f t="shared" si="0"/>
        <v>28</v>
      </c>
      <c r="D30" s="13">
        <v>1</v>
      </c>
      <c r="E30" s="13" t="str">
        <f t="shared" si="1"/>
        <v>028</v>
      </c>
      <c r="G30" s="15" t="s">
        <v>1528</v>
      </c>
      <c r="H30" s="13" t="s">
        <v>1008</v>
      </c>
      <c r="I30" s="13">
        <v>1111</v>
      </c>
      <c r="J30" s="13">
        <v>112111</v>
      </c>
      <c r="K30" s="13" t="s">
        <v>21</v>
      </c>
      <c r="L30" s="13">
        <v>1</v>
      </c>
      <c r="M30" s="21">
        <v>23854000</v>
      </c>
      <c r="N30" s="21">
        <f t="shared" si="4"/>
        <v>23854000</v>
      </c>
      <c r="O30" s="21" t="s">
        <v>22</v>
      </c>
      <c r="P30" s="13">
        <v>77</v>
      </c>
    </row>
    <row r="31" spans="1:16" ht="15" customHeight="1" x14ac:dyDescent="0.2">
      <c r="A31" s="13" t="s">
        <v>33</v>
      </c>
      <c r="B31" s="41">
        <v>45917.700462962966</v>
      </c>
      <c r="C31" s="13">
        <f t="shared" si="0"/>
        <v>29</v>
      </c>
      <c r="D31" s="13">
        <v>1</v>
      </c>
      <c r="E31" s="13" t="str">
        <f t="shared" si="1"/>
        <v>029</v>
      </c>
      <c r="G31" s="15" t="s">
        <v>1528</v>
      </c>
      <c r="H31" s="13" t="s">
        <v>1512</v>
      </c>
      <c r="I31" s="13">
        <v>112111</v>
      </c>
      <c r="J31" s="13">
        <v>1111</v>
      </c>
      <c r="K31" s="13" t="s">
        <v>21</v>
      </c>
      <c r="L31" s="13">
        <v>1</v>
      </c>
      <c r="M31" s="21">
        <v>9000000</v>
      </c>
      <c r="N31" s="21">
        <f t="shared" si="4"/>
        <v>9000000</v>
      </c>
      <c r="O31" s="21" t="s">
        <v>22</v>
      </c>
      <c r="P31" s="13">
        <v>76</v>
      </c>
    </row>
    <row r="32" spans="1:16" ht="15" customHeight="1" x14ac:dyDescent="0.2">
      <c r="A32" s="13" t="s">
        <v>89</v>
      </c>
      <c r="B32" s="41">
        <v>45918.447500000002</v>
      </c>
      <c r="C32" s="13">
        <f t="shared" si="0"/>
        <v>30</v>
      </c>
      <c r="D32" s="13">
        <v>1</v>
      </c>
      <c r="E32" s="13" t="str">
        <f t="shared" si="1"/>
        <v>030</v>
      </c>
      <c r="G32" s="15" t="s">
        <v>1528</v>
      </c>
      <c r="H32" s="13" t="s">
        <v>1008</v>
      </c>
      <c r="I32" s="13">
        <v>1111</v>
      </c>
      <c r="J32" s="13">
        <v>112111</v>
      </c>
      <c r="K32" s="13" t="s">
        <v>21</v>
      </c>
      <c r="L32" s="13">
        <v>1</v>
      </c>
      <c r="M32" s="21">
        <v>100000</v>
      </c>
      <c r="N32" s="21">
        <f t="shared" si="4"/>
        <v>100000</v>
      </c>
      <c r="O32" s="21" t="s">
        <v>22</v>
      </c>
      <c r="P32" s="13">
        <v>75</v>
      </c>
    </row>
    <row r="33" spans="1:16" ht="15" customHeight="1" x14ac:dyDescent="0.2">
      <c r="A33" s="13" t="s">
        <v>89</v>
      </c>
      <c r="B33" s="41">
        <v>45918.478159722225</v>
      </c>
      <c r="C33" s="13">
        <f t="shared" si="0"/>
        <v>31</v>
      </c>
      <c r="D33" s="13">
        <v>1</v>
      </c>
      <c r="E33" s="13" t="str">
        <f t="shared" si="1"/>
        <v>031</v>
      </c>
      <c r="G33" s="15" t="s">
        <v>1528</v>
      </c>
      <c r="H33" s="13" t="s">
        <v>1008</v>
      </c>
      <c r="I33" s="13">
        <v>1111</v>
      </c>
      <c r="J33" s="13">
        <v>112111</v>
      </c>
      <c r="K33" s="13" t="s">
        <v>21</v>
      </c>
      <c r="L33" s="13">
        <v>1</v>
      </c>
      <c r="M33" s="21">
        <v>700000</v>
      </c>
      <c r="N33" s="21">
        <f t="shared" si="4"/>
        <v>700000</v>
      </c>
      <c r="O33" s="21" t="s">
        <v>22</v>
      </c>
      <c r="P33" s="13">
        <v>74</v>
      </c>
    </row>
    <row r="34" spans="1:16" ht="15" customHeight="1" x14ac:dyDescent="0.2">
      <c r="A34" s="13" t="s">
        <v>33</v>
      </c>
      <c r="B34" s="41">
        <v>45919.878622685188</v>
      </c>
      <c r="C34" s="13">
        <f t="shared" si="0"/>
        <v>32</v>
      </c>
      <c r="D34" s="13">
        <v>1</v>
      </c>
      <c r="E34" s="13" t="str">
        <f t="shared" si="1"/>
        <v>032</v>
      </c>
      <c r="G34" s="15" t="s">
        <v>1434</v>
      </c>
      <c r="H34" s="13" t="s">
        <v>1523</v>
      </c>
      <c r="I34" s="13">
        <v>112111</v>
      </c>
      <c r="J34" s="13">
        <v>131</v>
      </c>
      <c r="K34" s="13" t="s">
        <v>21</v>
      </c>
      <c r="L34" s="13">
        <v>1</v>
      </c>
      <c r="M34" s="21">
        <v>15967742</v>
      </c>
      <c r="N34" s="21">
        <f t="shared" si="4"/>
        <v>15967742</v>
      </c>
      <c r="O34" s="21" t="s">
        <v>22</v>
      </c>
      <c r="P34" s="13">
        <v>73</v>
      </c>
    </row>
    <row r="35" spans="1:16" ht="15" customHeight="1" x14ac:dyDescent="0.2">
      <c r="A35" s="13" t="s">
        <v>33</v>
      </c>
      <c r="B35" s="41">
        <v>45921.108229166668</v>
      </c>
      <c r="C35" s="13">
        <f t="shared" si="0"/>
        <v>33</v>
      </c>
      <c r="D35" s="13">
        <v>1</v>
      </c>
      <c r="E35" s="13" t="str">
        <f t="shared" si="1"/>
        <v>033</v>
      </c>
      <c r="G35" s="15" t="s">
        <v>1528</v>
      </c>
      <c r="H35" s="13" t="s">
        <v>1512</v>
      </c>
      <c r="I35" s="13">
        <v>112111</v>
      </c>
      <c r="J35" s="13">
        <v>1111</v>
      </c>
      <c r="K35" s="13" t="s">
        <v>21</v>
      </c>
      <c r="L35" s="13">
        <v>1</v>
      </c>
      <c r="M35" s="21">
        <v>42300000</v>
      </c>
      <c r="N35" s="21">
        <f t="shared" si="4"/>
        <v>42300000</v>
      </c>
      <c r="O35" s="21" t="s">
        <v>22</v>
      </c>
      <c r="P35" s="13">
        <v>72</v>
      </c>
    </row>
    <row r="36" spans="1:16" ht="15" customHeight="1" x14ac:dyDescent="0.2">
      <c r="A36" s="13" t="s">
        <v>33</v>
      </c>
      <c r="B36" s="41">
        <v>45922.580185185187</v>
      </c>
      <c r="C36" s="13">
        <f t="shared" ref="C36:C67" si="5">C35+D36</f>
        <v>34</v>
      </c>
      <c r="D36" s="13">
        <v>1</v>
      </c>
      <c r="E36" s="13" t="str">
        <f t="shared" ref="E36:E67" si="6">TEXT(C36,"000")</f>
        <v>034</v>
      </c>
      <c r="G36" s="15" t="s">
        <v>1433</v>
      </c>
      <c r="H36" s="13" t="s">
        <v>1524</v>
      </c>
      <c r="I36" s="13">
        <v>112111</v>
      </c>
      <c r="J36" s="13">
        <v>131</v>
      </c>
      <c r="K36" s="13" t="s">
        <v>21</v>
      </c>
      <c r="L36" s="13">
        <v>1</v>
      </c>
      <c r="M36" s="21">
        <v>23951613</v>
      </c>
      <c r="N36" s="21">
        <f t="shared" si="4"/>
        <v>23951613</v>
      </c>
      <c r="O36" s="21" t="s">
        <v>22</v>
      </c>
      <c r="P36" s="13">
        <v>71</v>
      </c>
    </row>
    <row r="37" spans="1:16" ht="15" customHeight="1" x14ac:dyDescent="0.2">
      <c r="A37" s="13" t="s">
        <v>33</v>
      </c>
      <c r="B37" s="41">
        <v>45923.508969907409</v>
      </c>
      <c r="C37" s="13">
        <f t="shared" si="5"/>
        <v>35</v>
      </c>
      <c r="D37" s="13">
        <v>1</v>
      </c>
      <c r="E37" s="13" t="str">
        <f t="shared" si="6"/>
        <v>035</v>
      </c>
      <c r="G37" s="15" t="s">
        <v>1431</v>
      </c>
      <c r="H37" s="13" t="s">
        <v>1530</v>
      </c>
      <c r="I37" s="13">
        <v>112111</v>
      </c>
      <c r="J37" s="13">
        <v>131</v>
      </c>
      <c r="K37" s="13" t="s">
        <v>21</v>
      </c>
      <c r="L37" s="13">
        <v>1</v>
      </c>
      <c r="M37" s="21">
        <v>24483871</v>
      </c>
      <c r="N37" s="21">
        <f t="shared" si="4"/>
        <v>24483871</v>
      </c>
      <c r="O37" s="21" t="s">
        <v>22</v>
      </c>
      <c r="P37" s="13">
        <v>70</v>
      </c>
    </row>
    <row r="38" spans="1:16" ht="15" customHeight="1" x14ac:dyDescent="0.2">
      <c r="A38" s="13" t="s">
        <v>89</v>
      </c>
      <c r="B38" s="41">
        <v>45924.100300925929</v>
      </c>
      <c r="C38" s="13">
        <f t="shared" si="5"/>
        <v>36</v>
      </c>
      <c r="D38" s="13">
        <v>1</v>
      </c>
      <c r="E38" s="13" t="str">
        <f t="shared" si="6"/>
        <v>036</v>
      </c>
      <c r="G38" s="15" t="s">
        <v>1528</v>
      </c>
      <c r="H38" s="13" t="s">
        <v>1008</v>
      </c>
      <c r="I38" s="13">
        <v>1111</v>
      </c>
      <c r="J38" s="13">
        <v>112111</v>
      </c>
      <c r="K38" s="13" t="s">
        <v>21</v>
      </c>
      <c r="L38" s="13">
        <v>1</v>
      </c>
      <c r="M38" s="21">
        <v>121850000</v>
      </c>
      <c r="N38" s="21">
        <f t="shared" si="4"/>
        <v>121850000</v>
      </c>
      <c r="O38" s="21" t="s">
        <v>22</v>
      </c>
      <c r="P38" s="13">
        <v>69</v>
      </c>
    </row>
    <row r="39" spans="1:16" ht="15" customHeight="1" x14ac:dyDescent="0.2">
      <c r="A39" s="13" t="s">
        <v>33</v>
      </c>
      <c r="B39" s="41">
        <v>45926.780381944445</v>
      </c>
      <c r="C39" s="13">
        <f t="shared" si="5"/>
        <v>37</v>
      </c>
      <c r="D39" s="13">
        <v>1</v>
      </c>
      <c r="E39" s="13" t="str">
        <f t="shared" si="6"/>
        <v>037</v>
      </c>
      <c r="G39" s="15" t="s">
        <v>1432</v>
      </c>
      <c r="H39" s="13" t="s">
        <v>1525</v>
      </c>
      <c r="I39" s="13">
        <v>112111</v>
      </c>
      <c r="J39" s="13">
        <v>131</v>
      </c>
      <c r="K39" s="13" t="s">
        <v>21</v>
      </c>
      <c r="L39" s="13">
        <v>1</v>
      </c>
      <c r="M39" s="21">
        <v>19161290</v>
      </c>
      <c r="N39" s="21">
        <f t="shared" si="4"/>
        <v>19161290</v>
      </c>
      <c r="O39" s="21" t="s">
        <v>22</v>
      </c>
      <c r="P39" s="13">
        <v>68</v>
      </c>
    </row>
    <row r="40" spans="1:16" ht="15" customHeight="1" x14ac:dyDescent="0.2">
      <c r="A40" s="13" t="s">
        <v>18</v>
      </c>
      <c r="B40" s="41">
        <v>45930</v>
      </c>
      <c r="C40" s="13">
        <f t="shared" si="5"/>
        <v>38</v>
      </c>
      <c r="D40" s="13">
        <v>1</v>
      </c>
      <c r="E40" s="13" t="str">
        <f t="shared" si="6"/>
        <v>038</v>
      </c>
      <c r="G40" s="15" t="s">
        <v>252</v>
      </c>
      <c r="H40" s="13" t="s">
        <v>367</v>
      </c>
      <c r="I40" s="13">
        <v>64271</v>
      </c>
      <c r="J40" s="13">
        <v>3383</v>
      </c>
      <c r="K40" s="13" t="s">
        <v>21</v>
      </c>
      <c r="L40" s="13">
        <v>1</v>
      </c>
      <c r="M40" s="21">
        <v>690300</v>
      </c>
      <c r="N40" s="21">
        <v>690300</v>
      </c>
      <c r="O40" s="21" t="s">
        <v>22</v>
      </c>
      <c r="P40" s="13">
        <v>3</v>
      </c>
    </row>
    <row r="41" spans="1:16" ht="15" customHeight="1" x14ac:dyDescent="0.2">
      <c r="A41" s="13" t="s">
        <v>18</v>
      </c>
      <c r="B41" s="41">
        <v>45930</v>
      </c>
      <c r="C41" s="13">
        <f t="shared" si="5"/>
        <v>39</v>
      </c>
      <c r="D41" s="13">
        <v>1</v>
      </c>
      <c r="E41" s="13" t="str">
        <f t="shared" si="6"/>
        <v>039</v>
      </c>
      <c r="G41" s="15" t="s">
        <v>209</v>
      </c>
      <c r="H41" s="13" t="s">
        <v>1498</v>
      </c>
      <c r="I41" s="13">
        <v>64277</v>
      </c>
      <c r="J41" s="13">
        <v>331</v>
      </c>
      <c r="K41" s="13" t="s">
        <v>21</v>
      </c>
      <c r="L41" s="13">
        <v>1</v>
      </c>
      <c r="M41" s="21">
        <v>2170800</v>
      </c>
      <c r="N41" s="21">
        <f t="shared" ref="N41:N72" si="7">L41*M41</f>
        <v>2170800</v>
      </c>
      <c r="O41" s="21" t="s">
        <v>22</v>
      </c>
      <c r="P41" s="13">
        <v>52</v>
      </c>
    </row>
    <row r="42" spans="1:16" ht="15" customHeight="1" x14ac:dyDescent="0.2">
      <c r="A42" s="13" t="s">
        <v>368</v>
      </c>
      <c r="B42" s="41">
        <v>45930</v>
      </c>
      <c r="C42" s="13">
        <f t="shared" si="5"/>
        <v>40</v>
      </c>
      <c r="D42" s="13">
        <v>1</v>
      </c>
      <c r="E42" s="13" t="str">
        <f t="shared" si="6"/>
        <v>040</v>
      </c>
      <c r="F42" s="13"/>
      <c r="G42" s="15" t="s">
        <v>209</v>
      </c>
      <c r="H42" s="13" t="s">
        <v>1510</v>
      </c>
      <c r="I42" s="13">
        <v>331</v>
      </c>
      <c r="J42" s="13">
        <v>1111</v>
      </c>
      <c r="K42" s="13" t="s">
        <v>21</v>
      </c>
      <c r="L42" s="13">
        <v>1</v>
      </c>
      <c r="M42" s="21">
        <v>2170800</v>
      </c>
      <c r="N42" s="21">
        <f t="shared" si="7"/>
        <v>2170800</v>
      </c>
      <c r="O42" s="21" t="s">
        <v>22</v>
      </c>
      <c r="P42" s="13">
        <v>64</v>
      </c>
    </row>
    <row r="43" spans="1:16" ht="15" customHeight="1" x14ac:dyDescent="0.2">
      <c r="A43" s="13" t="s">
        <v>33</v>
      </c>
      <c r="B43" s="41">
        <v>45930.065729166665</v>
      </c>
      <c r="C43" s="13">
        <f t="shared" si="5"/>
        <v>41</v>
      </c>
      <c r="D43" s="13">
        <v>1</v>
      </c>
      <c r="E43" s="13" t="str">
        <f t="shared" si="6"/>
        <v>041</v>
      </c>
      <c r="G43" s="15" t="s">
        <v>1528</v>
      </c>
      <c r="H43" s="13" t="s">
        <v>129</v>
      </c>
      <c r="I43" s="13">
        <v>112111</v>
      </c>
      <c r="J43" s="13">
        <v>5154</v>
      </c>
      <c r="K43" s="13" t="s">
        <v>21</v>
      </c>
      <c r="L43" s="13">
        <v>1</v>
      </c>
      <c r="M43" s="21">
        <v>8508</v>
      </c>
      <c r="N43" s="21">
        <f t="shared" si="7"/>
        <v>8508</v>
      </c>
      <c r="O43" s="21" t="s">
        <v>22</v>
      </c>
      <c r="P43" s="13">
        <v>67</v>
      </c>
    </row>
    <row r="44" spans="1:16" ht="15" customHeight="1" x14ac:dyDescent="0.2">
      <c r="A44" s="13" t="s">
        <v>33</v>
      </c>
      <c r="B44" s="41">
        <v>45930.437800925924</v>
      </c>
      <c r="C44" s="13">
        <f t="shared" si="5"/>
        <v>42</v>
      </c>
      <c r="D44" s="13">
        <v>1</v>
      </c>
      <c r="E44" s="13" t="str">
        <f t="shared" si="6"/>
        <v>042</v>
      </c>
      <c r="G44" s="15" t="s">
        <v>1235</v>
      </c>
      <c r="H44" s="13" t="s">
        <v>1531</v>
      </c>
      <c r="I44" s="13">
        <v>112111</v>
      </c>
      <c r="J44" s="13">
        <v>3388</v>
      </c>
      <c r="K44" s="13" t="s">
        <v>21</v>
      </c>
      <c r="L44" s="13">
        <v>1</v>
      </c>
      <c r="M44" s="21">
        <v>199000</v>
      </c>
      <c r="N44" s="21">
        <f t="shared" si="7"/>
        <v>199000</v>
      </c>
      <c r="O44" s="21" t="s">
        <v>22</v>
      </c>
      <c r="P44" s="13">
        <v>66</v>
      </c>
    </row>
    <row r="45" spans="1:16" ht="15" customHeight="1" x14ac:dyDescent="0.2">
      <c r="A45" s="13" t="s">
        <v>18</v>
      </c>
      <c r="B45" s="41" t="s">
        <v>1478</v>
      </c>
      <c r="C45" s="13">
        <f t="shared" si="5"/>
        <v>43</v>
      </c>
      <c r="D45" s="13">
        <v>1</v>
      </c>
      <c r="E45" s="13" t="str">
        <f t="shared" si="6"/>
        <v>043</v>
      </c>
      <c r="G45" s="15" t="s">
        <v>1485</v>
      </c>
      <c r="H45" s="13" t="s">
        <v>1493</v>
      </c>
      <c r="I45" s="13">
        <v>64277</v>
      </c>
      <c r="J45" s="13">
        <v>331</v>
      </c>
      <c r="K45" s="13" t="s">
        <v>21</v>
      </c>
      <c r="L45" s="13">
        <v>1</v>
      </c>
      <c r="M45" s="21">
        <v>589680</v>
      </c>
      <c r="N45" s="21">
        <f t="shared" si="7"/>
        <v>589680</v>
      </c>
      <c r="O45" s="21" t="s">
        <v>22</v>
      </c>
      <c r="P45" s="13">
        <v>47</v>
      </c>
    </row>
    <row r="46" spans="1:16" ht="15" customHeight="1" x14ac:dyDescent="0.2">
      <c r="A46" s="13" t="s">
        <v>368</v>
      </c>
      <c r="B46" s="41" t="s">
        <v>1478</v>
      </c>
      <c r="C46" s="13">
        <f t="shared" si="5"/>
        <v>44</v>
      </c>
      <c r="D46" s="13">
        <v>1</v>
      </c>
      <c r="E46" s="13" t="str">
        <f t="shared" si="6"/>
        <v>044</v>
      </c>
      <c r="F46" s="13"/>
      <c r="G46" s="15" t="s">
        <v>1485</v>
      </c>
      <c r="H46" s="13" t="s">
        <v>1505</v>
      </c>
      <c r="I46" s="13">
        <v>331</v>
      </c>
      <c r="J46" s="13">
        <v>1111</v>
      </c>
      <c r="K46" s="13" t="s">
        <v>21</v>
      </c>
      <c r="L46" s="13">
        <v>1</v>
      </c>
      <c r="M46" s="21">
        <v>589680</v>
      </c>
      <c r="N46" s="21">
        <f t="shared" si="7"/>
        <v>589680</v>
      </c>
      <c r="O46" s="21" t="s">
        <v>22</v>
      </c>
      <c r="P46" s="13">
        <v>59</v>
      </c>
    </row>
    <row r="47" spans="1:16" ht="15" customHeight="1" x14ac:dyDescent="0.2">
      <c r="A47" s="13" t="s">
        <v>18</v>
      </c>
      <c r="B47" s="41" t="s">
        <v>1479</v>
      </c>
      <c r="C47" s="13">
        <f t="shared" si="5"/>
        <v>45</v>
      </c>
      <c r="D47" s="13">
        <v>1</v>
      </c>
      <c r="E47" s="13" t="str">
        <f t="shared" si="6"/>
        <v>045</v>
      </c>
      <c r="G47" s="15" t="s">
        <v>1486</v>
      </c>
      <c r="H47" s="13" t="s">
        <v>1494</v>
      </c>
      <c r="I47" s="13">
        <v>64276</v>
      </c>
      <c r="J47" s="13">
        <v>331</v>
      </c>
      <c r="K47" s="13" t="s">
        <v>21</v>
      </c>
      <c r="L47" s="13">
        <v>1</v>
      </c>
      <c r="M47" s="21">
        <v>1750000</v>
      </c>
      <c r="N47" s="21">
        <f t="shared" si="7"/>
        <v>1750000</v>
      </c>
      <c r="O47" s="21" t="s">
        <v>22</v>
      </c>
      <c r="P47" s="13">
        <v>48</v>
      </c>
    </row>
    <row r="48" spans="1:16" ht="15" customHeight="1" x14ac:dyDescent="0.2">
      <c r="A48" s="13" t="s">
        <v>368</v>
      </c>
      <c r="B48" s="41" t="s">
        <v>1479</v>
      </c>
      <c r="C48" s="13">
        <f t="shared" si="5"/>
        <v>46</v>
      </c>
      <c r="D48" s="13">
        <v>1</v>
      </c>
      <c r="E48" s="13" t="str">
        <f t="shared" si="6"/>
        <v>046</v>
      </c>
      <c r="F48" s="13"/>
      <c r="G48" s="15" t="s">
        <v>1486</v>
      </c>
      <c r="H48" s="13" t="s">
        <v>1506</v>
      </c>
      <c r="I48" s="13">
        <v>331</v>
      </c>
      <c r="J48" s="13">
        <v>1111</v>
      </c>
      <c r="K48" s="13" t="s">
        <v>21</v>
      </c>
      <c r="L48" s="13">
        <v>1</v>
      </c>
      <c r="M48" s="21">
        <v>1750000</v>
      </c>
      <c r="N48" s="21">
        <f t="shared" si="7"/>
        <v>1750000</v>
      </c>
      <c r="O48" s="21" t="s">
        <v>22</v>
      </c>
      <c r="P48" s="13">
        <v>60</v>
      </c>
    </row>
    <row r="49" spans="1:16" ht="15" customHeight="1" x14ac:dyDescent="0.2">
      <c r="A49" s="13" t="s">
        <v>18</v>
      </c>
      <c r="B49" s="41" t="s">
        <v>1475</v>
      </c>
      <c r="C49" s="13">
        <f t="shared" si="5"/>
        <v>47</v>
      </c>
      <c r="D49" s="13">
        <v>1</v>
      </c>
      <c r="E49" s="13" t="str">
        <f t="shared" si="6"/>
        <v>047</v>
      </c>
      <c r="G49" s="15" t="s">
        <v>1482</v>
      </c>
      <c r="H49" s="13" t="s">
        <v>1490</v>
      </c>
      <c r="I49" s="13">
        <v>64277</v>
      </c>
      <c r="J49" s="13">
        <v>331</v>
      </c>
      <c r="K49" s="13" t="s">
        <v>21</v>
      </c>
      <c r="L49" s="13">
        <v>1</v>
      </c>
      <c r="M49" s="21">
        <v>3360000</v>
      </c>
      <c r="N49" s="21">
        <f t="shared" si="7"/>
        <v>3360000</v>
      </c>
      <c r="O49" s="21" t="s">
        <v>22</v>
      </c>
      <c r="P49" s="13">
        <v>44</v>
      </c>
    </row>
    <row r="50" spans="1:16" ht="15" customHeight="1" x14ac:dyDescent="0.2">
      <c r="A50" s="13" t="s">
        <v>368</v>
      </c>
      <c r="B50" s="41" t="s">
        <v>1475</v>
      </c>
      <c r="C50" s="13">
        <f t="shared" si="5"/>
        <v>48</v>
      </c>
      <c r="D50" s="13">
        <v>1</v>
      </c>
      <c r="E50" s="13" t="str">
        <f t="shared" si="6"/>
        <v>048</v>
      </c>
      <c r="F50" s="13"/>
      <c r="G50" s="15" t="s">
        <v>1482</v>
      </c>
      <c r="H50" s="13" t="s">
        <v>1502</v>
      </c>
      <c r="I50" s="13">
        <v>331</v>
      </c>
      <c r="J50" s="13">
        <v>1111</v>
      </c>
      <c r="K50" s="13" t="s">
        <v>21</v>
      </c>
      <c r="L50" s="13">
        <v>1</v>
      </c>
      <c r="M50" s="21">
        <v>3360000</v>
      </c>
      <c r="N50" s="21">
        <f t="shared" si="7"/>
        <v>3360000</v>
      </c>
      <c r="O50" s="21" t="s">
        <v>22</v>
      </c>
      <c r="P50" s="13">
        <v>56</v>
      </c>
    </row>
    <row r="51" spans="1:16" ht="15" customHeight="1" x14ac:dyDescent="0.2">
      <c r="A51" s="13" t="s">
        <v>18</v>
      </c>
      <c r="B51" s="41" t="s">
        <v>1480</v>
      </c>
      <c r="C51" s="13">
        <f t="shared" si="5"/>
        <v>49</v>
      </c>
      <c r="D51" s="13">
        <v>1</v>
      </c>
      <c r="E51" s="13" t="str">
        <f t="shared" si="6"/>
        <v>049</v>
      </c>
      <c r="G51" s="15" t="s">
        <v>158</v>
      </c>
      <c r="H51" s="13" t="s">
        <v>1495</v>
      </c>
      <c r="I51" s="13">
        <v>64277</v>
      </c>
      <c r="J51" s="13">
        <v>331</v>
      </c>
      <c r="K51" s="13" t="s">
        <v>21</v>
      </c>
      <c r="L51" s="13">
        <v>1</v>
      </c>
      <c r="M51" s="21">
        <v>3240000</v>
      </c>
      <c r="N51" s="21">
        <f t="shared" si="7"/>
        <v>3240000</v>
      </c>
      <c r="O51" s="21" t="s">
        <v>22</v>
      </c>
      <c r="P51" s="13">
        <v>49</v>
      </c>
    </row>
    <row r="52" spans="1:16" ht="15" customHeight="1" x14ac:dyDescent="0.2">
      <c r="A52" s="13" t="s">
        <v>368</v>
      </c>
      <c r="B52" s="41" t="s">
        <v>1480</v>
      </c>
      <c r="C52" s="13">
        <f t="shared" si="5"/>
        <v>50</v>
      </c>
      <c r="D52" s="13">
        <v>1</v>
      </c>
      <c r="E52" s="13" t="str">
        <f t="shared" si="6"/>
        <v>050</v>
      </c>
      <c r="F52" s="13"/>
      <c r="G52" s="15" t="s">
        <v>158</v>
      </c>
      <c r="H52" s="13" t="s">
        <v>1507</v>
      </c>
      <c r="I52" s="13">
        <v>331</v>
      </c>
      <c r="J52" s="13">
        <v>1111</v>
      </c>
      <c r="K52" s="13" t="s">
        <v>21</v>
      </c>
      <c r="L52" s="13">
        <v>1</v>
      </c>
      <c r="M52" s="21">
        <v>3240000</v>
      </c>
      <c r="N52" s="21">
        <f t="shared" si="7"/>
        <v>3240000</v>
      </c>
      <c r="O52" s="21" t="s">
        <v>22</v>
      </c>
      <c r="P52" s="13">
        <v>61</v>
      </c>
    </row>
    <row r="53" spans="1:16" ht="15" customHeight="1" x14ac:dyDescent="0.2">
      <c r="A53" s="13" t="s">
        <v>18</v>
      </c>
      <c r="B53" s="41" t="s">
        <v>1411</v>
      </c>
      <c r="C53" s="13">
        <f t="shared" si="5"/>
        <v>51</v>
      </c>
      <c r="D53" s="13">
        <v>1</v>
      </c>
      <c r="E53" s="13" t="str">
        <f t="shared" si="6"/>
        <v>051</v>
      </c>
      <c r="G53" s="15" t="s">
        <v>627</v>
      </c>
      <c r="H53" s="13" t="s">
        <v>1438</v>
      </c>
      <c r="I53" s="13">
        <v>131</v>
      </c>
      <c r="J53" s="13">
        <v>5113</v>
      </c>
      <c r="K53" s="13" t="s">
        <v>21</v>
      </c>
      <c r="L53" s="13">
        <v>1</v>
      </c>
      <c r="M53" s="21">
        <v>5376344</v>
      </c>
      <c r="N53" s="21">
        <f t="shared" si="7"/>
        <v>5376344</v>
      </c>
      <c r="O53" s="21" t="s">
        <v>22</v>
      </c>
      <c r="P53" s="13">
        <v>4</v>
      </c>
    </row>
    <row r="54" spans="1:16" ht="15" customHeight="1" x14ac:dyDescent="0.2">
      <c r="A54" s="13" t="s">
        <v>18</v>
      </c>
      <c r="B54" s="41" t="s">
        <v>1411</v>
      </c>
      <c r="C54" s="13">
        <f t="shared" si="5"/>
        <v>52</v>
      </c>
      <c r="D54" s="13">
        <v>1</v>
      </c>
      <c r="E54" s="13" t="str">
        <f t="shared" si="6"/>
        <v>052</v>
      </c>
      <c r="G54" s="15" t="s">
        <v>627</v>
      </c>
      <c r="H54" s="13" t="s">
        <v>1439</v>
      </c>
      <c r="I54" s="13">
        <v>333812</v>
      </c>
      <c r="J54" s="13">
        <v>131</v>
      </c>
      <c r="K54" s="13" t="s">
        <v>21</v>
      </c>
      <c r="L54" s="13">
        <v>1</v>
      </c>
      <c r="M54" s="21">
        <v>53763</v>
      </c>
      <c r="N54" s="21">
        <f t="shared" si="7"/>
        <v>53763</v>
      </c>
      <c r="O54" s="21" t="s">
        <v>22</v>
      </c>
      <c r="P54" s="13">
        <v>5</v>
      </c>
    </row>
    <row r="55" spans="1:16" ht="15" customHeight="1" x14ac:dyDescent="0.2">
      <c r="A55" s="13" t="s">
        <v>18</v>
      </c>
      <c r="B55" s="41" t="s">
        <v>1411</v>
      </c>
      <c r="C55" s="13">
        <f t="shared" si="5"/>
        <v>53</v>
      </c>
      <c r="D55" s="13">
        <v>1</v>
      </c>
      <c r="E55" s="13" t="str">
        <f t="shared" si="6"/>
        <v>053</v>
      </c>
      <c r="G55" s="15" t="s">
        <v>617</v>
      </c>
      <c r="H55" s="13" t="s">
        <v>1440</v>
      </c>
      <c r="I55" s="13">
        <v>131</v>
      </c>
      <c r="J55" s="13">
        <v>5113</v>
      </c>
      <c r="K55" s="13" t="s">
        <v>21</v>
      </c>
      <c r="L55" s="13">
        <v>1</v>
      </c>
      <c r="M55" s="21">
        <v>5376344</v>
      </c>
      <c r="N55" s="21">
        <f t="shared" si="7"/>
        <v>5376344</v>
      </c>
      <c r="O55" s="21" t="s">
        <v>22</v>
      </c>
      <c r="P55" s="13">
        <v>6</v>
      </c>
    </row>
    <row r="56" spans="1:16" ht="15" customHeight="1" x14ac:dyDescent="0.2">
      <c r="A56" s="13" t="s">
        <v>18</v>
      </c>
      <c r="B56" s="41" t="s">
        <v>1411</v>
      </c>
      <c r="C56" s="13">
        <f t="shared" si="5"/>
        <v>54</v>
      </c>
      <c r="D56" s="13">
        <v>1</v>
      </c>
      <c r="E56" s="13" t="str">
        <f t="shared" si="6"/>
        <v>054</v>
      </c>
      <c r="G56" s="15" t="s">
        <v>617</v>
      </c>
      <c r="H56" s="13" t="s">
        <v>1441</v>
      </c>
      <c r="I56" s="13">
        <v>333812</v>
      </c>
      <c r="J56" s="13">
        <v>5113</v>
      </c>
      <c r="K56" s="13" t="s">
        <v>21</v>
      </c>
      <c r="L56" s="13">
        <v>1</v>
      </c>
      <c r="M56" s="21">
        <v>53763</v>
      </c>
      <c r="N56" s="21">
        <f t="shared" si="7"/>
        <v>53763</v>
      </c>
      <c r="O56" s="21" t="s">
        <v>22</v>
      </c>
      <c r="P56" s="13">
        <v>7</v>
      </c>
    </row>
    <row r="57" spans="1:16" ht="15" customHeight="1" x14ac:dyDescent="0.2">
      <c r="A57" s="13" t="s">
        <v>18</v>
      </c>
      <c r="B57" s="41" t="s">
        <v>1419</v>
      </c>
      <c r="C57" s="13">
        <f t="shared" si="5"/>
        <v>55</v>
      </c>
      <c r="D57" s="13">
        <v>1</v>
      </c>
      <c r="E57" s="13" t="str">
        <f t="shared" si="6"/>
        <v>055</v>
      </c>
      <c r="G57" s="15" t="s">
        <v>632</v>
      </c>
      <c r="H57" s="13" t="s">
        <v>1456</v>
      </c>
      <c r="I57" s="13">
        <v>131</v>
      </c>
      <c r="J57" s="13">
        <v>5113</v>
      </c>
      <c r="K57" s="13" t="s">
        <v>21</v>
      </c>
      <c r="L57" s="13">
        <v>1</v>
      </c>
      <c r="M57" s="21">
        <v>5376344</v>
      </c>
      <c r="N57" s="21">
        <f t="shared" si="7"/>
        <v>5376344</v>
      </c>
      <c r="O57" s="21" t="s">
        <v>22</v>
      </c>
      <c r="P57" s="13">
        <v>24</v>
      </c>
    </row>
    <row r="58" spans="1:16" ht="15" customHeight="1" x14ac:dyDescent="0.2">
      <c r="A58" s="13" t="s">
        <v>18</v>
      </c>
      <c r="B58" s="41" t="s">
        <v>1419</v>
      </c>
      <c r="C58" s="13">
        <f t="shared" si="5"/>
        <v>56</v>
      </c>
      <c r="D58" s="13">
        <v>1</v>
      </c>
      <c r="E58" s="13" t="str">
        <f t="shared" si="6"/>
        <v>056</v>
      </c>
      <c r="G58" s="15" t="s">
        <v>632</v>
      </c>
      <c r="H58" s="13" t="s">
        <v>1457</v>
      </c>
      <c r="I58" s="13">
        <v>333812</v>
      </c>
      <c r="J58" s="13">
        <v>5113</v>
      </c>
      <c r="K58" s="13" t="s">
        <v>21</v>
      </c>
      <c r="L58" s="13">
        <v>1</v>
      </c>
      <c r="M58" s="21">
        <v>53763</v>
      </c>
      <c r="N58" s="21">
        <f t="shared" si="7"/>
        <v>53763</v>
      </c>
      <c r="O58" s="21" t="s">
        <v>22</v>
      </c>
      <c r="P58" s="13">
        <v>25</v>
      </c>
    </row>
    <row r="59" spans="1:16" ht="15" customHeight="1" x14ac:dyDescent="0.2">
      <c r="A59" s="13" t="s">
        <v>18</v>
      </c>
      <c r="B59" s="41" t="s">
        <v>1476</v>
      </c>
      <c r="C59" s="13">
        <f t="shared" si="5"/>
        <v>57</v>
      </c>
      <c r="D59" s="13">
        <v>1</v>
      </c>
      <c r="E59" s="13" t="str">
        <f t="shared" si="6"/>
        <v>057</v>
      </c>
      <c r="G59" s="15" t="s">
        <v>1483</v>
      </c>
      <c r="H59" s="13" t="s">
        <v>1491</v>
      </c>
      <c r="I59" s="13">
        <v>64277</v>
      </c>
      <c r="J59" s="13">
        <v>331</v>
      </c>
      <c r="K59" s="13" t="s">
        <v>21</v>
      </c>
      <c r="L59" s="13">
        <v>1</v>
      </c>
      <c r="M59" s="21">
        <v>1497960</v>
      </c>
      <c r="N59" s="21">
        <f t="shared" si="7"/>
        <v>1497960</v>
      </c>
      <c r="O59" s="21" t="s">
        <v>22</v>
      </c>
      <c r="P59" s="13">
        <v>45</v>
      </c>
    </row>
    <row r="60" spans="1:16" ht="15" customHeight="1" x14ac:dyDescent="0.2">
      <c r="A60" s="13" t="s">
        <v>368</v>
      </c>
      <c r="B60" s="41" t="s">
        <v>1476</v>
      </c>
      <c r="C60" s="13">
        <f t="shared" si="5"/>
        <v>58</v>
      </c>
      <c r="D60" s="13">
        <v>1</v>
      </c>
      <c r="E60" s="13" t="str">
        <f t="shared" si="6"/>
        <v>058</v>
      </c>
      <c r="F60" s="13"/>
      <c r="G60" s="15" t="s">
        <v>1483</v>
      </c>
      <c r="H60" s="13" t="s">
        <v>1503</v>
      </c>
      <c r="I60" s="13">
        <v>331</v>
      </c>
      <c r="J60" s="13">
        <v>1111</v>
      </c>
      <c r="K60" s="13" t="s">
        <v>21</v>
      </c>
      <c r="L60" s="13">
        <v>1</v>
      </c>
      <c r="M60" s="21">
        <v>1497960</v>
      </c>
      <c r="N60" s="21">
        <f t="shared" si="7"/>
        <v>1497960</v>
      </c>
      <c r="O60" s="21" t="s">
        <v>22</v>
      </c>
      <c r="P60" s="13">
        <v>57</v>
      </c>
    </row>
    <row r="61" spans="1:16" ht="15" customHeight="1" x14ac:dyDescent="0.2">
      <c r="A61" s="13" t="s">
        <v>18</v>
      </c>
      <c r="B61" s="41" t="s">
        <v>1420</v>
      </c>
      <c r="C61" s="13">
        <f t="shared" si="5"/>
        <v>59</v>
      </c>
      <c r="D61" s="13">
        <v>1</v>
      </c>
      <c r="E61" s="13" t="str">
        <f t="shared" si="6"/>
        <v>059</v>
      </c>
      <c r="G61" s="15" t="s">
        <v>1432</v>
      </c>
      <c r="H61" s="13" t="s">
        <v>1458</v>
      </c>
      <c r="I61" s="13">
        <v>131</v>
      </c>
      <c r="J61" s="13">
        <v>5113</v>
      </c>
      <c r="K61" s="13" t="s">
        <v>21</v>
      </c>
      <c r="L61" s="13">
        <v>1</v>
      </c>
      <c r="M61" s="21">
        <v>19354838</v>
      </c>
      <c r="N61" s="21">
        <f t="shared" si="7"/>
        <v>19354838</v>
      </c>
      <c r="O61" s="21" t="s">
        <v>22</v>
      </c>
      <c r="P61" s="13">
        <v>26</v>
      </c>
    </row>
    <row r="62" spans="1:16" ht="15" customHeight="1" x14ac:dyDescent="0.2">
      <c r="A62" s="13" t="s">
        <v>18</v>
      </c>
      <c r="B62" s="41" t="s">
        <v>1420</v>
      </c>
      <c r="C62" s="13">
        <f t="shared" si="5"/>
        <v>60</v>
      </c>
      <c r="D62" s="13">
        <v>1</v>
      </c>
      <c r="E62" s="13" t="str">
        <f t="shared" si="6"/>
        <v>060</v>
      </c>
      <c r="G62" s="15" t="s">
        <v>1432</v>
      </c>
      <c r="H62" s="13" t="s">
        <v>1459</v>
      </c>
      <c r="I62" s="13">
        <v>333812</v>
      </c>
      <c r="J62" s="13">
        <v>5113</v>
      </c>
      <c r="K62" s="13" t="s">
        <v>21</v>
      </c>
      <c r="L62" s="13">
        <v>1</v>
      </c>
      <c r="M62" s="21">
        <v>193548</v>
      </c>
      <c r="N62" s="21">
        <f t="shared" si="7"/>
        <v>193548</v>
      </c>
      <c r="O62" s="21" t="s">
        <v>22</v>
      </c>
      <c r="P62" s="13">
        <v>27</v>
      </c>
    </row>
    <row r="63" spans="1:16" ht="15" customHeight="1" x14ac:dyDescent="0.2">
      <c r="A63" s="13" t="s">
        <v>18</v>
      </c>
      <c r="B63" s="41" t="s">
        <v>1421</v>
      </c>
      <c r="C63" s="13">
        <f t="shared" si="5"/>
        <v>61</v>
      </c>
      <c r="D63" s="13">
        <v>1</v>
      </c>
      <c r="E63" s="13" t="str">
        <f t="shared" si="6"/>
        <v>061</v>
      </c>
      <c r="G63" s="15" t="s">
        <v>1433</v>
      </c>
      <c r="H63" s="13" t="s">
        <v>1460</v>
      </c>
      <c r="I63" s="13">
        <v>131</v>
      </c>
      <c r="J63" s="13">
        <v>5113</v>
      </c>
      <c r="K63" s="13" t="s">
        <v>21</v>
      </c>
      <c r="L63" s="13">
        <v>1</v>
      </c>
      <c r="M63" s="21">
        <v>24193548</v>
      </c>
      <c r="N63" s="21">
        <f t="shared" si="7"/>
        <v>24193548</v>
      </c>
      <c r="O63" s="21" t="s">
        <v>22</v>
      </c>
      <c r="P63" s="13">
        <v>28</v>
      </c>
    </row>
    <row r="64" spans="1:16" ht="15" customHeight="1" x14ac:dyDescent="0.2">
      <c r="A64" s="13" t="s">
        <v>18</v>
      </c>
      <c r="B64" s="41" t="s">
        <v>1421</v>
      </c>
      <c r="C64" s="13">
        <f t="shared" si="5"/>
        <v>62</v>
      </c>
      <c r="D64" s="13">
        <v>1</v>
      </c>
      <c r="E64" s="13" t="str">
        <f t="shared" si="6"/>
        <v>062</v>
      </c>
      <c r="G64" s="15" t="s">
        <v>1433</v>
      </c>
      <c r="H64" s="13" t="s">
        <v>1461</v>
      </c>
      <c r="I64" s="13">
        <v>333812</v>
      </c>
      <c r="J64" s="13">
        <v>5113</v>
      </c>
      <c r="K64" s="13" t="s">
        <v>21</v>
      </c>
      <c r="L64" s="13">
        <v>1</v>
      </c>
      <c r="M64" s="21">
        <v>241935</v>
      </c>
      <c r="N64" s="21">
        <f t="shared" si="7"/>
        <v>241935</v>
      </c>
      <c r="O64" s="21" t="s">
        <v>22</v>
      </c>
      <c r="P64" s="13">
        <v>29</v>
      </c>
    </row>
    <row r="65" spans="1:16" ht="15" customHeight="1" x14ac:dyDescent="0.2">
      <c r="A65" s="13" t="s">
        <v>18</v>
      </c>
      <c r="B65" s="41" t="s">
        <v>1421</v>
      </c>
      <c r="C65" s="13">
        <f t="shared" si="5"/>
        <v>63</v>
      </c>
      <c r="D65" s="13">
        <v>1</v>
      </c>
      <c r="E65" s="13" t="str">
        <f t="shared" si="6"/>
        <v>063</v>
      </c>
      <c r="G65" s="15" t="s">
        <v>1427</v>
      </c>
      <c r="H65" s="13" t="s">
        <v>1462</v>
      </c>
      <c r="I65" s="13">
        <v>131</v>
      </c>
      <c r="J65" s="13">
        <v>5113</v>
      </c>
      <c r="K65" s="13" t="s">
        <v>21</v>
      </c>
      <c r="L65" s="13">
        <v>1</v>
      </c>
      <c r="M65" s="21">
        <v>5376344</v>
      </c>
      <c r="N65" s="21">
        <f t="shared" si="7"/>
        <v>5376344</v>
      </c>
      <c r="O65" s="21" t="s">
        <v>22</v>
      </c>
      <c r="P65" s="13">
        <v>30</v>
      </c>
    </row>
    <row r="66" spans="1:16" ht="15" customHeight="1" x14ac:dyDescent="0.2">
      <c r="A66" s="13" t="s">
        <v>18</v>
      </c>
      <c r="B66" s="41" t="s">
        <v>1421</v>
      </c>
      <c r="C66" s="13">
        <f t="shared" si="5"/>
        <v>64</v>
      </c>
      <c r="D66" s="13">
        <v>1</v>
      </c>
      <c r="E66" s="13" t="str">
        <f t="shared" si="6"/>
        <v>064</v>
      </c>
      <c r="G66" s="15" t="s">
        <v>1427</v>
      </c>
      <c r="H66" s="13" t="s">
        <v>1463</v>
      </c>
      <c r="I66" s="13">
        <v>333812</v>
      </c>
      <c r="J66" s="13">
        <v>5113</v>
      </c>
      <c r="K66" s="13" t="s">
        <v>21</v>
      </c>
      <c r="L66" s="13">
        <v>1</v>
      </c>
      <c r="M66" s="21">
        <v>53763</v>
      </c>
      <c r="N66" s="21">
        <f t="shared" si="7"/>
        <v>53763</v>
      </c>
      <c r="O66" s="21" t="s">
        <v>22</v>
      </c>
      <c r="P66" s="13">
        <v>31</v>
      </c>
    </row>
    <row r="67" spans="1:16" ht="15" customHeight="1" x14ac:dyDescent="0.2">
      <c r="A67" s="13" t="s">
        <v>18</v>
      </c>
      <c r="B67" s="41" t="s">
        <v>1412</v>
      </c>
      <c r="C67" s="13">
        <f t="shared" si="5"/>
        <v>65</v>
      </c>
      <c r="D67" s="13">
        <v>1</v>
      </c>
      <c r="E67" s="13" t="str">
        <f t="shared" si="6"/>
        <v>065</v>
      </c>
      <c r="G67" s="15" t="s">
        <v>1426</v>
      </c>
      <c r="H67" s="13" t="s">
        <v>1442</v>
      </c>
      <c r="I67" s="13">
        <v>131</v>
      </c>
      <c r="J67" s="13">
        <v>5113</v>
      </c>
      <c r="K67" s="13" t="s">
        <v>21</v>
      </c>
      <c r="L67" s="13">
        <v>1</v>
      </c>
      <c r="M67" s="21">
        <v>19354838</v>
      </c>
      <c r="N67" s="21">
        <f t="shared" si="7"/>
        <v>19354838</v>
      </c>
      <c r="O67" s="21" t="s">
        <v>22</v>
      </c>
      <c r="P67" s="13">
        <v>8</v>
      </c>
    </row>
    <row r="68" spans="1:16" ht="15" customHeight="1" x14ac:dyDescent="0.2">
      <c r="A68" s="13" t="s">
        <v>18</v>
      </c>
      <c r="B68" s="41" t="s">
        <v>1412</v>
      </c>
      <c r="C68" s="13">
        <f t="shared" ref="C68:C99" si="8">C67+D68</f>
        <v>66</v>
      </c>
      <c r="D68" s="13">
        <v>1</v>
      </c>
      <c r="E68" s="13" t="str">
        <f t="shared" ref="E68:E102" si="9">TEXT(C68,"000")</f>
        <v>066</v>
      </c>
      <c r="G68" s="15" t="s">
        <v>1426</v>
      </c>
      <c r="H68" s="13" t="s">
        <v>1443</v>
      </c>
      <c r="I68" s="13">
        <v>333812</v>
      </c>
      <c r="J68" s="13">
        <v>5113</v>
      </c>
      <c r="K68" s="13" t="s">
        <v>21</v>
      </c>
      <c r="L68" s="13">
        <v>1</v>
      </c>
      <c r="M68" s="21">
        <v>193548</v>
      </c>
      <c r="N68" s="21">
        <f t="shared" si="7"/>
        <v>193548</v>
      </c>
      <c r="O68" s="21" t="s">
        <v>22</v>
      </c>
      <c r="P68" s="13">
        <v>9</v>
      </c>
    </row>
    <row r="69" spans="1:16" ht="15" customHeight="1" x14ac:dyDescent="0.2">
      <c r="A69" s="13" t="s">
        <v>18</v>
      </c>
      <c r="B69" s="41" t="s">
        <v>1422</v>
      </c>
      <c r="C69" s="13">
        <f t="shared" si="8"/>
        <v>67</v>
      </c>
      <c r="D69" s="13">
        <v>1</v>
      </c>
      <c r="E69" s="13" t="str">
        <f t="shared" si="9"/>
        <v>067</v>
      </c>
      <c r="G69" s="15" t="s">
        <v>1434</v>
      </c>
      <c r="H69" s="13" t="s">
        <v>1464</v>
      </c>
      <c r="I69" s="13">
        <v>131</v>
      </c>
      <c r="J69" s="13">
        <v>5113</v>
      </c>
      <c r="K69" s="13" t="s">
        <v>21</v>
      </c>
      <c r="L69" s="13">
        <v>1</v>
      </c>
      <c r="M69" s="21">
        <v>16129032</v>
      </c>
      <c r="N69" s="21">
        <f t="shared" si="7"/>
        <v>16129032</v>
      </c>
      <c r="O69" s="21" t="s">
        <v>22</v>
      </c>
      <c r="P69" s="13">
        <v>32</v>
      </c>
    </row>
    <row r="70" spans="1:16" ht="15" customHeight="1" x14ac:dyDescent="0.2">
      <c r="A70" s="13" t="s">
        <v>18</v>
      </c>
      <c r="B70" s="41" t="s">
        <v>1422</v>
      </c>
      <c r="C70" s="13">
        <f t="shared" si="8"/>
        <v>68</v>
      </c>
      <c r="D70" s="13">
        <v>1</v>
      </c>
      <c r="E70" s="13" t="str">
        <f t="shared" si="9"/>
        <v>068</v>
      </c>
      <c r="G70" s="15" t="s">
        <v>1434</v>
      </c>
      <c r="H70" s="13" t="s">
        <v>1465</v>
      </c>
      <c r="I70" s="13">
        <v>333812</v>
      </c>
      <c r="J70" s="13">
        <v>5113</v>
      </c>
      <c r="K70" s="13" t="s">
        <v>21</v>
      </c>
      <c r="L70" s="13">
        <v>1</v>
      </c>
      <c r="M70" s="21">
        <v>161290</v>
      </c>
      <c r="N70" s="21">
        <f t="shared" si="7"/>
        <v>161290</v>
      </c>
      <c r="O70" s="21" t="s">
        <v>22</v>
      </c>
      <c r="P70" s="13">
        <v>33</v>
      </c>
    </row>
    <row r="71" spans="1:16" ht="15" customHeight="1" x14ac:dyDescent="0.2">
      <c r="A71" s="13" t="s">
        <v>18</v>
      </c>
      <c r="B71" s="41" t="s">
        <v>1413</v>
      </c>
      <c r="C71" s="13">
        <f t="shared" si="8"/>
        <v>69</v>
      </c>
      <c r="D71" s="13">
        <v>1</v>
      </c>
      <c r="E71" s="13" t="str">
        <f t="shared" si="9"/>
        <v>069</v>
      </c>
      <c r="G71" s="15" t="s">
        <v>1427</v>
      </c>
      <c r="H71" s="13" t="s">
        <v>1444</v>
      </c>
      <c r="I71" s="13">
        <v>131</v>
      </c>
      <c r="J71" s="13">
        <v>5113</v>
      </c>
      <c r="K71" s="13" t="s">
        <v>21</v>
      </c>
      <c r="L71" s="13">
        <v>1</v>
      </c>
      <c r="M71" s="21">
        <v>5376344</v>
      </c>
      <c r="N71" s="21">
        <f t="shared" si="7"/>
        <v>5376344</v>
      </c>
      <c r="O71" s="21" t="s">
        <v>22</v>
      </c>
      <c r="P71" s="13">
        <v>10</v>
      </c>
    </row>
    <row r="72" spans="1:16" ht="15" customHeight="1" x14ac:dyDescent="0.2">
      <c r="A72" s="13" t="s">
        <v>18</v>
      </c>
      <c r="B72" s="41" t="s">
        <v>1413</v>
      </c>
      <c r="C72" s="13">
        <f t="shared" si="8"/>
        <v>70</v>
      </c>
      <c r="D72" s="13">
        <v>1</v>
      </c>
      <c r="E72" s="13" t="str">
        <f t="shared" si="9"/>
        <v>070</v>
      </c>
      <c r="G72" s="15" t="s">
        <v>1427</v>
      </c>
      <c r="H72" s="13" t="s">
        <v>1445</v>
      </c>
      <c r="I72" s="13">
        <v>333812</v>
      </c>
      <c r="J72" s="13">
        <v>5113</v>
      </c>
      <c r="K72" s="13" t="s">
        <v>21</v>
      </c>
      <c r="L72" s="13">
        <v>1</v>
      </c>
      <c r="M72" s="21">
        <v>53763</v>
      </c>
      <c r="N72" s="21">
        <f t="shared" si="7"/>
        <v>53763</v>
      </c>
      <c r="O72" s="21" t="s">
        <v>22</v>
      </c>
      <c r="P72" s="13">
        <v>11</v>
      </c>
    </row>
    <row r="73" spans="1:16" ht="15" customHeight="1" x14ac:dyDescent="0.2">
      <c r="A73" s="13" t="s">
        <v>18</v>
      </c>
      <c r="B73" s="41" t="s">
        <v>1414</v>
      </c>
      <c r="C73" s="13">
        <f t="shared" si="8"/>
        <v>71</v>
      </c>
      <c r="D73" s="13">
        <v>1</v>
      </c>
      <c r="E73" s="13" t="str">
        <f t="shared" si="9"/>
        <v>071</v>
      </c>
      <c r="G73" s="15" t="s">
        <v>1428</v>
      </c>
      <c r="H73" s="13" t="s">
        <v>1446</v>
      </c>
      <c r="I73" s="13">
        <v>131</v>
      </c>
      <c r="J73" s="13">
        <v>5113</v>
      </c>
      <c r="K73" s="13" t="s">
        <v>21</v>
      </c>
      <c r="L73" s="13">
        <v>1</v>
      </c>
      <c r="M73" s="21">
        <v>16129032</v>
      </c>
      <c r="N73" s="21">
        <f t="shared" ref="N73:N102" si="10">L73*M73</f>
        <v>16129032</v>
      </c>
      <c r="O73" s="21" t="s">
        <v>22</v>
      </c>
      <c r="P73" s="13">
        <v>12</v>
      </c>
    </row>
    <row r="74" spans="1:16" ht="15" customHeight="1" x14ac:dyDescent="0.2">
      <c r="A74" s="13" t="s">
        <v>18</v>
      </c>
      <c r="B74" s="41" t="s">
        <v>1414</v>
      </c>
      <c r="C74" s="13">
        <f t="shared" si="8"/>
        <v>72</v>
      </c>
      <c r="D74" s="13">
        <v>1</v>
      </c>
      <c r="E74" s="13" t="str">
        <f t="shared" si="9"/>
        <v>072</v>
      </c>
      <c r="G74" s="15" t="s">
        <v>1428</v>
      </c>
      <c r="H74" s="13" t="s">
        <v>1447</v>
      </c>
      <c r="I74" s="13">
        <v>333812</v>
      </c>
      <c r="J74" s="13">
        <v>5113</v>
      </c>
      <c r="K74" s="13" t="s">
        <v>21</v>
      </c>
      <c r="L74" s="13">
        <v>1</v>
      </c>
      <c r="M74" s="21">
        <v>161290</v>
      </c>
      <c r="N74" s="21">
        <f t="shared" si="10"/>
        <v>161290</v>
      </c>
      <c r="O74" s="21" t="s">
        <v>22</v>
      </c>
      <c r="P74" s="13">
        <v>13</v>
      </c>
    </row>
    <row r="75" spans="1:16" ht="15" customHeight="1" x14ac:dyDescent="0.2">
      <c r="A75" s="13" t="s">
        <v>18</v>
      </c>
      <c r="B75" s="41" t="s">
        <v>1414</v>
      </c>
      <c r="C75" s="13">
        <f t="shared" si="8"/>
        <v>73</v>
      </c>
      <c r="D75" s="13">
        <v>1</v>
      </c>
      <c r="E75" s="13" t="str">
        <f t="shared" si="9"/>
        <v>073</v>
      </c>
      <c r="G75" s="15" t="s">
        <v>239</v>
      </c>
      <c r="H75" s="13" t="s">
        <v>1520</v>
      </c>
      <c r="I75" s="13">
        <v>131</v>
      </c>
      <c r="J75" s="13">
        <v>5113</v>
      </c>
      <c r="K75" s="13" t="s">
        <v>21</v>
      </c>
      <c r="L75" s="13">
        <v>1</v>
      </c>
      <c r="M75" s="21">
        <v>25806452</v>
      </c>
      <c r="N75" s="21">
        <f t="shared" si="10"/>
        <v>25806452</v>
      </c>
      <c r="O75" s="21" t="s">
        <v>22</v>
      </c>
      <c r="P75" s="13">
        <v>14</v>
      </c>
    </row>
    <row r="76" spans="1:16" ht="15" customHeight="1" x14ac:dyDescent="0.2">
      <c r="A76" s="13" t="s">
        <v>18</v>
      </c>
      <c r="B76" s="41" t="s">
        <v>1414</v>
      </c>
      <c r="C76" s="13">
        <f t="shared" si="8"/>
        <v>74</v>
      </c>
      <c r="D76" s="13">
        <v>1</v>
      </c>
      <c r="E76" s="13" t="str">
        <f t="shared" si="9"/>
        <v>074</v>
      </c>
      <c r="G76" s="15" t="s">
        <v>239</v>
      </c>
      <c r="H76" s="13" t="s">
        <v>1522</v>
      </c>
      <c r="I76" s="13">
        <v>333812</v>
      </c>
      <c r="J76" s="13">
        <v>5113</v>
      </c>
      <c r="K76" s="13" t="s">
        <v>21</v>
      </c>
      <c r="L76" s="13">
        <v>1</v>
      </c>
      <c r="M76" s="21">
        <v>258065</v>
      </c>
      <c r="N76" s="21">
        <f t="shared" si="10"/>
        <v>258065</v>
      </c>
      <c r="O76" s="21" t="s">
        <v>22</v>
      </c>
      <c r="P76" s="13">
        <v>15</v>
      </c>
    </row>
    <row r="77" spans="1:16" ht="15" customHeight="1" x14ac:dyDescent="0.2">
      <c r="A77" s="13" t="s">
        <v>18</v>
      </c>
      <c r="B77" s="41" t="s">
        <v>1481</v>
      </c>
      <c r="C77" s="13">
        <f t="shared" si="8"/>
        <v>75</v>
      </c>
      <c r="D77" s="13">
        <v>1</v>
      </c>
      <c r="E77" s="13" t="str">
        <f t="shared" si="9"/>
        <v>075</v>
      </c>
      <c r="G77" s="15" t="s">
        <v>1487</v>
      </c>
      <c r="H77" s="13" t="s">
        <v>1496</v>
      </c>
      <c r="I77" s="13">
        <v>64276</v>
      </c>
      <c r="J77" s="13">
        <v>331</v>
      </c>
      <c r="K77" s="13" t="s">
        <v>21</v>
      </c>
      <c r="L77" s="13">
        <v>1</v>
      </c>
      <c r="M77" s="21">
        <v>3850000</v>
      </c>
      <c r="N77" s="21">
        <f t="shared" si="10"/>
        <v>3850000</v>
      </c>
      <c r="O77" s="21" t="s">
        <v>22</v>
      </c>
      <c r="P77" s="13">
        <v>50</v>
      </c>
    </row>
    <row r="78" spans="1:16" ht="15" customHeight="1" x14ac:dyDescent="0.2">
      <c r="A78" s="13" t="s">
        <v>18</v>
      </c>
      <c r="B78" s="41" t="s">
        <v>1481</v>
      </c>
      <c r="C78" s="13">
        <f t="shared" si="8"/>
        <v>76</v>
      </c>
      <c r="D78" s="13">
        <v>1</v>
      </c>
      <c r="E78" s="13" t="str">
        <f t="shared" si="9"/>
        <v>076</v>
      </c>
      <c r="G78" s="15" t="s">
        <v>209</v>
      </c>
      <c r="H78" s="13" t="s">
        <v>1497</v>
      </c>
      <c r="I78" s="13">
        <v>64277</v>
      </c>
      <c r="J78" s="13">
        <v>331</v>
      </c>
      <c r="K78" s="13" t="s">
        <v>21</v>
      </c>
      <c r="L78" s="13">
        <v>1</v>
      </c>
      <c r="M78" s="21">
        <v>1063800</v>
      </c>
      <c r="N78" s="21">
        <f t="shared" si="10"/>
        <v>1063800</v>
      </c>
      <c r="O78" s="21" t="s">
        <v>22</v>
      </c>
      <c r="P78" s="13">
        <v>51</v>
      </c>
    </row>
    <row r="79" spans="1:16" ht="15" customHeight="1" x14ac:dyDescent="0.2">
      <c r="A79" s="13" t="s">
        <v>368</v>
      </c>
      <c r="B79" s="41" t="s">
        <v>1481</v>
      </c>
      <c r="C79" s="13">
        <f t="shared" si="8"/>
        <v>77</v>
      </c>
      <c r="D79" s="13">
        <v>1</v>
      </c>
      <c r="E79" s="13" t="str">
        <f t="shared" si="9"/>
        <v>077</v>
      </c>
      <c r="F79" s="13"/>
      <c r="G79" s="15" t="s">
        <v>1487</v>
      </c>
      <c r="H79" s="13" t="s">
        <v>1508</v>
      </c>
      <c r="I79" s="13">
        <v>331</v>
      </c>
      <c r="J79" s="13">
        <v>1111</v>
      </c>
      <c r="K79" s="13" t="s">
        <v>21</v>
      </c>
      <c r="L79" s="13">
        <v>1</v>
      </c>
      <c r="M79" s="21">
        <v>3850000</v>
      </c>
      <c r="N79" s="21">
        <f t="shared" si="10"/>
        <v>3850000</v>
      </c>
      <c r="O79" s="21" t="s">
        <v>22</v>
      </c>
      <c r="P79" s="13">
        <v>62</v>
      </c>
    </row>
    <row r="80" spans="1:16" ht="15" customHeight="1" x14ac:dyDescent="0.2">
      <c r="A80" s="13" t="s">
        <v>368</v>
      </c>
      <c r="B80" s="41" t="s">
        <v>1481</v>
      </c>
      <c r="C80" s="13">
        <f t="shared" si="8"/>
        <v>78</v>
      </c>
      <c r="D80" s="13">
        <v>1</v>
      </c>
      <c r="E80" s="13" t="str">
        <f t="shared" si="9"/>
        <v>078</v>
      </c>
      <c r="F80" s="13"/>
      <c r="G80" s="15" t="s">
        <v>209</v>
      </c>
      <c r="H80" s="13" t="s">
        <v>1509</v>
      </c>
      <c r="I80" s="13">
        <v>331</v>
      </c>
      <c r="J80" s="13">
        <v>1111</v>
      </c>
      <c r="K80" s="13" t="s">
        <v>21</v>
      </c>
      <c r="L80" s="13">
        <v>1</v>
      </c>
      <c r="M80" s="21">
        <v>1063800</v>
      </c>
      <c r="N80" s="21">
        <f t="shared" si="10"/>
        <v>1063800</v>
      </c>
      <c r="O80" s="21" t="s">
        <v>22</v>
      </c>
      <c r="P80" s="13">
        <v>63</v>
      </c>
    </row>
    <row r="81" spans="1:16" ht="15" customHeight="1" x14ac:dyDescent="0.2">
      <c r="A81" s="13" t="s">
        <v>18</v>
      </c>
      <c r="B81" s="41" t="s">
        <v>1477</v>
      </c>
      <c r="C81" s="13">
        <f t="shared" si="8"/>
        <v>79</v>
      </c>
      <c r="D81" s="13">
        <v>1</v>
      </c>
      <c r="E81" s="13" t="str">
        <f t="shared" si="9"/>
        <v>079</v>
      </c>
      <c r="G81" s="15" t="s">
        <v>1484</v>
      </c>
      <c r="H81" s="13" t="s">
        <v>1492</v>
      </c>
      <c r="I81" s="13">
        <v>64277</v>
      </c>
      <c r="J81" s="13">
        <v>331</v>
      </c>
      <c r="K81" s="13" t="s">
        <v>21</v>
      </c>
      <c r="L81" s="13">
        <v>1</v>
      </c>
      <c r="M81" s="21">
        <v>1128600</v>
      </c>
      <c r="N81" s="21">
        <f t="shared" si="10"/>
        <v>1128600</v>
      </c>
      <c r="O81" s="21" t="s">
        <v>22</v>
      </c>
      <c r="P81" s="13">
        <v>46</v>
      </c>
    </row>
    <row r="82" spans="1:16" ht="15" customHeight="1" x14ac:dyDescent="0.2">
      <c r="A82" s="13" t="s">
        <v>368</v>
      </c>
      <c r="B82" s="41" t="s">
        <v>1477</v>
      </c>
      <c r="C82" s="13">
        <f t="shared" si="8"/>
        <v>80</v>
      </c>
      <c r="D82" s="13">
        <v>1</v>
      </c>
      <c r="E82" s="13" t="str">
        <f t="shared" si="9"/>
        <v>080</v>
      </c>
      <c r="F82" s="13"/>
      <c r="G82" s="15" t="s">
        <v>1484</v>
      </c>
      <c r="H82" s="13" t="s">
        <v>1504</v>
      </c>
      <c r="I82" s="13">
        <v>331</v>
      </c>
      <c r="J82" s="13">
        <v>1111</v>
      </c>
      <c r="K82" s="13" t="s">
        <v>21</v>
      </c>
      <c r="L82" s="13">
        <v>1</v>
      </c>
      <c r="M82" s="21">
        <v>1128600</v>
      </c>
      <c r="N82" s="21">
        <f t="shared" si="10"/>
        <v>1128600</v>
      </c>
      <c r="O82" s="21" t="s">
        <v>22</v>
      </c>
      <c r="P82" s="13">
        <v>58</v>
      </c>
    </row>
    <row r="83" spans="1:16" ht="15" customHeight="1" x14ac:dyDescent="0.2">
      <c r="A83" s="13" t="s">
        <v>18</v>
      </c>
      <c r="B83" s="41" t="s">
        <v>1423</v>
      </c>
      <c r="C83" s="13">
        <f t="shared" si="8"/>
        <v>81</v>
      </c>
      <c r="D83" s="13">
        <v>1</v>
      </c>
      <c r="E83" s="13" t="str">
        <f t="shared" si="9"/>
        <v>081</v>
      </c>
      <c r="G83" s="15" t="s">
        <v>1435</v>
      </c>
      <c r="H83" s="13" t="s">
        <v>1466</v>
      </c>
      <c r="I83" s="13">
        <v>131</v>
      </c>
      <c r="J83" s="13">
        <v>5113</v>
      </c>
      <c r="K83" s="13" t="s">
        <v>21</v>
      </c>
      <c r="L83" s="13">
        <v>1</v>
      </c>
      <c r="M83" s="21">
        <v>24731183</v>
      </c>
      <c r="N83" s="21">
        <f t="shared" si="10"/>
        <v>24731183</v>
      </c>
      <c r="O83" s="21" t="s">
        <v>22</v>
      </c>
      <c r="P83" s="13">
        <v>34</v>
      </c>
    </row>
    <row r="84" spans="1:16" ht="15" customHeight="1" x14ac:dyDescent="0.2">
      <c r="A84" s="13" t="s">
        <v>18</v>
      </c>
      <c r="B84" s="41" t="s">
        <v>1423</v>
      </c>
      <c r="C84" s="13">
        <f t="shared" si="8"/>
        <v>82</v>
      </c>
      <c r="D84" s="13">
        <v>1</v>
      </c>
      <c r="E84" s="13" t="str">
        <f t="shared" si="9"/>
        <v>082</v>
      </c>
      <c r="G84" s="15" t="s">
        <v>1435</v>
      </c>
      <c r="H84" s="13" t="s">
        <v>1467</v>
      </c>
      <c r="I84" s="13">
        <v>333812</v>
      </c>
      <c r="J84" s="13">
        <v>5113</v>
      </c>
      <c r="K84" s="13" t="s">
        <v>21</v>
      </c>
      <c r="L84" s="13">
        <v>1</v>
      </c>
      <c r="M84" s="21">
        <v>247312</v>
      </c>
      <c r="N84" s="21">
        <f t="shared" si="10"/>
        <v>247312</v>
      </c>
      <c r="O84" s="21" t="s">
        <v>22</v>
      </c>
      <c r="P84" s="13">
        <v>35</v>
      </c>
    </row>
    <row r="85" spans="1:16" ht="15" customHeight="1" x14ac:dyDescent="0.2">
      <c r="A85" s="13" t="s">
        <v>18</v>
      </c>
      <c r="B85" s="41" t="s">
        <v>1415</v>
      </c>
      <c r="C85" s="13">
        <f t="shared" si="8"/>
        <v>83</v>
      </c>
      <c r="D85" s="13">
        <v>1</v>
      </c>
      <c r="E85" s="13" t="str">
        <f t="shared" si="9"/>
        <v>083</v>
      </c>
      <c r="G85" s="15" t="s">
        <v>627</v>
      </c>
      <c r="H85" s="13" t="s">
        <v>1448</v>
      </c>
      <c r="I85" s="13">
        <v>131</v>
      </c>
      <c r="J85" s="13">
        <v>5113</v>
      </c>
      <c r="K85" s="13" t="s">
        <v>21</v>
      </c>
      <c r="L85" s="13">
        <v>1</v>
      </c>
      <c r="M85" s="21">
        <v>6451613</v>
      </c>
      <c r="N85" s="21">
        <f t="shared" si="10"/>
        <v>6451613</v>
      </c>
      <c r="O85" s="21" t="s">
        <v>22</v>
      </c>
      <c r="P85" s="13">
        <v>16</v>
      </c>
    </row>
    <row r="86" spans="1:16" ht="15" customHeight="1" x14ac:dyDescent="0.2">
      <c r="A86" s="13" t="s">
        <v>18</v>
      </c>
      <c r="B86" s="41" t="s">
        <v>1415</v>
      </c>
      <c r="C86" s="13">
        <f t="shared" si="8"/>
        <v>84</v>
      </c>
      <c r="D86" s="13">
        <v>1</v>
      </c>
      <c r="E86" s="13" t="str">
        <f t="shared" si="9"/>
        <v>084</v>
      </c>
      <c r="G86" s="15" t="s">
        <v>627</v>
      </c>
      <c r="H86" s="13" t="s">
        <v>1449</v>
      </c>
      <c r="I86" s="13">
        <v>333812</v>
      </c>
      <c r="J86" s="13">
        <v>5113</v>
      </c>
      <c r="K86" s="13" t="s">
        <v>21</v>
      </c>
      <c r="L86" s="13">
        <v>1</v>
      </c>
      <c r="M86" s="21">
        <v>64516</v>
      </c>
      <c r="N86" s="21">
        <f t="shared" si="10"/>
        <v>64516</v>
      </c>
      <c r="O86" s="21" t="s">
        <v>22</v>
      </c>
      <c r="P86" s="13">
        <v>17</v>
      </c>
    </row>
    <row r="87" spans="1:16" ht="15" customHeight="1" x14ac:dyDescent="0.2">
      <c r="A87" s="13" t="s">
        <v>18</v>
      </c>
      <c r="B87" s="41" t="s">
        <v>1416</v>
      </c>
      <c r="C87" s="13">
        <f t="shared" si="8"/>
        <v>85</v>
      </c>
      <c r="D87" s="13">
        <v>1</v>
      </c>
      <c r="E87" s="13" t="str">
        <f t="shared" si="9"/>
        <v>085</v>
      </c>
      <c r="G87" s="15" t="s">
        <v>1429</v>
      </c>
      <c r="H87" s="13" t="s">
        <v>1450</v>
      </c>
      <c r="I87" s="13">
        <v>131</v>
      </c>
      <c r="J87" s="13">
        <v>5113</v>
      </c>
      <c r="K87" s="13" t="s">
        <v>21</v>
      </c>
      <c r="L87" s="13">
        <v>1</v>
      </c>
      <c r="M87" s="21">
        <v>16129032</v>
      </c>
      <c r="N87" s="21">
        <f t="shared" si="10"/>
        <v>16129032</v>
      </c>
      <c r="O87" s="21" t="s">
        <v>22</v>
      </c>
      <c r="P87" s="13">
        <v>18</v>
      </c>
    </row>
    <row r="88" spans="1:16" ht="15" customHeight="1" x14ac:dyDescent="0.2">
      <c r="A88" s="13" t="s">
        <v>18</v>
      </c>
      <c r="B88" s="41" t="s">
        <v>1416</v>
      </c>
      <c r="C88" s="13">
        <f t="shared" si="8"/>
        <v>86</v>
      </c>
      <c r="D88" s="13">
        <v>1</v>
      </c>
      <c r="E88" s="13" t="str">
        <f t="shared" si="9"/>
        <v>086</v>
      </c>
      <c r="G88" s="15" t="s">
        <v>1429</v>
      </c>
      <c r="H88" s="13" t="s">
        <v>1451</v>
      </c>
      <c r="I88" s="13">
        <v>333812</v>
      </c>
      <c r="J88" s="13">
        <v>5113</v>
      </c>
      <c r="K88" s="13" t="s">
        <v>21</v>
      </c>
      <c r="L88" s="13">
        <v>1</v>
      </c>
      <c r="M88" s="21">
        <v>161290</v>
      </c>
      <c r="N88" s="21">
        <f t="shared" si="10"/>
        <v>161290</v>
      </c>
      <c r="O88" s="21" t="s">
        <v>22</v>
      </c>
      <c r="P88" s="13">
        <v>19</v>
      </c>
    </row>
    <row r="89" spans="1:16" ht="15" customHeight="1" x14ac:dyDescent="0.2">
      <c r="A89" s="13" t="s">
        <v>18</v>
      </c>
      <c r="B89" s="41" t="s">
        <v>1424</v>
      </c>
      <c r="C89" s="13">
        <f t="shared" si="8"/>
        <v>87</v>
      </c>
      <c r="D89" s="13">
        <v>1</v>
      </c>
      <c r="E89" s="13" t="str">
        <f t="shared" si="9"/>
        <v>087</v>
      </c>
      <c r="G89" s="15" t="s">
        <v>1436</v>
      </c>
      <c r="H89" s="13" t="s">
        <v>1468</v>
      </c>
      <c r="I89" s="13">
        <v>131</v>
      </c>
      <c r="J89" s="13">
        <v>5113</v>
      </c>
      <c r="K89" s="13" t="s">
        <v>21</v>
      </c>
      <c r="L89" s="13">
        <v>1</v>
      </c>
      <c r="M89" s="21">
        <v>21505377</v>
      </c>
      <c r="N89" s="21">
        <f t="shared" si="10"/>
        <v>21505377</v>
      </c>
      <c r="O89" s="21" t="s">
        <v>22</v>
      </c>
      <c r="P89" s="13">
        <v>36</v>
      </c>
    </row>
    <row r="90" spans="1:16" ht="15" customHeight="1" x14ac:dyDescent="0.2">
      <c r="A90" s="13" t="s">
        <v>18</v>
      </c>
      <c r="B90" s="41" t="s">
        <v>1424</v>
      </c>
      <c r="C90" s="13">
        <f t="shared" si="8"/>
        <v>88</v>
      </c>
      <c r="D90" s="13">
        <v>1</v>
      </c>
      <c r="E90" s="13" t="str">
        <f t="shared" si="9"/>
        <v>088</v>
      </c>
      <c r="G90" s="15" t="s">
        <v>1436</v>
      </c>
      <c r="H90" s="13" t="s">
        <v>1469</v>
      </c>
      <c r="I90" s="13">
        <v>333812</v>
      </c>
      <c r="J90" s="13">
        <v>5113</v>
      </c>
      <c r="K90" s="13" t="s">
        <v>21</v>
      </c>
      <c r="L90" s="13">
        <v>1</v>
      </c>
      <c r="M90" s="21">
        <v>215054</v>
      </c>
      <c r="N90" s="21">
        <f t="shared" si="10"/>
        <v>215054</v>
      </c>
      <c r="O90" s="21" t="s">
        <v>22</v>
      </c>
      <c r="P90" s="13">
        <v>37</v>
      </c>
    </row>
    <row r="91" spans="1:16" ht="15" customHeight="1" x14ac:dyDescent="0.2">
      <c r="A91" s="13" t="s">
        <v>18</v>
      </c>
      <c r="B91" s="41" t="s">
        <v>1424</v>
      </c>
      <c r="C91" s="13">
        <f t="shared" si="8"/>
        <v>89</v>
      </c>
      <c r="D91" s="13">
        <v>1</v>
      </c>
      <c r="E91" s="13" t="str">
        <f t="shared" si="9"/>
        <v>089</v>
      </c>
      <c r="G91" s="15" t="s">
        <v>1430</v>
      </c>
      <c r="H91" s="13" t="s">
        <v>1470</v>
      </c>
      <c r="I91" s="13">
        <v>131</v>
      </c>
      <c r="J91" s="13">
        <v>5113</v>
      </c>
      <c r="K91" s="13" t="s">
        <v>21</v>
      </c>
      <c r="L91" s="13">
        <v>1</v>
      </c>
      <c r="M91" s="21">
        <v>19354838</v>
      </c>
      <c r="N91" s="21">
        <f t="shared" si="10"/>
        <v>19354838</v>
      </c>
      <c r="O91" s="21" t="s">
        <v>22</v>
      </c>
      <c r="P91" s="13">
        <v>38</v>
      </c>
    </row>
    <row r="92" spans="1:16" ht="15" customHeight="1" x14ac:dyDescent="0.2">
      <c r="A92" s="13" t="s">
        <v>18</v>
      </c>
      <c r="B92" s="41" t="s">
        <v>1424</v>
      </c>
      <c r="C92" s="13">
        <f t="shared" si="8"/>
        <v>90</v>
      </c>
      <c r="D92" s="13">
        <v>1</v>
      </c>
      <c r="E92" s="13" t="str">
        <f t="shared" si="9"/>
        <v>090</v>
      </c>
      <c r="G92" s="15" t="s">
        <v>1430</v>
      </c>
      <c r="H92" s="13" t="s">
        <v>1471</v>
      </c>
      <c r="I92" s="13">
        <v>333812</v>
      </c>
      <c r="J92" s="13">
        <v>5113</v>
      </c>
      <c r="K92" s="13" t="s">
        <v>21</v>
      </c>
      <c r="L92" s="13">
        <v>1</v>
      </c>
      <c r="M92" s="21">
        <v>193548</v>
      </c>
      <c r="N92" s="21">
        <f t="shared" si="10"/>
        <v>193548</v>
      </c>
      <c r="O92" s="21" t="s">
        <v>22</v>
      </c>
      <c r="P92" s="13">
        <v>39</v>
      </c>
    </row>
    <row r="93" spans="1:16" ht="15" customHeight="1" x14ac:dyDescent="0.2">
      <c r="A93" s="13" t="s">
        <v>18</v>
      </c>
      <c r="B93" s="41" t="s">
        <v>1417</v>
      </c>
      <c r="C93" s="13">
        <f t="shared" si="8"/>
        <v>91</v>
      </c>
      <c r="D93" s="13">
        <v>1</v>
      </c>
      <c r="E93" s="13" t="str">
        <f t="shared" si="9"/>
        <v>091</v>
      </c>
      <c r="G93" s="15" t="s">
        <v>1430</v>
      </c>
      <c r="H93" s="13" t="s">
        <v>1452</v>
      </c>
      <c r="I93" s="13">
        <v>131</v>
      </c>
      <c r="J93" s="13">
        <v>5113</v>
      </c>
      <c r="K93" s="13" t="s">
        <v>21</v>
      </c>
      <c r="L93" s="13">
        <v>1</v>
      </c>
      <c r="M93" s="21">
        <v>16129032</v>
      </c>
      <c r="N93" s="21">
        <f t="shared" si="10"/>
        <v>16129032</v>
      </c>
      <c r="O93" s="21" t="s">
        <v>22</v>
      </c>
      <c r="P93" s="13">
        <v>20</v>
      </c>
    </row>
    <row r="94" spans="1:16" ht="15" customHeight="1" x14ac:dyDescent="0.2">
      <c r="A94" s="13" t="s">
        <v>18</v>
      </c>
      <c r="B94" s="41" t="s">
        <v>1417</v>
      </c>
      <c r="C94" s="13">
        <f t="shared" si="8"/>
        <v>92</v>
      </c>
      <c r="D94" s="13">
        <v>1</v>
      </c>
      <c r="E94" s="13" t="str">
        <f t="shared" si="9"/>
        <v>092</v>
      </c>
      <c r="G94" s="15" t="s">
        <v>1430</v>
      </c>
      <c r="H94" s="13" t="s">
        <v>1453</v>
      </c>
      <c r="I94" s="13">
        <v>333812</v>
      </c>
      <c r="J94" s="13">
        <v>5113</v>
      </c>
      <c r="K94" s="13" t="s">
        <v>21</v>
      </c>
      <c r="L94" s="13">
        <v>1</v>
      </c>
      <c r="M94" s="21">
        <v>161290</v>
      </c>
      <c r="N94" s="21">
        <f t="shared" si="10"/>
        <v>161290</v>
      </c>
      <c r="O94" s="21" t="s">
        <v>22</v>
      </c>
      <c r="P94" s="13">
        <v>21</v>
      </c>
    </row>
    <row r="95" spans="1:16" ht="15" customHeight="1" x14ac:dyDescent="0.2">
      <c r="A95" s="13" t="s">
        <v>18</v>
      </c>
      <c r="B95" s="41" t="s">
        <v>1425</v>
      </c>
      <c r="C95" s="13">
        <f t="shared" si="8"/>
        <v>93</v>
      </c>
      <c r="D95" s="13">
        <v>1</v>
      </c>
      <c r="E95" s="13" t="str">
        <f t="shared" si="9"/>
        <v>093</v>
      </c>
      <c r="G95" s="15" t="s">
        <v>1437</v>
      </c>
      <c r="H95" s="13" t="s">
        <v>1472</v>
      </c>
      <c r="I95" s="13">
        <v>131</v>
      </c>
      <c r="J95" s="13">
        <v>5113</v>
      </c>
      <c r="K95" s="13" t="s">
        <v>21</v>
      </c>
      <c r="L95" s="13">
        <v>1</v>
      </c>
      <c r="M95" s="21">
        <v>21505376</v>
      </c>
      <c r="N95" s="21">
        <f t="shared" si="10"/>
        <v>21505376</v>
      </c>
      <c r="O95" s="21" t="s">
        <v>22</v>
      </c>
      <c r="P95" s="13">
        <v>40</v>
      </c>
    </row>
    <row r="96" spans="1:16" ht="15" customHeight="1" x14ac:dyDescent="0.2">
      <c r="A96" s="13" t="s">
        <v>18</v>
      </c>
      <c r="B96" s="41" t="s">
        <v>1425</v>
      </c>
      <c r="C96" s="13">
        <f t="shared" si="8"/>
        <v>94</v>
      </c>
      <c r="D96" s="13">
        <v>1</v>
      </c>
      <c r="E96" s="13" t="str">
        <f t="shared" si="9"/>
        <v>094</v>
      </c>
      <c r="G96" s="15" t="s">
        <v>1437</v>
      </c>
      <c r="H96" s="13" t="s">
        <v>1473</v>
      </c>
      <c r="I96" s="13">
        <v>333812</v>
      </c>
      <c r="J96" s="13">
        <v>5113</v>
      </c>
      <c r="K96" s="13" t="s">
        <v>21</v>
      </c>
      <c r="L96" s="13">
        <v>1</v>
      </c>
      <c r="M96" s="21">
        <v>215054</v>
      </c>
      <c r="N96" s="21">
        <f t="shared" si="10"/>
        <v>215054</v>
      </c>
      <c r="O96" s="21" t="s">
        <v>22</v>
      </c>
      <c r="P96" s="13">
        <v>41</v>
      </c>
    </row>
    <row r="97" spans="1:16" ht="15" customHeight="1" x14ac:dyDescent="0.2">
      <c r="A97" s="13" t="s">
        <v>18</v>
      </c>
      <c r="B97" s="41" t="s">
        <v>1474</v>
      </c>
      <c r="C97" s="13">
        <f t="shared" si="8"/>
        <v>95</v>
      </c>
      <c r="D97" s="13">
        <v>1</v>
      </c>
      <c r="E97" s="13" t="str">
        <f t="shared" si="9"/>
        <v>095</v>
      </c>
      <c r="G97" s="15" t="s">
        <v>695</v>
      </c>
      <c r="H97" s="13" t="s">
        <v>1489</v>
      </c>
      <c r="I97" s="13">
        <v>64277</v>
      </c>
      <c r="J97" s="13">
        <v>331</v>
      </c>
      <c r="K97" s="13" t="s">
        <v>21</v>
      </c>
      <c r="L97" s="13">
        <v>1</v>
      </c>
      <c r="M97" s="21">
        <v>99000</v>
      </c>
      <c r="N97" s="21">
        <f t="shared" si="10"/>
        <v>99000</v>
      </c>
      <c r="O97" s="21" t="s">
        <v>22</v>
      </c>
      <c r="P97" s="13">
        <v>42</v>
      </c>
    </row>
    <row r="98" spans="1:16" ht="15" customHeight="1" x14ac:dyDescent="0.2">
      <c r="A98" s="13" t="s">
        <v>18</v>
      </c>
      <c r="B98" s="41" t="s">
        <v>1474</v>
      </c>
      <c r="C98" s="13">
        <f t="shared" si="8"/>
        <v>96</v>
      </c>
      <c r="D98" s="13">
        <v>1</v>
      </c>
      <c r="E98" s="13" t="str">
        <f t="shared" si="9"/>
        <v>096</v>
      </c>
      <c r="G98" s="15" t="s">
        <v>695</v>
      </c>
      <c r="H98" s="13" t="s">
        <v>1488</v>
      </c>
      <c r="I98" s="13">
        <v>64277</v>
      </c>
      <c r="J98" s="13">
        <v>331</v>
      </c>
      <c r="K98" s="13" t="s">
        <v>21</v>
      </c>
      <c r="L98" s="13">
        <v>1</v>
      </c>
      <c r="M98" s="21">
        <v>1662120</v>
      </c>
      <c r="N98" s="21">
        <f t="shared" si="10"/>
        <v>1662120</v>
      </c>
      <c r="O98" s="21" t="s">
        <v>22</v>
      </c>
      <c r="P98" s="13">
        <v>43</v>
      </c>
    </row>
    <row r="99" spans="1:16" ht="15" customHeight="1" x14ac:dyDescent="0.2">
      <c r="A99" s="13" t="s">
        <v>368</v>
      </c>
      <c r="B99" s="41" t="s">
        <v>1474</v>
      </c>
      <c r="C99" s="13">
        <f t="shared" si="8"/>
        <v>97</v>
      </c>
      <c r="D99" s="13">
        <v>1</v>
      </c>
      <c r="E99" s="13" t="str">
        <f t="shared" si="9"/>
        <v>097</v>
      </c>
      <c r="F99" s="13"/>
      <c r="G99" s="15" t="s">
        <v>695</v>
      </c>
      <c r="H99" s="13" t="s">
        <v>1500</v>
      </c>
      <c r="I99" s="13">
        <v>331</v>
      </c>
      <c r="J99" s="13">
        <v>1111</v>
      </c>
      <c r="K99" s="13" t="s">
        <v>21</v>
      </c>
      <c r="L99" s="13">
        <v>1</v>
      </c>
      <c r="M99" s="21">
        <v>99000</v>
      </c>
      <c r="N99" s="21">
        <f t="shared" si="10"/>
        <v>99000</v>
      </c>
      <c r="O99" s="21" t="s">
        <v>22</v>
      </c>
      <c r="P99" s="13">
        <v>54</v>
      </c>
    </row>
    <row r="100" spans="1:16" ht="15" customHeight="1" x14ac:dyDescent="0.2">
      <c r="A100" s="13" t="s">
        <v>368</v>
      </c>
      <c r="B100" s="41" t="s">
        <v>1474</v>
      </c>
      <c r="C100" s="13">
        <f t="shared" ref="C100:C102" si="11">C99+D100</f>
        <v>98</v>
      </c>
      <c r="D100" s="13">
        <v>1</v>
      </c>
      <c r="E100" s="13" t="str">
        <f t="shared" si="9"/>
        <v>098</v>
      </c>
      <c r="F100" s="13"/>
      <c r="G100" s="15" t="s">
        <v>695</v>
      </c>
      <c r="H100" s="13" t="s">
        <v>1501</v>
      </c>
      <c r="I100" s="13">
        <v>331</v>
      </c>
      <c r="J100" s="13">
        <v>1111</v>
      </c>
      <c r="K100" s="13" t="s">
        <v>21</v>
      </c>
      <c r="L100" s="13">
        <v>1</v>
      </c>
      <c r="M100" s="21">
        <v>1662120</v>
      </c>
      <c r="N100" s="21">
        <f t="shared" si="10"/>
        <v>1662120</v>
      </c>
      <c r="O100" s="21" t="s">
        <v>22</v>
      </c>
      <c r="P100" s="13">
        <v>55</v>
      </c>
    </row>
    <row r="101" spans="1:16" ht="15" customHeight="1" x14ac:dyDescent="0.2">
      <c r="A101" s="13" t="s">
        <v>18</v>
      </c>
      <c r="B101" s="41" t="s">
        <v>1418</v>
      </c>
      <c r="C101" s="13">
        <f t="shared" si="11"/>
        <v>99</v>
      </c>
      <c r="D101" s="13">
        <v>1</v>
      </c>
      <c r="E101" s="13" t="str">
        <f t="shared" si="9"/>
        <v>099</v>
      </c>
      <c r="G101" s="15" t="s">
        <v>1431</v>
      </c>
      <c r="H101" s="13" t="s">
        <v>1454</v>
      </c>
      <c r="I101" s="13">
        <v>131</v>
      </c>
      <c r="J101" s="13">
        <v>5113</v>
      </c>
      <c r="K101" s="13" t="s">
        <v>21</v>
      </c>
      <c r="L101" s="13">
        <v>1</v>
      </c>
      <c r="M101" s="21">
        <v>24731183</v>
      </c>
      <c r="N101" s="21">
        <f t="shared" si="10"/>
        <v>24731183</v>
      </c>
      <c r="O101" s="21" t="s">
        <v>22</v>
      </c>
      <c r="P101" s="13">
        <v>22</v>
      </c>
    </row>
    <row r="102" spans="1:16" ht="15" customHeight="1" x14ac:dyDescent="0.2">
      <c r="A102" s="13" t="s">
        <v>18</v>
      </c>
      <c r="B102" s="41" t="s">
        <v>1418</v>
      </c>
      <c r="C102" s="13">
        <f t="shared" si="11"/>
        <v>100</v>
      </c>
      <c r="D102" s="13">
        <v>1</v>
      </c>
      <c r="E102" s="13" t="str">
        <f t="shared" si="9"/>
        <v>100</v>
      </c>
      <c r="G102" s="15" t="s">
        <v>1431</v>
      </c>
      <c r="H102" s="13" t="s">
        <v>1455</v>
      </c>
      <c r="I102" s="13">
        <v>333812</v>
      </c>
      <c r="J102" s="13">
        <v>5113</v>
      </c>
      <c r="K102" s="13" t="s">
        <v>21</v>
      </c>
      <c r="L102" s="13">
        <v>1</v>
      </c>
      <c r="M102" s="21">
        <v>247312</v>
      </c>
      <c r="N102" s="21">
        <f t="shared" si="10"/>
        <v>247312</v>
      </c>
      <c r="O102" s="21" t="s">
        <v>22</v>
      </c>
      <c r="P102" s="13">
        <v>23</v>
      </c>
    </row>
  </sheetData>
  <autoFilter ref="A3:P102" xr:uid="{00000000-0009-0000-0000-000005000000}">
    <sortState xmlns:xlrd2="http://schemas.microsoft.com/office/spreadsheetml/2017/richdata2" ref="A4:P102">
      <sortCondition ref="B3:B102"/>
    </sortState>
  </autoFilter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25"/>
  <sheetViews>
    <sheetView topLeftCell="A99" workbookViewId="0">
      <selection activeCell="G108" sqref="G108:J109"/>
    </sheetView>
  </sheetViews>
  <sheetFormatPr defaultRowHeight="15" customHeight="1" x14ac:dyDescent="0.2"/>
  <cols>
    <col min="1" max="1" width="9.140625" style="13"/>
    <col min="2" max="2" width="10.7109375" style="14" bestFit="1" customWidth="1"/>
    <col min="3" max="4" width="9.140625" style="13"/>
    <col min="5" max="5" width="13.5703125" style="13" customWidth="1"/>
    <col min="6" max="6" width="9.140625" style="13"/>
    <col min="7" max="7" width="12.7109375" style="15" bestFit="1" customWidth="1"/>
    <col min="8" max="8" width="48.42578125" style="13" customWidth="1"/>
    <col min="9" max="12" width="9.140625" style="13"/>
    <col min="13" max="13" width="12" style="21" bestFit="1" customWidth="1"/>
    <col min="14" max="14" width="9.5703125" style="21" bestFit="1" customWidth="1"/>
    <col min="15" max="19" width="9.140625" style="13"/>
    <col min="20" max="20" width="15.42578125" style="13" bestFit="1" customWidth="1"/>
    <col min="21" max="21" width="16.140625" style="13" bestFit="1" customWidth="1"/>
    <col min="22" max="22" width="7.85546875" style="13" customWidth="1"/>
    <col min="23" max="23" width="12.5703125" style="13" bestFit="1" customWidth="1"/>
    <col min="24" max="24" width="18.28515625" style="13" bestFit="1" customWidth="1"/>
    <col min="25" max="25" width="18.5703125" style="13" bestFit="1" customWidth="1"/>
    <col min="26" max="16384" width="9.140625" style="13"/>
  </cols>
  <sheetData>
    <row r="1" spans="1:25" ht="15" customHeight="1" thickBot="1" x14ac:dyDescent="0.25">
      <c r="A1" s="164" t="s">
        <v>0</v>
      </c>
      <c r="B1" s="173" t="s">
        <v>1</v>
      </c>
      <c r="C1" s="164" t="s">
        <v>2</v>
      </c>
      <c r="D1" s="170" t="s">
        <v>3</v>
      </c>
      <c r="E1" s="170" t="s">
        <v>4</v>
      </c>
      <c r="F1" s="170" t="s">
        <v>5</v>
      </c>
      <c r="G1" s="158" t="s">
        <v>6</v>
      </c>
      <c r="H1" s="160" t="s">
        <v>7</v>
      </c>
      <c r="I1" s="162" t="s">
        <v>8</v>
      </c>
      <c r="J1" s="163"/>
      <c r="K1" s="164" t="s">
        <v>9</v>
      </c>
      <c r="L1" s="164" t="s">
        <v>10</v>
      </c>
      <c r="M1" s="156" t="s">
        <v>1287</v>
      </c>
      <c r="N1" s="156" t="s">
        <v>1288</v>
      </c>
      <c r="O1" s="55" t="s">
        <v>1289</v>
      </c>
      <c r="P1" s="46"/>
    </row>
    <row r="2" spans="1:25" ht="15" customHeight="1" thickBot="1" x14ac:dyDescent="0.25">
      <c r="A2" s="165"/>
      <c r="B2" s="174"/>
      <c r="C2" s="165"/>
      <c r="D2" s="171"/>
      <c r="E2" s="171"/>
      <c r="F2" s="172"/>
      <c r="G2" s="159"/>
      <c r="H2" s="161"/>
      <c r="I2" s="56" t="s">
        <v>13</v>
      </c>
      <c r="J2" s="57" t="s">
        <v>14</v>
      </c>
      <c r="K2" s="165"/>
      <c r="L2" s="165"/>
      <c r="M2" s="157"/>
      <c r="N2" s="157"/>
      <c r="O2" s="46" t="s">
        <v>1289</v>
      </c>
      <c r="P2" s="46"/>
      <c r="T2" s="69" t="s">
        <v>6</v>
      </c>
      <c r="U2" s="70" t="s">
        <v>1580</v>
      </c>
      <c r="V2" s="71" t="s">
        <v>1581</v>
      </c>
      <c r="W2" s="72" t="s">
        <v>1582</v>
      </c>
      <c r="X2" s="70" t="s">
        <v>1583</v>
      </c>
      <c r="Y2" s="70" t="s">
        <v>1584</v>
      </c>
    </row>
    <row r="3" spans="1:25" ht="15" customHeight="1" x14ac:dyDescent="0.2">
      <c r="A3" s="58"/>
      <c r="B3" s="59"/>
      <c r="C3" s="58">
        <v>17</v>
      </c>
      <c r="D3" s="60"/>
      <c r="E3" s="60"/>
      <c r="F3" s="60"/>
      <c r="G3" s="62" t="s">
        <v>15</v>
      </c>
      <c r="H3" s="63"/>
      <c r="I3" s="63"/>
      <c r="J3" s="63"/>
      <c r="K3" s="58"/>
      <c r="L3" s="58"/>
      <c r="M3" s="64"/>
      <c r="N3" s="64"/>
      <c r="O3" s="46" t="s">
        <v>16</v>
      </c>
      <c r="P3" s="46" t="s">
        <v>17</v>
      </c>
      <c r="T3" s="73" t="s">
        <v>1235</v>
      </c>
      <c r="U3" s="74" t="s">
        <v>1585</v>
      </c>
      <c r="V3" s="75" t="s">
        <v>1586</v>
      </c>
      <c r="W3" s="73" t="s">
        <v>1586</v>
      </c>
      <c r="X3" s="74" t="s">
        <v>1587</v>
      </c>
      <c r="Y3" s="76" t="s">
        <v>1588</v>
      </c>
    </row>
    <row r="4" spans="1:25" ht="15" customHeight="1" x14ac:dyDescent="0.2">
      <c r="A4" s="46" t="s">
        <v>18</v>
      </c>
      <c r="B4" s="47">
        <v>45846</v>
      </c>
      <c r="C4" s="46">
        <f>C3+D4</f>
        <v>18</v>
      </c>
      <c r="D4" s="46">
        <v>1</v>
      </c>
      <c r="E4" s="46"/>
      <c r="F4" s="46"/>
      <c r="G4" s="66" t="s">
        <v>158</v>
      </c>
      <c r="H4" s="46" t="s">
        <v>1290</v>
      </c>
      <c r="I4" s="46">
        <v>64277</v>
      </c>
      <c r="J4" s="46">
        <v>331</v>
      </c>
      <c r="K4" s="46" t="s">
        <v>21</v>
      </c>
      <c r="L4" s="46">
        <v>1</v>
      </c>
      <c r="M4" s="67">
        <v>3240000</v>
      </c>
      <c r="N4" s="67">
        <f>L4*M4</f>
        <v>3240000</v>
      </c>
      <c r="O4" s="46" t="s">
        <v>22</v>
      </c>
      <c r="P4" s="46">
        <v>1</v>
      </c>
      <c r="T4" s="73" t="s">
        <v>252</v>
      </c>
      <c r="U4" s="74" t="s">
        <v>1589</v>
      </c>
      <c r="V4" s="75" t="s">
        <v>1586</v>
      </c>
      <c r="W4" s="73" t="s">
        <v>1586</v>
      </c>
      <c r="X4" s="74" t="s">
        <v>1587</v>
      </c>
      <c r="Y4" s="76" t="s">
        <v>1588</v>
      </c>
    </row>
    <row r="5" spans="1:25" ht="15" customHeight="1" x14ac:dyDescent="0.2">
      <c r="A5" s="46" t="s">
        <v>18</v>
      </c>
      <c r="B5" s="47">
        <v>45847</v>
      </c>
      <c r="C5" s="46">
        <f t="shared" ref="C5:C68" si="0">C4+D5</f>
        <v>19</v>
      </c>
      <c r="D5" s="46">
        <v>1</v>
      </c>
      <c r="E5" s="46"/>
      <c r="F5" s="46"/>
      <c r="G5" s="66" t="s">
        <v>1568</v>
      </c>
      <c r="H5" s="46" t="s">
        <v>1291</v>
      </c>
      <c r="I5" s="46">
        <v>64277</v>
      </c>
      <c r="J5" s="46">
        <v>331</v>
      </c>
      <c r="K5" s="46" t="s">
        <v>21</v>
      </c>
      <c r="L5" s="46">
        <v>1</v>
      </c>
      <c r="M5" s="67">
        <v>4330000</v>
      </c>
      <c r="N5" s="67">
        <f t="shared" ref="N5:N55" si="1">L5*M5</f>
        <v>4330000</v>
      </c>
      <c r="O5" s="46" t="s">
        <v>22</v>
      </c>
      <c r="P5" s="46">
        <v>2</v>
      </c>
      <c r="T5" s="73" t="s">
        <v>1590</v>
      </c>
      <c r="U5" s="74" t="s">
        <v>1591</v>
      </c>
      <c r="V5" s="75" t="s">
        <v>1586</v>
      </c>
      <c r="W5" s="73" t="s">
        <v>1590</v>
      </c>
      <c r="X5" s="74" t="s">
        <v>1587</v>
      </c>
      <c r="Y5" s="76" t="s">
        <v>1588</v>
      </c>
    </row>
    <row r="6" spans="1:25" ht="15" customHeight="1" x14ac:dyDescent="0.2">
      <c r="A6" s="46" t="s">
        <v>18</v>
      </c>
      <c r="B6" s="47">
        <v>45867</v>
      </c>
      <c r="C6" s="46">
        <f t="shared" si="0"/>
        <v>20</v>
      </c>
      <c r="D6" s="46">
        <v>1</v>
      </c>
      <c r="E6" s="46"/>
      <c r="F6" s="46"/>
      <c r="G6" s="66" t="s">
        <v>1569</v>
      </c>
      <c r="H6" s="46" t="s">
        <v>1292</v>
      </c>
      <c r="I6" s="46">
        <v>64277</v>
      </c>
      <c r="J6" s="46">
        <v>331</v>
      </c>
      <c r="K6" s="46" t="s">
        <v>21</v>
      </c>
      <c r="L6" s="46">
        <v>1</v>
      </c>
      <c r="M6" s="67">
        <v>20000</v>
      </c>
      <c r="N6" s="67">
        <f t="shared" si="1"/>
        <v>20000</v>
      </c>
      <c r="O6" s="46" t="s">
        <v>22</v>
      </c>
      <c r="P6" s="46">
        <v>3</v>
      </c>
      <c r="T6" s="73" t="s">
        <v>1592</v>
      </c>
      <c r="U6" s="74" t="s">
        <v>1593</v>
      </c>
      <c r="V6" s="75" t="s">
        <v>1586</v>
      </c>
      <c r="W6" s="73" t="s">
        <v>1592</v>
      </c>
      <c r="X6" s="74" t="s">
        <v>1587</v>
      </c>
      <c r="Y6" s="76" t="s">
        <v>1588</v>
      </c>
    </row>
    <row r="7" spans="1:25" ht="15" customHeight="1" x14ac:dyDescent="0.2">
      <c r="A7" s="46" t="s">
        <v>18</v>
      </c>
      <c r="B7" s="47">
        <v>45870</v>
      </c>
      <c r="C7" s="46">
        <f t="shared" si="0"/>
        <v>21</v>
      </c>
      <c r="D7" s="46">
        <v>1</v>
      </c>
      <c r="E7" s="46"/>
      <c r="F7" s="46"/>
      <c r="G7" s="66" t="s">
        <v>209</v>
      </c>
      <c r="H7" s="46" t="s">
        <v>1293</v>
      </c>
      <c r="I7" s="46">
        <v>64277</v>
      </c>
      <c r="J7" s="46">
        <v>331</v>
      </c>
      <c r="K7" s="46" t="s">
        <v>21</v>
      </c>
      <c r="L7" s="46">
        <v>1</v>
      </c>
      <c r="M7" s="67">
        <v>745200</v>
      </c>
      <c r="N7" s="67">
        <f t="shared" si="1"/>
        <v>745200</v>
      </c>
      <c r="O7" s="46" t="s">
        <v>22</v>
      </c>
      <c r="P7" s="46">
        <v>4</v>
      </c>
      <c r="T7" s="15" t="s">
        <v>1594</v>
      </c>
      <c r="U7" s="74" t="s">
        <v>1595</v>
      </c>
      <c r="V7" s="75" t="s">
        <v>1586</v>
      </c>
      <c r="W7" s="15" t="s">
        <v>1594</v>
      </c>
      <c r="X7" s="74" t="s">
        <v>1587</v>
      </c>
      <c r="Y7" s="76" t="s">
        <v>1588</v>
      </c>
    </row>
    <row r="8" spans="1:25" ht="15" customHeight="1" x14ac:dyDescent="0.2">
      <c r="A8" s="46" t="s">
        <v>18</v>
      </c>
      <c r="B8" s="47">
        <v>45870</v>
      </c>
      <c r="C8" s="46">
        <f t="shared" si="0"/>
        <v>22</v>
      </c>
      <c r="D8" s="46">
        <v>1</v>
      </c>
      <c r="E8" s="46"/>
      <c r="F8" s="46"/>
      <c r="G8" s="66" t="s">
        <v>1568</v>
      </c>
      <c r="H8" s="46" t="s">
        <v>1294</v>
      </c>
      <c r="I8" s="46">
        <v>64277</v>
      </c>
      <c r="J8" s="46">
        <v>331</v>
      </c>
      <c r="K8" s="46" t="s">
        <v>21</v>
      </c>
      <c r="L8" s="46">
        <v>1</v>
      </c>
      <c r="M8" s="67">
        <v>4252000</v>
      </c>
      <c r="N8" s="67">
        <f t="shared" si="1"/>
        <v>4252000</v>
      </c>
      <c r="O8" s="46" t="s">
        <v>22</v>
      </c>
      <c r="P8" s="46">
        <v>5</v>
      </c>
      <c r="T8" s="15" t="s">
        <v>1596</v>
      </c>
      <c r="U8" s="74" t="s">
        <v>1597</v>
      </c>
      <c r="V8" s="75" t="s">
        <v>1586</v>
      </c>
      <c r="W8" s="15" t="s">
        <v>1596</v>
      </c>
      <c r="X8" s="74" t="s">
        <v>1587</v>
      </c>
      <c r="Y8" s="76" t="s">
        <v>1588</v>
      </c>
    </row>
    <row r="9" spans="1:25" ht="15" customHeight="1" x14ac:dyDescent="0.2">
      <c r="A9" s="46" t="s">
        <v>18</v>
      </c>
      <c r="B9" s="47">
        <v>45872</v>
      </c>
      <c r="C9" s="46">
        <f t="shared" si="0"/>
        <v>23</v>
      </c>
      <c r="D9" s="46">
        <v>1</v>
      </c>
      <c r="E9" s="46"/>
      <c r="F9" s="46"/>
      <c r="G9" s="66" t="s">
        <v>1569</v>
      </c>
      <c r="H9" s="46" t="s">
        <v>1295</v>
      </c>
      <c r="I9" s="46">
        <v>64277</v>
      </c>
      <c r="J9" s="46">
        <v>331</v>
      </c>
      <c r="K9" s="46" t="s">
        <v>21</v>
      </c>
      <c r="L9" s="46">
        <v>1</v>
      </c>
      <c r="M9" s="67">
        <v>20000</v>
      </c>
      <c r="N9" s="67">
        <f t="shared" si="1"/>
        <v>20000</v>
      </c>
      <c r="O9" s="46" t="s">
        <v>22</v>
      </c>
      <c r="P9" s="46">
        <v>6</v>
      </c>
      <c r="T9" s="15" t="s">
        <v>128</v>
      </c>
      <c r="U9" s="74" t="s">
        <v>1598</v>
      </c>
      <c r="V9" s="75" t="s">
        <v>1586</v>
      </c>
      <c r="W9" s="15" t="s">
        <v>128</v>
      </c>
      <c r="X9" s="74" t="s">
        <v>1587</v>
      </c>
      <c r="Y9" s="76" t="s">
        <v>1588</v>
      </c>
    </row>
    <row r="10" spans="1:25" ht="15" customHeight="1" x14ac:dyDescent="0.2">
      <c r="A10" s="46" t="s">
        <v>18</v>
      </c>
      <c r="B10" s="47">
        <v>45873</v>
      </c>
      <c r="C10" s="46">
        <f t="shared" si="0"/>
        <v>24</v>
      </c>
      <c r="D10" s="46">
        <v>1</v>
      </c>
      <c r="E10" s="46"/>
      <c r="F10" s="46"/>
      <c r="G10" s="66" t="s">
        <v>1569</v>
      </c>
      <c r="H10" s="46" t="s">
        <v>1296</v>
      </c>
      <c r="I10" s="46">
        <v>64277</v>
      </c>
      <c r="J10" s="46">
        <v>331</v>
      </c>
      <c r="K10" s="46" t="s">
        <v>21</v>
      </c>
      <c r="L10" s="46">
        <v>1</v>
      </c>
      <c r="M10" s="67">
        <v>20000</v>
      </c>
      <c r="N10" s="67">
        <f t="shared" si="1"/>
        <v>20000</v>
      </c>
      <c r="O10" s="46" t="s">
        <v>22</v>
      </c>
      <c r="P10" s="46">
        <v>7</v>
      </c>
      <c r="T10" s="15" t="s">
        <v>851</v>
      </c>
      <c r="U10" s="74" t="s">
        <v>1599</v>
      </c>
      <c r="V10" s="75" t="s">
        <v>1586</v>
      </c>
      <c r="W10" s="15" t="s">
        <v>851</v>
      </c>
      <c r="X10" s="74" t="s">
        <v>1587</v>
      </c>
      <c r="Y10" s="76" t="s">
        <v>1588</v>
      </c>
    </row>
    <row r="11" spans="1:25" ht="15" customHeight="1" x14ac:dyDescent="0.2">
      <c r="A11" s="46" t="s">
        <v>18</v>
      </c>
      <c r="B11" s="47">
        <v>45874</v>
      </c>
      <c r="C11" s="46">
        <f t="shared" si="0"/>
        <v>25</v>
      </c>
      <c r="D11" s="46">
        <v>1</v>
      </c>
      <c r="E11" s="46"/>
      <c r="F11" s="46"/>
      <c r="G11" s="66" t="s">
        <v>1569</v>
      </c>
      <c r="H11" s="46" t="s">
        <v>1297</v>
      </c>
      <c r="I11" s="46">
        <v>64277</v>
      </c>
      <c r="J11" s="46">
        <v>331</v>
      </c>
      <c r="K11" s="46" t="s">
        <v>21</v>
      </c>
      <c r="L11" s="46">
        <v>1</v>
      </c>
      <c r="M11" s="67">
        <v>20000</v>
      </c>
      <c r="N11" s="67">
        <f t="shared" si="1"/>
        <v>20000</v>
      </c>
      <c r="O11" s="46" t="s">
        <v>22</v>
      </c>
      <c r="P11" s="46">
        <v>8</v>
      </c>
      <c r="T11" s="73" t="s">
        <v>1600</v>
      </c>
      <c r="U11" s="74" t="s">
        <v>1601</v>
      </c>
      <c r="V11" s="75" t="s">
        <v>1586</v>
      </c>
      <c r="W11" s="73" t="s">
        <v>1600</v>
      </c>
      <c r="X11" s="74" t="s">
        <v>1587</v>
      </c>
      <c r="Y11" s="76" t="s">
        <v>1588</v>
      </c>
    </row>
    <row r="12" spans="1:25" ht="15" customHeight="1" x14ac:dyDescent="0.2">
      <c r="A12" s="46" t="s">
        <v>18</v>
      </c>
      <c r="B12" s="47">
        <v>45878</v>
      </c>
      <c r="C12" s="46">
        <f t="shared" si="0"/>
        <v>26</v>
      </c>
      <c r="D12" s="46">
        <v>1</v>
      </c>
      <c r="E12" s="46"/>
      <c r="F12" s="46"/>
      <c r="G12" s="66" t="s">
        <v>1569</v>
      </c>
      <c r="H12" s="46" t="s">
        <v>1298</v>
      </c>
      <c r="I12" s="46">
        <v>64277</v>
      </c>
      <c r="J12" s="46">
        <v>331</v>
      </c>
      <c r="K12" s="46" t="s">
        <v>21</v>
      </c>
      <c r="L12" s="46">
        <v>1</v>
      </c>
      <c r="M12" s="67">
        <v>20000</v>
      </c>
      <c r="N12" s="67">
        <f t="shared" si="1"/>
        <v>20000</v>
      </c>
      <c r="O12" s="46" t="s">
        <v>22</v>
      </c>
      <c r="P12" s="46">
        <v>9</v>
      </c>
      <c r="T12" s="73" t="s">
        <v>1602</v>
      </c>
      <c r="U12" s="74" t="s">
        <v>1603</v>
      </c>
      <c r="V12" s="75" t="s">
        <v>1586</v>
      </c>
      <c r="W12" s="73" t="s">
        <v>1602</v>
      </c>
      <c r="X12" s="74" t="s">
        <v>1587</v>
      </c>
      <c r="Y12" s="76" t="s">
        <v>1588</v>
      </c>
    </row>
    <row r="13" spans="1:25" ht="15" customHeight="1" x14ac:dyDescent="0.2">
      <c r="A13" s="46" t="s">
        <v>18</v>
      </c>
      <c r="B13" s="47">
        <v>45879</v>
      </c>
      <c r="C13" s="46">
        <f t="shared" si="0"/>
        <v>27</v>
      </c>
      <c r="D13" s="46">
        <v>1</v>
      </c>
      <c r="E13" s="46"/>
      <c r="F13" s="46"/>
      <c r="G13" s="66" t="s">
        <v>85</v>
      </c>
      <c r="H13" s="46" t="s">
        <v>1299</v>
      </c>
      <c r="I13" s="46">
        <v>64277</v>
      </c>
      <c r="J13" s="46">
        <v>331</v>
      </c>
      <c r="K13" s="46" t="s">
        <v>21</v>
      </c>
      <c r="L13" s="46">
        <v>1</v>
      </c>
      <c r="M13" s="67">
        <v>1501740</v>
      </c>
      <c r="N13" s="67">
        <f t="shared" si="1"/>
        <v>1501740</v>
      </c>
      <c r="O13" s="46" t="s">
        <v>22</v>
      </c>
      <c r="P13" s="46">
        <v>10</v>
      </c>
      <c r="T13" s="73" t="s">
        <v>1604</v>
      </c>
      <c r="U13" s="74" t="s">
        <v>1605</v>
      </c>
      <c r="V13" s="75" t="s">
        <v>1586</v>
      </c>
      <c r="W13" s="73" t="s">
        <v>1604</v>
      </c>
      <c r="X13" s="74" t="s">
        <v>1587</v>
      </c>
      <c r="Y13" s="76" t="s">
        <v>1588</v>
      </c>
    </row>
    <row r="14" spans="1:25" ht="15" customHeight="1" x14ac:dyDescent="0.2">
      <c r="A14" s="46" t="s">
        <v>18</v>
      </c>
      <c r="B14" s="47">
        <v>45881</v>
      </c>
      <c r="C14" s="46">
        <f t="shared" si="0"/>
        <v>28</v>
      </c>
      <c r="D14" s="46">
        <v>1</v>
      </c>
      <c r="E14" s="46"/>
      <c r="F14" s="46"/>
      <c r="G14" s="66" t="s">
        <v>1570</v>
      </c>
      <c r="H14" s="46" t="s">
        <v>1300</v>
      </c>
      <c r="I14" s="46">
        <v>64277</v>
      </c>
      <c r="J14" s="46">
        <v>331</v>
      </c>
      <c r="K14" s="46" t="s">
        <v>21</v>
      </c>
      <c r="L14" s="46">
        <v>1</v>
      </c>
      <c r="M14" s="67">
        <v>484920</v>
      </c>
      <c r="N14" s="67">
        <f t="shared" si="1"/>
        <v>484920</v>
      </c>
      <c r="O14" s="46" t="s">
        <v>22</v>
      </c>
      <c r="P14" s="46">
        <v>11</v>
      </c>
      <c r="T14" s="73" t="s">
        <v>46</v>
      </c>
      <c r="U14" s="74" t="s">
        <v>1606</v>
      </c>
      <c r="V14" s="75" t="s">
        <v>1586</v>
      </c>
      <c r="W14" s="73" t="s">
        <v>46</v>
      </c>
      <c r="X14" s="74" t="s">
        <v>1587</v>
      </c>
      <c r="Y14" s="76" t="s">
        <v>1588</v>
      </c>
    </row>
    <row r="15" spans="1:25" ht="15" customHeight="1" x14ac:dyDescent="0.2">
      <c r="A15" s="46" t="s">
        <v>18</v>
      </c>
      <c r="B15" s="47">
        <v>45883</v>
      </c>
      <c r="C15" s="46">
        <f t="shared" si="0"/>
        <v>29</v>
      </c>
      <c r="D15" s="46">
        <v>1</v>
      </c>
      <c r="E15" s="46"/>
      <c r="F15" s="46"/>
      <c r="G15" s="66" t="s">
        <v>158</v>
      </c>
      <c r="H15" s="46" t="s">
        <v>1301</v>
      </c>
      <c r="I15" s="46">
        <v>64277</v>
      </c>
      <c r="J15" s="46">
        <v>331</v>
      </c>
      <c r="K15" s="46" t="s">
        <v>21</v>
      </c>
      <c r="L15" s="46">
        <v>1</v>
      </c>
      <c r="M15" s="67">
        <v>3240000</v>
      </c>
      <c r="N15" s="67">
        <f t="shared" si="1"/>
        <v>3240000</v>
      </c>
      <c r="O15" s="46" t="s">
        <v>22</v>
      </c>
      <c r="P15" s="46">
        <v>12</v>
      </c>
      <c r="T15" s="73" t="s">
        <v>1607</v>
      </c>
      <c r="U15" s="74" t="s">
        <v>1608</v>
      </c>
      <c r="V15" s="75" t="s">
        <v>1586</v>
      </c>
      <c r="W15" s="73" t="s">
        <v>1607</v>
      </c>
      <c r="X15" s="74" t="s">
        <v>1587</v>
      </c>
      <c r="Y15" s="76" t="s">
        <v>1588</v>
      </c>
    </row>
    <row r="16" spans="1:25" ht="15" customHeight="1" x14ac:dyDescent="0.2">
      <c r="A16" s="46" t="s">
        <v>18</v>
      </c>
      <c r="B16" s="47">
        <v>45886</v>
      </c>
      <c r="C16" s="46">
        <f t="shared" si="0"/>
        <v>30</v>
      </c>
      <c r="D16" s="46">
        <v>1</v>
      </c>
      <c r="E16" s="46"/>
      <c r="F16" s="46"/>
      <c r="G16" s="66" t="s">
        <v>1569</v>
      </c>
      <c r="H16" s="46" t="s">
        <v>1302</v>
      </c>
      <c r="I16" s="46">
        <v>64277</v>
      </c>
      <c r="J16" s="46">
        <v>331</v>
      </c>
      <c r="K16" s="46" t="s">
        <v>21</v>
      </c>
      <c r="L16" s="46">
        <v>1</v>
      </c>
      <c r="M16" s="67">
        <v>20000</v>
      </c>
      <c r="N16" s="67">
        <f t="shared" si="1"/>
        <v>20000</v>
      </c>
      <c r="O16" s="46" t="s">
        <v>22</v>
      </c>
      <c r="P16" s="46">
        <v>13</v>
      </c>
      <c r="T16" s="15" t="s">
        <v>55</v>
      </c>
      <c r="U16" s="74" t="s">
        <v>1609</v>
      </c>
      <c r="V16" s="75" t="s">
        <v>1586</v>
      </c>
      <c r="W16" s="15" t="s">
        <v>55</v>
      </c>
      <c r="X16" s="74" t="s">
        <v>1587</v>
      </c>
      <c r="Y16" s="76" t="s">
        <v>1588</v>
      </c>
    </row>
    <row r="17" spans="1:25" ht="15" customHeight="1" x14ac:dyDescent="0.2">
      <c r="A17" s="46" t="s">
        <v>18</v>
      </c>
      <c r="B17" s="47">
        <v>45886</v>
      </c>
      <c r="C17" s="46">
        <f t="shared" si="0"/>
        <v>31</v>
      </c>
      <c r="D17" s="46">
        <v>1</v>
      </c>
      <c r="E17" s="46"/>
      <c r="F17" s="46"/>
      <c r="G17" s="66" t="s">
        <v>1569</v>
      </c>
      <c r="H17" s="46" t="s">
        <v>1303</v>
      </c>
      <c r="I17" s="46">
        <v>64277</v>
      </c>
      <c r="J17" s="46">
        <v>331</v>
      </c>
      <c r="K17" s="46" t="s">
        <v>21</v>
      </c>
      <c r="L17" s="46">
        <v>1</v>
      </c>
      <c r="M17" s="67">
        <v>20000</v>
      </c>
      <c r="N17" s="67">
        <f t="shared" si="1"/>
        <v>20000</v>
      </c>
      <c r="O17" s="46" t="s">
        <v>22</v>
      </c>
      <c r="P17" s="46">
        <v>14</v>
      </c>
      <c r="T17" s="15" t="s">
        <v>1610</v>
      </c>
      <c r="U17" s="74" t="s">
        <v>1611</v>
      </c>
      <c r="V17" s="75" t="s">
        <v>1586</v>
      </c>
      <c r="W17" s="15" t="s">
        <v>1610</v>
      </c>
      <c r="X17" s="74" t="s">
        <v>1587</v>
      </c>
      <c r="Y17" s="76" t="s">
        <v>1588</v>
      </c>
    </row>
    <row r="18" spans="1:25" ht="15" customHeight="1" x14ac:dyDescent="0.2">
      <c r="A18" s="46" t="s">
        <v>18</v>
      </c>
      <c r="B18" s="47">
        <v>45888</v>
      </c>
      <c r="C18" s="46">
        <f t="shared" si="0"/>
        <v>32</v>
      </c>
      <c r="D18" s="46">
        <v>1</v>
      </c>
      <c r="E18" s="46"/>
      <c r="F18" s="46"/>
      <c r="G18" s="66" t="s">
        <v>1568</v>
      </c>
      <c r="H18" s="46" t="s">
        <v>1304</v>
      </c>
      <c r="I18" s="46">
        <v>64277</v>
      </c>
      <c r="J18" s="46">
        <v>331</v>
      </c>
      <c r="K18" s="46" t="s">
        <v>21</v>
      </c>
      <c r="L18" s="46">
        <v>1</v>
      </c>
      <c r="M18" s="67">
        <v>4750000</v>
      </c>
      <c r="N18" s="67">
        <f t="shared" si="1"/>
        <v>4750000</v>
      </c>
      <c r="O18" s="46" t="s">
        <v>22</v>
      </c>
      <c r="P18" s="46">
        <v>15</v>
      </c>
      <c r="T18" s="15" t="s">
        <v>802</v>
      </c>
      <c r="U18" s="74" t="s">
        <v>1612</v>
      </c>
      <c r="V18" s="75" t="s">
        <v>1586</v>
      </c>
      <c r="W18" s="15" t="s">
        <v>802</v>
      </c>
      <c r="X18" s="74" t="s">
        <v>1587</v>
      </c>
      <c r="Y18" s="76" t="s">
        <v>1588</v>
      </c>
    </row>
    <row r="19" spans="1:25" ht="15" customHeight="1" x14ac:dyDescent="0.2">
      <c r="A19" s="46" t="s">
        <v>18</v>
      </c>
      <c r="B19" s="47">
        <v>45899</v>
      </c>
      <c r="C19" s="46">
        <f t="shared" si="0"/>
        <v>33</v>
      </c>
      <c r="D19" s="46">
        <v>1</v>
      </c>
      <c r="E19" s="46"/>
      <c r="F19" s="46"/>
      <c r="G19" s="66" t="s">
        <v>638</v>
      </c>
      <c r="H19" s="46" t="s">
        <v>1305</v>
      </c>
      <c r="I19" s="46">
        <v>64277</v>
      </c>
      <c r="J19" s="46">
        <v>331</v>
      </c>
      <c r="K19" s="46" t="s">
        <v>21</v>
      </c>
      <c r="L19" s="46">
        <v>1</v>
      </c>
      <c r="M19" s="67">
        <v>546480</v>
      </c>
      <c r="N19" s="67">
        <f t="shared" si="1"/>
        <v>546480</v>
      </c>
      <c r="O19" s="46" t="s">
        <v>22</v>
      </c>
      <c r="P19" s="46">
        <v>16</v>
      </c>
      <c r="T19" s="15" t="s">
        <v>1613</v>
      </c>
      <c r="U19" s="74" t="s">
        <v>1614</v>
      </c>
      <c r="V19" s="75" t="s">
        <v>1586</v>
      </c>
      <c r="W19" s="15" t="s">
        <v>1613</v>
      </c>
      <c r="X19" s="74" t="s">
        <v>1587</v>
      </c>
      <c r="Y19" s="76" t="s">
        <v>1588</v>
      </c>
    </row>
    <row r="20" spans="1:25" ht="15" customHeight="1" x14ac:dyDescent="0.2">
      <c r="A20" s="46" t="s">
        <v>18</v>
      </c>
      <c r="B20" s="47">
        <v>45901</v>
      </c>
      <c r="C20" s="46">
        <f t="shared" si="0"/>
        <v>34</v>
      </c>
      <c r="D20" s="46">
        <v>1</v>
      </c>
      <c r="E20" s="46"/>
      <c r="F20" s="46"/>
      <c r="G20" s="66" t="s">
        <v>101</v>
      </c>
      <c r="H20" s="46" t="s">
        <v>1306</v>
      </c>
      <c r="I20" s="46">
        <v>64276</v>
      </c>
      <c r="J20" s="46">
        <v>331</v>
      </c>
      <c r="K20" s="46" t="s">
        <v>21</v>
      </c>
      <c r="L20" s="46">
        <v>1</v>
      </c>
      <c r="M20" s="67">
        <v>8213000</v>
      </c>
      <c r="N20" s="67">
        <f t="shared" si="1"/>
        <v>8213000</v>
      </c>
      <c r="O20" s="46" t="s">
        <v>22</v>
      </c>
      <c r="P20" s="46">
        <v>17</v>
      </c>
      <c r="T20" s="15" t="s">
        <v>1615</v>
      </c>
      <c r="U20" s="74" t="s">
        <v>1616</v>
      </c>
      <c r="V20" s="75" t="s">
        <v>1586</v>
      </c>
      <c r="W20" s="15" t="s">
        <v>1615</v>
      </c>
      <c r="X20" s="74" t="s">
        <v>1587</v>
      </c>
      <c r="Y20" s="76" t="s">
        <v>1588</v>
      </c>
    </row>
    <row r="21" spans="1:25" ht="15" customHeight="1" x14ac:dyDescent="0.2">
      <c r="A21" s="46" t="s">
        <v>18</v>
      </c>
      <c r="B21" s="47">
        <v>45901</v>
      </c>
      <c r="C21" s="46">
        <f t="shared" si="0"/>
        <v>35</v>
      </c>
      <c r="D21" s="46">
        <v>1</v>
      </c>
      <c r="E21" s="46"/>
      <c r="F21" s="46"/>
      <c r="G21" s="66" t="s">
        <v>1308</v>
      </c>
      <c r="H21" s="46" t="s">
        <v>1307</v>
      </c>
      <c r="I21" s="46">
        <v>64277</v>
      </c>
      <c r="J21" s="46">
        <v>331</v>
      </c>
      <c r="K21" s="46" t="s">
        <v>21</v>
      </c>
      <c r="L21" s="46">
        <v>1</v>
      </c>
      <c r="M21" s="67">
        <v>3234168</v>
      </c>
      <c r="N21" s="67">
        <f t="shared" si="1"/>
        <v>3234168</v>
      </c>
      <c r="O21" s="46" t="s">
        <v>22</v>
      </c>
      <c r="P21" s="46">
        <v>18</v>
      </c>
      <c r="T21" s="15" t="s">
        <v>1617</v>
      </c>
      <c r="U21" s="74" t="s">
        <v>1618</v>
      </c>
      <c r="V21" s="75" t="s">
        <v>1586</v>
      </c>
      <c r="W21" s="15" t="s">
        <v>1617</v>
      </c>
      <c r="X21" s="74" t="s">
        <v>1587</v>
      </c>
      <c r="Y21" s="76" t="s">
        <v>1588</v>
      </c>
    </row>
    <row r="22" spans="1:25" ht="15" customHeight="1" x14ac:dyDescent="0.2">
      <c r="A22" s="46" t="s">
        <v>18</v>
      </c>
      <c r="B22" s="47">
        <v>45903</v>
      </c>
      <c r="C22" s="46">
        <f t="shared" si="0"/>
        <v>36</v>
      </c>
      <c r="D22" s="46">
        <v>1</v>
      </c>
      <c r="E22" s="46"/>
      <c r="F22" s="46"/>
      <c r="G22" s="66" t="s">
        <v>101</v>
      </c>
      <c r="H22" s="46" t="s">
        <v>1309</v>
      </c>
      <c r="I22" s="46">
        <v>64276</v>
      </c>
      <c r="J22" s="46">
        <v>331</v>
      </c>
      <c r="K22" s="46" t="s">
        <v>21</v>
      </c>
      <c r="L22" s="46">
        <v>1</v>
      </c>
      <c r="M22" s="67">
        <v>6696000</v>
      </c>
      <c r="N22" s="67">
        <f t="shared" si="1"/>
        <v>6696000</v>
      </c>
      <c r="O22" s="46" t="s">
        <v>22</v>
      </c>
      <c r="P22" s="46">
        <v>19</v>
      </c>
      <c r="T22" s="15" t="s">
        <v>163</v>
      </c>
      <c r="U22" s="74" t="s">
        <v>1619</v>
      </c>
      <c r="V22" s="75" t="s">
        <v>1586</v>
      </c>
      <c r="W22" s="15" t="s">
        <v>163</v>
      </c>
      <c r="X22" s="74" t="s">
        <v>1587</v>
      </c>
      <c r="Y22" s="76" t="s">
        <v>1588</v>
      </c>
    </row>
    <row r="23" spans="1:25" ht="15" customHeight="1" x14ac:dyDescent="0.2">
      <c r="A23" s="46" t="s">
        <v>18</v>
      </c>
      <c r="B23" s="47">
        <v>45904</v>
      </c>
      <c r="C23" s="46">
        <f t="shared" si="0"/>
        <v>37</v>
      </c>
      <c r="D23" s="46">
        <v>1</v>
      </c>
      <c r="E23" s="46"/>
      <c r="F23" s="46"/>
      <c r="G23" s="66" t="s">
        <v>1571</v>
      </c>
      <c r="H23" s="46" t="s">
        <v>1310</v>
      </c>
      <c r="I23" s="46">
        <v>64276</v>
      </c>
      <c r="J23" s="46">
        <v>331</v>
      </c>
      <c r="K23" s="46" t="s">
        <v>21</v>
      </c>
      <c r="L23" s="46">
        <v>1</v>
      </c>
      <c r="M23" s="67">
        <v>1098000</v>
      </c>
      <c r="N23" s="67">
        <f t="shared" si="1"/>
        <v>1098000</v>
      </c>
      <c r="O23" s="46" t="s">
        <v>22</v>
      </c>
      <c r="P23" s="46">
        <v>20</v>
      </c>
      <c r="T23" s="15" t="s">
        <v>1620</v>
      </c>
      <c r="U23" s="74" t="s">
        <v>1621</v>
      </c>
      <c r="V23" s="75" t="s">
        <v>1586</v>
      </c>
      <c r="W23" s="15" t="s">
        <v>1620</v>
      </c>
      <c r="X23" s="74" t="s">
        <v>1587</v>
      </c>
      <c r="Y23" s="76" t="s">
        <v>1588</v>
      </c>
    </row>
    <row r="24" spans="1:25" ht="15" customHeight="1" x14ac:dyDescent="0.2">
      <c r="A24" s="46" t="s">
        <v>18</v>
      </c>
      <c r="B24" s="47">
        <v>45904</v>
      </c>
      <c r="C24" s="46">
        <f t="shared" si="0"/>
        <v>38</v>
      </c>
      <c r="D24" s="46">
        <v>1</v>
      </c>
      <c r="E24" s="46"/>
      <c r="F24" s="46"/>
      <c r="G24" s="66" t="s">
        <v>1571</v>
      </c>
      <c r="H24" s="46" t="s">
        <v>1311</v>
      </c>
      <c r="I24" s="46">
        <v>64276</v>
      </c>
      <c r="J24" s="46">
        <v>331</v>
      </c>
      <c r="K24" s="46" t="s">
        <v>21</v>
      </c>
      <c r="L24" s="46">
        <v>1</v>
      </c>
      <c r="M24" s="67">
        <v>2598000</v>
      </c>
      <c r="N24" s="67">
        <f t="shared" si="1"/>
        <v>2598000</v>
      </c>
      <c r="O24" s="46" t="s">
        <v>22</v>
      </c>
      <c r="P24" s="46">
        <v>21</v>
      </c>
      <c r="T24" s="15" t="s">
        <v>1622</v>
      </c>
      <c r="U24" s="74" t="s">
        <v>1623</v>
      </c>
      <c r="V24" s="75" t="s">
        <v>1586</v>
      </c>
      <c r="W24" s="15" t="s">
        <v>1622</v>
      </c>
      <c r="X24" s="74" t="s">
        <v>1587</v>
      </c>
      <c r="Y24" s="76" t="s">
        <v>1588</v>
      </c>
    </row>
    <row r="25" spans="1:25" ht="15" customHeight="1" x14ac:dyDescent="0.2">
      <c r="A25" s="46" t="s">
        <v>18</v>
      </c>
      <c r="B25" s="47">
        <v>45909</v>
      </c>
      <c r="C25" s="46">
        <f t="shared" si="0"/>
        <v>39</v>
      </c>
      <c r="D25" s="46">
        <v>1</v>
      </c>
      <c r="E25" s="46"/>
      <c r="F25" s="46"/>
      <c r="G25" s="66" t="s">
        <v>101</v>
      </c>
      <c r="H25" s="46" t="s">
        <v>1312</v>
      </c>
      <c r="I25" s="46">
        <v>64276</v>
      </c>
      <c r="J25" s="46">
        <v>331</v>
      </c>
      <c r="K25" s="46" t="s">
        <v>21</v>
      </c>
      <c r="L25" s="46">
        <v>1</v>
      </c>
      <c r="M25" s="67">
        <v>4098000</v>
      </c>
      <c r="N25" s="67">
        <f t="shared" si="1"/>
        <v>4098000</v>
      </c>
      <c r="O25" s="46" t="s">
        <v>22</v>
      </c>
      <c r="P25" s="46">
        <v>22</v>
      </c>
      <c r="T25" s="15" t="s">
        <v>1569</v>
      </c>
      <c r="U25" s="74" t="s">
        <v>1624</v>
      </c>
      <c r="V25" s="75" t="s">
        <v>1586</v>
      </c>
      <c r="W25" s="15" t="s">
        <v>1569</v>
      </c>
      <c r="X25" s="74" t="s">
        <v>1587</v>
      </c>
      <c r="Y25" s="76" t="s">
        <v>1588</v>
      </c>
    </row>
    <row r="26" spans="1:25" ht="15" customHeight="1" x14ac:dyDescent="0.2">
      <c r="A26" s="46" t="s">
        <v>18</v>
      </c>
      <c r="B26" s="47">
        <v>45911</v>
      </c>
      <c r="C26" s="46">
        <f t="shared" si="0"/>
        <v>40</v>
      </c>
      <c r="D26" s="46">
        <v>1</v>
      </c>
      <c r="E26" s="46"/>
      <c r="F26" s="46"/>
      <c r="G26" s="66" t="s">
        <v>158</v>
      </c>
      <c r="H26" s="46" t="s">
        <v>1313</v>
      </c>
      <c r="I26" s="46">
        <v>64277</v>
      </c>
      <c r="J26" s="46">
        <v>331</v>
      </c>
      <c r="K26" s="46" t="s">
        <v>21</v>
      </c>
      <c r="L26" s="46">
        <v>1</v>
      </c>
      <c r="M26" s="67">
        <v>2916000</v>
      </c>
      <c r="N26" s="67">
        <f t="shared" si="1"/>
        <v>2916000</v>
      </c>
      <c r="O26" s="46" t="s">
        <v>22</v>
      </c>
      <c r="P26" s="46">
        <v>23</v>
      </c>
      <c r="T26" s="15" t="s">
        <v>1625</v>
      </c>
      <c r="U26" s="74" t="s">
        <v>1626</v>
      </c>
      <c r="V26" s="75" t="s">
        <v>1586</v>
      </c>
      <c r="W26" s="15" t="s">
        <v>1625</v>
      </c>
      <c r="X26" s="74" t="s">
        <v>1587</v>
      </c>
      <c r="Y26" s="76" t="s">
        <v>1588</v>
      </c>
    </row>
    <row r="27" spans="1:25" ht="15" customHeight="1" x14ac:dyDescent="0.2">
      <c r="A27" s="46" t="s">
        <v>18</v>
      </c>
      <c r="B27" s="47">
        <v>45928</v>
      </c>
      <c r="C27" s="46">
        <f t="shared" si="0"/>
        <v>41</v>
      </c>
      <c r="D27" s="46">
        <v>1</v>
      </c>
      <c r="E27" s="46"/>
      <c r="F27" s="46"/>
      <c r="G27" s="66" t="s">
        <v>1569</v>
      </c>
      <c r="H27" s="46" t="s">
        <v>1314</v>
      </c>
      <c r="I27" s="46">
        <v>64277</v>
      </c>
      <c r="J27" s="46">
        <v>331</v>
      </c>
      <c r="K27" s="46" t="s">
        <v>21</v>
      </c>
      <c r="L27" s="46">
        <v>1</v>
      </c>
      <c r="M27" s="67">
        <v>20000</v>
      </c>
      <c r="N27" s="67">
        <f t="shared" si="1"/>
        <v>20000</v>
      </c>
      <c r="O27" s="46" t="s">
        <v>22</v>
      </c>
      <c r="P27" s="46">
        <v>24</v>
      </c>
      <c r="T27" s="15" t="s">
        <v>1627</v>
      </c>
      <c r="U27" s="74" t="s">
        <v>1628</v>
      </c>
      <c r="V27" s="75" t="s">
        <v>1586</v>
      </c>
      <c r="W27" s="15" t="s">
        <v>1627</v>
      </c>
      <c r="X27" s="74" t="s">
        <v>1587</v>
      </c>
      <c r="Y27" s="76" t="s">
        <v>1588</v>
      </c>
    </row>
    <row r="28" spans="1:25" ht="15" customHeight="1" x14ac:dyDescent="0.2">
      <c r="A28" s="46" t="s">
        <v>18</v>
      </c>
      <c r="B28" s="47">
        <v>45928</v>
      </c>
      <c r="C28" s="46">
        <f t="shared" si="0"/>
        <v>42</v>
      </c>
      <c r="D28" s="46">
        <v>1</v>
      </c>
      <c r="E28" s="46"/>
      <c r="F28" s="46"/>
      <c r="G28" s="66" t="s">
        <v>1569</v>
      </c>
      <c r="H28" s="46" t="s">
        <v>1315</v>
      </c>
      <c r="I28" s="46">
        <v>64277</v>
      </c>
      <c r="J28" s="46">
        <v>331</v>
      </c>
      <c r="K28" s="46" t="s">
        <v>21</v>
      </c>
      <c r="L28" s="46">
        <v>1</v>
      </c>
      <c r="M28" s="67">
        <v>20000</v>
      </c>
      <c r="N28" s="67">
        <f t="shared" si="1"/>
        <v>20000</v>
      </c>
      <c r="O28" s="46" t="s">
        <v>22</v>
      </c>
      <c r="P28" s="46">
        <v>25</v>
      </c>
      <c r="T28" s="15" t="s">
        <v>209</v>
      </c>
      <c r="U28" s="74" t="s">
        <v>1629</v>
      </c>
      <c r="V28" s="75" t="s">
        <v>1586</v>
      </c>
      <c r="W28" s="77" t="s">
        <v>209</v>
      </c>
      <c r="X28" s="74" t="s">
        <v>1587</v>
      </c>
      <c r="Y28" s="76" t="s">
        <v>1588</v>
      </c>
    </row>
    <row r="29" spans="1:25" ht="15" customHeight="1" x14ac:dyDescent="0.2">
      <c r="A29" s="46" t="s">
        <v>18</v>
      </c>
      <c r="B29" s="47">
        <v>45930</v>
      </c>
      <c r="C29" s="46">
        <f t="shared" si="0"/>
        <v>43</v>
      </c>
      <c r="D29" s="46">
        <v>1</v>
      </c>
      <c r="E29" s="46"/>
      <c r="F29" s="46"/>
      <c r="G29" s="66" t="s">
        <v>1572</v>
      </c>
      <c r="H29" s="46" t="s">
        <v>1316</v>
      </c>
      <c r="I29" s="46">
        <v>64277</v>
      </c>
      <c r="J29" s="46">
        <v>331</v>
      </c>
      <c r="K29" s="46" t="s">
        <v>21</v>
      </c>
      <c r="L29" s="46">
        <v>1</v>
      </c>
      <c r="M29" s="67">
        <v>2769120</v>
      </c>
      <c r="N29" s="67">
        <f t="shared" si="1"/>
        <v>2769120</v>
      </c>
      <c r="O29" s="46" t="s">
        <v>22</v>
      </c>
      <c r="P29" s="46">
        <v>26</v>
      </c>
      <c r="T29" s="13" t="s">
        <v>1630</v>
      </c>
      <c r="U29" s="74" t="s">
        <v>1631</v>
      </c>
      <c r="V29" s="75" t="s">
        <v>1586</v>
      </c>
      <c r="W29" s="77" t="s">
        <v>1630</v>
      </c>
      <c r="X29" s="74" t="s">
        <v>1587</v>
      </c>
      <c r="Y29" s="76" t="s">
        <v>1588</v>
      </c>
    </row>
    <row r="30" spans="1:25" ht="15" customHeight="1" x14ac:dyDescent="0.2">
      <c r="A30" s="46" t="s">
        <v>18</v>
      </c>
      <c r="B30" s="47">
        <v>45932</v>
      </c>
      <c r="C30" s="46">
        <f t="shared" si="0"/>
        <v>44</v>
      </c>
      <c r="D30" s="46">
        <v>1</v>
      </c>
      <c r="E30" s="46"/>
      <c r="F30" s="46"/>
      <c r="G30" s="66" t="s">
        <v>101</v>
      </c>
      <c r="H30" s="46" t="s">
        <v>1317</v>
      </c>
      <c r="I30" s="46">
        <v>64276</v>
      </c>
      <c r="J30" s="46">
        <v>331</v>
      </c>
      <c r="K30" s="46" t="s">
        <v>21</v>
      </c>
      <c r="L30" s="46">
        <v>1</v>
      </c>
      <c r="M30" s="67">
        <v>3998000</v>
      </c>
      <c r="N30" s="67">
        <f t="shared" si="1"/>
        <v>3998000</v>
      </c>
      <c r="O30" s="46" t="s">
        <v>22</v>
      </c>
      <c r="P30" s="46">
        <v>27</v>
      </c>
      <c r="T30" s="13" t="s">
        <v>756</v>
      </c>
      <c r="U30" s="74" t="s">
        <v>1632</v>
      </c>
      <c r="V30" s="75" t="s">
        <v>1633</v>
      </c>
      <c r="W30" s="77" t="s">
        <v>756</v>
      </c>
      <c r="X30" s="74" t="s">
        <v>1587</v>
      </c>
      <c r="Y30" s="76" t="s">
        <v>1588</v>
      </c>
    </row>
    <row r="31" spans="1:25" ht="15" customHeight="1" x14ac:dyDescent="0.2">
      <c r="A31" s="46" t="s">
        <v>18</v>
      </c>
      <c r="B31" s="47" t="s">
        <v>1532</v>
      </c>
      <c r="C31" s="46">
        <f t="shared" si="0"/>
        <v>45</v>
      </c>
      <c r="D31" s="46">
        <v>1</v>
      </c>
      <c r="E31" s="46"/>
      <c r="F31" s="46"/>
      <c r="G31" s="66" t="s">
        <v>1538</v>
      </c>
      <c r="H31" s="46" t="s">
        <v>1543</v>
      </c>
      <c r="I31" s="46">
        <v>131</v>
      </c>
      <c r="J31" s="46">
        <v>5113</v>
      </c>
      <c r="K31" s="46" t="s">
        <v>21</v>
      </c>
      <c r="L31" s="46">
        <v>1</v>
      </c>
      <c r="M31" s="67">
        <v>11000000</v>
      </c>
      <c r="N31" s="67">
        <f t="shared" si="1"/>
        <v>11000000</v>
      </c>
      <c r="O31" s="46" t="s">
        <v>22</v>
      </c>
      <c r="P31" s="46">
        <v>28</v>
      </c>
      <c r="T31" s="13" t="s">
        <v>1634</v>
      </c>
      <c r="U31" s="74" t="s">
        <v>1635</v>
      </c>
      <c r="V31" s="75" t="s">
        <v>1586</v>
      </c>
      <c r="W31" s="77" t="s">
        <v>1634</v>
      </c>
      <c r="X31" s="74" t="s">
        <v>1587</v>
      </c>
      <c r="Y31" s="76" t="s">
        <v>1588</v>
      </c>
    </row>
    <row r="32" spans="1:25" ht="15" customHeight="1" x14ac:dyDescent="0.2">
      <c r="A32" s="46" t="s">
        <v>18</v>
      </c>
      <c r="B32" s="47" t="s">
        <v>1532</v>
      </c>
      <c r="C32" s="46">
        <f t="shared" si="0"/>
        <v>46</v>
      </c>
      <c r="D32" s="46">
        <v>1</v>
      </c>
      <c r="E32" s="46"/>
      <c r="F32" s="46"/>
      <c r="G32" s="66" t="s">
        <v>1539</v>
      </c>
      <c r="H32" s="46" t="s">
        <v>1544</v>
      </c>
      <c r="I32" s="46">
        <v>131</v>
      </c>
      <c r="J32" s="46">
        <v>5113</v>
      </c>
      <c r="K32" s="46" t="s">
        <v>21</v>
      </c>
      <c r="L32" s="46">
        <v>1</v>
      </c>
      <c r="M32" s="67">
        <v>27000000</v>
      </c>
      <c r="N32" s="67">
        <f t="shared" si="1"/>
        <v>27000000</v>
      </c>
      <c r="O32" s="46" t="s">
        <v>22</v>
      </c>
      <c r="P32" s="46">
        <v>29</v>
      </c>
      <c r="T32" s="13" t="s">
        <v>597</v>
      </c>
      <c r="U32" s="74" t="s">
        <v>1636</v>
      </c>
      <c r="V32" s="75" t="s">
        <v>1637</v>
      </c>
      <c r="W32" s="77" t="s">
        <v>597</v>
      </c>
      <c r="X32" s="74" t="s">
        <v>1587</v>
      </c>
      <c r="Y32" s="76" t="s">
        <v>1588</v>
      </c>
    </row>
    <row r="33" spans="1:25" ht="15" customHeight="1" x14ac:dyDescent="0.2">
      <c r="A33" s="46" t="s">
        <v>18</v>
      </c>
      <c r="B33" s="47" t="s">
        <v>1532</v>
      </c>
      <c r="C33" s="46">
        <f t="shared" si="0"/>
        <v>47</v>
      </c>
      <c r="D33" s="46">
        <v>1</v>
      </c>
      <c r="E33" s="46"/>
      <c r="F33" s="46"/>
      <c r="G33" s="66" t="s">
        <v>1540</v>
      </c>
      <c r="H33" s="46" t="s">
        <v>1545</v>
      </c>
      <c r="I33" s="46">
        <v>131</v>
      </c>
      <c r="J33" s="46">
        <v>5113</v>
      </c>
      <c r="K33" s="46" t="s">
        <v>21</v>
      </c>
      <c r="L33" s="46">
        <v>1</v>
      </c>
      <c r="M33" s="67">
        <v>11000000</v>
      </c>
      <c r="N33" s="67">
        <f t="shared" si="1"/>
        <v>11000000</v>
      </c>
      <c r="O33" s="46" t="s">
        <v>22</v>
      </c>
      <c r="P33" s="46">
        <v>30</v>
      </c>
      <c r="T33" s="13" t="s">
        <v>1638</v>
      </c>
      <c r="U33" s="74" t="s">
        <v>1639</v>
      </c>
      <c r="V33" s="75" t="s">
        <v>1586</v>
      </c>
      <c r="W33" s="77" t="s">
        <v>1638</v>
      </c>
      <c r="X33" s="74" t="s">
        <v>1587</v>
      </c>
      <c r="Y33" s="76" t="s">
        <v>1588</v>
      </c>
    </row>
    <row r="34" spans="1:25" ht="15" customHeight="1" x14ac:dyDescent="0.2">
      <c r="A34" s="46" t="s">
        <v>18</v>
      </c>
      <c r="B34" s="47" t="s">
        <v>1533</v>
      </c>
      <c r="C34" s="46">
        <f t="shared" si="0"/>
        <v>48</v>
      </c>
      <c r="D34" s="46">
        <v>1</v>
      </c>
      <c r="E34" s="46"/>
      <c r="F34" s="46"/>
      <c r="G34" s="66" t="s">
        <v>1541</v>
      </c>
      <c r="H34" s="46" t="s">
        <v>1546</v>
      </c>
      <c r="I34" s="46">
        <v>131</v>
      </c>
      <c r="J34" s="46">
        <v>5113</v>
      </c>
      <c r="K34" s="46" t="s">
        <v>21</v>
      </c>
      <c r="L34" s="46">
        <v>1</v>
      </c>
      <c r="M34" s="67">
        <v>38000000</v>
      </c>
      <c r="N34" s="67">
        <f t="shared" si="1"/>
        <v>38000000</v>
      </c>
      <c r="O34" s="46" t="s">
        <v>22</v>
      </c>
      <c r="P34" s="46">
        <v>31</v>
      </c>
      <c r="T34" s="13" t="s">
        <v>1640</v>
      </c>
      <c r="U34" s="74" t="s">
        <v>1641</v>
      </c>
      <c r="V34" s="75" t="s">
        <v>1586</v>
      </c>
      <c r="W34" s="77" t="s">
        <v>1640</v>
      </c>
      <c r="X34" s="74" t="s">
        <v>1587</v>
      </c>
      <c r="Y34" s="76" t="s">
        <v>1588</v>
      </c>
    </row>
    <row r="35" spans="1:25" ht="15" customHeight="1" x14ac:dyDescent="0.2">
      <c r="A35" s="46" t="s">
        <v>18</v>
      </c>
      <c r="B35" s="47" t="s">
        <v>1474</v>
      </c>
      <c r="C35" s="46">
        <f t="shared" si="0"/>
        <v>49</v>
      </c>
      <c r="D35" s="46">
        <v>1</v>
      </c>
      <c r="E35" s="46"/>
      <c r="F35" s="46"/>
      <c r="G35" s="66" t="s">
        <v>96</v>
      </c>
      <c r="H35" s="46" t="s">
        <v>1547</v>
      </c>
      <c r="I35" s="46">
        <v>131</v>
      </c>
      <c r="J35" s="46">
        <v>5113</v>
      </c>
      <c r="K35" s="46" t="s">
        <v>21</v>
      </c>
      <c r="L35" s="46">
        <v>1</v>
      </c>
      <c r="M35" s="67">
        <v>16129032</v>
      </c>
      <c r="N35" s="67">
        <f t="shared" si="1"/>
        <v>16129032</v>
      </c>
      <c r="O35" s="46" t="s">
        <v>22</v>
      </c>
      <c r="P35" s="46">
        <v>32</v>
      </c>
      <c r="T35" s="13" t="s">
        <v>1015</v>
      </c>
      <c r="U35" s="74" t="s">
        <v>1642</v>
      </c>
      <c r="V35" s="75" t="s">
        <v>1586</v>
      </c>
      <c r="W35" s="77" t="s">
        <v>1015</v>
      </c>
      <c r="X35" s="74" t="s">
        <v>1587</v>
      </c>
      <c r="Y35" s="76" t="s">
        <v>1588</v>
      </c>
    </row>
    <row r="36" spans="1:25" ht="15" customHeight="1" x14ac:dyDescent="0.2">
      <c r="A36" s="46" t="s">
        <v>18</v>
      </c>
      <c r="B36" s="47" t="s">
        <v>1474</v>
      </c>
      <c r="C36" s="46">
        <f t="shared" si="0"/>
        <v>50</v>
      </c>
      <c r="D36" s="46">
        <v>1</v>
      </c>
      <c r="E36" s="46"/>
      <c r="F36" s="46"/>
      <c r="G36" s="66" t="s">
        <v>756</v>
      </c>
      <c r="H36" s="46" t="s">
        <v>1548</v>
      </c>
      <c r="I36" s="46">
        <v>131</v>
      </c>
      <c r="J36" s="46">
        <v>5113</v>
      </c>
      <c r="K36" s="46" t="s">
        <v>21</v>
      </c>
      <c r="L36" s="46">
        <v>1</v>
      </c>
      <c r="M36" s="67">
        <v>29032258</v>
      </c>
      <c r="N36" s="67">
        <f t="shared" si="1"/>
        <v>29032258</v>
      </c>
      <c r="O36" s="46" t="s">
        <v>22</v>
      </c>
      <c r="P36" s="46">
        <v>33</v>
      </c>
      <c r="T36" s="13" t="s">
        <v>1540</v>
      </c>
      <c r="U36" s="74" t="s">
        <v>1643</v>
      </c>
      <c r="V36" s="75" t="s">
        <v>1644</v>
      </c>
      <c r="W36" s="77" t="s">
        <v>1540</v>
      </c>
      <c r="X36" s="74" t="s">
        <v>1587</v>
      </c>
      <c r="Y36" s="76" t="s">
        <v>1588</v>
      </c>
    </row>
    <row r="37" spans="1:25" ht="15" customHeight="1" x14ac:dyDescent="0.2">
      <c r="A37" s="46" t="s">
        <v>18</v>
      </c>
      <c r="B37" s="47" t="s">
        <v>1474</v>
      </c>
      <c r="C37" s="46">
        <f t="shared" si="0"/>
        <v>51</v>
      </c>
      <c r="D37" s="46">
        <v>1</v>
      </c>
      <c r="E37" s="46"/>
      <c r="F37" s="46"/>
      <c r="G37" s="66" t="s">
        <v>756</v>
      </c>
      <c r="H37" s="46" t="s">
        <v>1549</v>
      </c>
      <c r="I37" s="46">
        <v>333821</v>
      </c>
      <c r="J37" s="46">
        <v>131</v>
      </c>
      <c r="K37" s="46" t="s">
        <v>21</v>
      </c>
      <c r="L37" s="46">
        <v>1</v>
      </c>
      <c r="M37" s="67">
        <v>290323</v>
      </c>
      <c r="N37" s="67">
        <f t="shared" si="1"/>
        <v>290323</v>
      </c>
      <c r="O37" s="46" t="s">
        <v>22</v>
      </c>
      <c r="P37" s="46">
        <v>34</v>
      </c>
      <c r="T37" s="13" t="s">
        <v>930</v>
      </c>
      <c r="U37" s="74" t="s">
        <v>1645</v>
      </c>
      <c r="V37" s="75" t="s">
        <v>1586</v>
      </c>
      <c r="W37" s="77" t="s">
        <v>930</v>
      </c>
      <c r="X37" s="74" t="s">
        <v>1587</v>
      </c>
      <c r="Y37" s="76" t="s">
        <v>1588</v>
      </c>
    </row>
    <row r="38" spans="1:25" ht="15" customHeight="1" x14ac:dyDescent="0.2">
      <c r="A38" s="46" t="s">
        <v>18</v>
      </c>
      <c r="B38" s="47" t="s">
        <v>1412</v>
      </c>
      <c r="C38" s="46">
        <f t="shared" si="0"/>
        <v>52</v>
      </c>
      <c r="D38" s="46">
        <v>1</v>
      </c>
      <c r="E38" s="46"/>
      <c r="F38" s="46"/>
      <c r="G38" s="66" t="s">
        <v>756</v>
      </c>
      <c r="H38" s="46" t="s">
        <v>1550</v>
      </c>
      <c r="I38" s="46">
        <v>131</v>
      </c>
      <c r="J38" s="46">
        <v>5113</v>
      </c>
      <c r="K38" s="46" t="s">
        <v>21</v>
      </c>
      <c r="L38" s="46">
        <v>1</v>
      </c>
      <c r="M38" s="67">
        <v>27956989</v>
      </c>
      <c r="N38" s="67">
        <f t="shared" si="1"/>
        <v>27956989</v>
      </c>
      <c r="O38" s="46" t="s">
        <v>22</v>
      </c>
      <c r="P38" s="46">
        <v>35</v>
      </c>
      <c r="T38" s="13" t="s">
        <v>1646</v>
      </c>
      <c r="U38" s="74" t="s">
        <v>1647</v>
      </c>
      <c r="V38" s="75" t="s">
        <v>1586</v>
      </c>
      <c r="W38" s="77" t="s">
        <v>1646</v>
      </c>
      <c r="X38" s="74" t="s">
        <v>1587</v>
      </c>
      <c r="Y38" s="76" t="s">
        <v>1588</v>
      </c>
    </row>
    <row r="39" spans="1:25" ht="15" customHeight="1" x14ac:dyDescent="0.2">
      <c r="A39" s="46" t="s">
        <v>18</v>
      </c>
      <c r="B39" s="47" t="s">
        <v>1412</v>
      </c>
      <c r="C39" s="46">
        <f t="shared" si="0"/>
        <v>53</v>
      </c>
      <c r="D39" s="46">
        <v>1</v>
      </c>
      <c r="E39" s="46"/>
      <c r="F39" s="46"/>
      <c r="G39" s="66" t="s">
        <v>756</v>
      </c>
      <c r="H39" s="46" t="s">
        <v>1551</v>
      </c>
      <c r="I39" s="46">
        <v>333821</v>
      </c>
      <c r="J39" s="46">
        <v>131</v>
      </c>
      <c r="K39" s="46" t="s">
        <v>21</v>
      </c>
      <c r="L39" s="46">
        <v>1</v>
      </c>
      <c r="M39" s="67">
        <v>279570</v>
      </c>
      <c r="N39" s="67">
        <f t="shared" si="1"/>
        <v>279570</v>
      </c>
      <c r="O39" s="46" t="s">
        <v>22</v>
      </c>
      <c r="P39" s="46">
        <v>36</v>
      </c>
      <c r="T39" s="13" t="s">
        <v>784</v>
      </c>
      <c r="U39" s="74" t="s">
        <v>1648</v>
      </c>
      <c r="V39" s="75" t="s">
        <v>1586</v>
      </c>
      <c r="W39" s="77" t="s">
        <v>784</v>
      </c>
      <c r="X39" s="74" t="s">
        <v>1587</v>
      </c>
      <c r="Y39" s="76" t="s">
        <v>1588</v>
      </c>
    </row>
    <row r="40" spans="1:25" ht="15" customHeight="1" x14ac:dyDescent="0.2">
      <c r="A40" s="46" t="s">
        <v>18</v>
      </c>
      <c r="B40" s="47" t="s">
        <v>1534</v>
      </c>
      <c r="C40" s="46">
        <f t="shared" si="0"/>
        <v>54</v>
      </c>
      <c r="D40" s="46">
        <v>1</v>
      </c>
      <c r="E40" s="46"/>
      <c r="F40" s="46"/>
      <c r="G40" s="66" t="s">
        <v>1285</v>
      </c>
      <c r="H40" s="46" t="s">
        <v>1552</v>
      </c>
      <c r="I40" s="46">
        <v>131</v>
      </c>
      <c r="J40" s="46">
        <v>5113</v>
      </c>
      <c r="K40" s="46" t="s">
        <v>21</v>
      </c>
      <c r="L40" s="46">
        <v>1</v>
      </c>
      <c r="M40" s="67">
        <v>10707071</v>
      </c>
      <c r="N40" s="67">
        <f t="shared" si="1"/>
        <v>10707071</v>
      </c>
      <c r="O40" s="46" t="s">
        <v>22</v>
      </c>
      <c r="P40" s="46">
        <v>37</v>
      </c>
      <c r="T40" s="13" t="s">
        <v>158</v>
      </c>
      <c r="U40" s="74" t="s">
        <v>1649</v>
      </c>
      <c r="V40" s="75" t="s">
        <v>1586</v>
      </c>
      <c r="W40" s="77" t="s">
        <v>158</v>
      </c>
      <c r="X40" s="74" t="s">
        <v>1587</v>
      </c>
      <c r="Y40" s="76" t="s">
        <v>1588</v>
      </c>
    </row>
    <row r="41" spans="1:25" ht="15" customHeight="1" x14ac:dyDescent="0.2">
      <c r="A41" s="46" t="s">
        <v>18</v>
      </c>
      <c r="B41" s="47" t="s">
        <v>1534</v>
      </c>
      <c r="C41" s="46">
        <f t="shared" si="0"/>
        <v>55</v>
      </c>
      <c r="D41" s="46">
        <v>1</v>
      </c>
      <c r="E41" s="46"/>
      <c r="F41" s="46"/>
      <c r="G41" s="66" t="s">
        <v>1285</v>
      </c>
      <c r="H41" s="46" t="s">
        <v>1553</v>
      </c>
      <c r="I41" s="46">
        <v>333821</v>
      </c>
      <c r="J41" s="46">
        <v>131</v>
      </c>
      <c r="K41" s="46" t="s">
        <v>21</v>
      </c>
      <c r="L41" s="46">
        <v>1</v>
      </c>
      <c r="M41" s="67">
        <v>107071</v>
      </c>
      <c r="N41" s="67">
        <f t="shared" si="1"/>
        <v>107071</v>
      </c>
      <c r="O41" s="46" t="s">
        <v>22</v>
      </c>
      <c r="P41" s="46">
        <v>38</v>
      </c>
      <c r="T41" s="13" t="s">
        <v>1000</v>
      </c>
      <c r="U41" s="74" t="s">
        <v>1650</v>
      </c>
      <c r="V41" s="75" t="s">
        <v>1586</v>
      </c>
      <c r="W41" s="77" t="s">
        <v>1000</v>
      </c>
      <c r="X41" s="74" t="s">
        <v>1587</v>
      </c>
      <c r="Y41" s="76" t="s">
        <v>1588</v>
      </c>
    </row>
    <row r="42" spans="1:25" ht="15" customHeight="1" x14ac:dyDescent="0.2">
      <c r="A42" s="46" t="s">
        <v>18</v>
      </c>
      <c r="B42" s="47" t="s">
        <v>1416</v>
      </c>
      <c r="C42" s="46">
        <f t="shared" si="0"/>
        <v>56</v>
      </c>
      <c r="D42" s="46">
        <v>1</v>
      </c>
      <c r="E42" s="46"/>
      <c r="F42" s="46"/>
      <c r="G42" s="66" t="s">
        <v>1539</v>
      </c>
      <c r="H42" s="46" t="s">
        <v>1554</v>
      </c>
      <c r="I42" s="46">
        <v>131</v>
      </c>
      <c r="J42" s="46">
        <v>5113</v>
      </c>
      <c r="K42" s="46" t="s">
        <v>21</v>
      </c>
      <c r="L42" s="46">
        <v>1</v>
      </c>
      <c r="M42" s="67">
        <v>11111111</v>
      </c>
      <c r="N42" s="67">
        <f t="shared" si="1"/>
        <v>11111111</v>
      </c>
      <c r="O42" s="46" t="s">
        <v>22</v>
      </c>
      <c r="P42" s="46">
        <v>39</v>
      </c>
      <c r="T42" s="13" t="s">
        <v>1651</v>
      </c>
      <c r="U42" s="74" t="s">
        <v>1652</v>
      </c>
      <c r="V42" s="75" t="s">
        <v>1586</v>
      </c>
      <c r="W42" s="77" t="s">
        <v>1651</v>
      </c>
      <c r="X42" s="74" t="s">
        <v>1587</v>
      </c>
      <c r="Y42" s="76" t="s">
        <v>1588</v>
      </c>
    </row>
    <row r="43" spans="1:25" ht="15" customHeight="1" x14ac:dyDescent="0.2">
      <c r="A43" s="46" t="s">
        <v>18</v>
      </c>
      <c r="B43" s="47" t="s">
        <v>1416</v>
      </c>
      <c r="C43" s="46">
        <f t="shared" si="0"/>
        <v>57</v>
      </c>
      <c r="D43" s="46">
        <v>1</v>
      </c>
      <c r="E43" s="46"/>
      <c r="F43" s="46"/>
      <c r="G43" s="66" t="s">
        <v>1539</v>
      </c>
      <c r="H43" s="46" t="s">
        <v>1555</v>
      </c>
      <c r="I43" s="46">
        <v>333821</v>
      </c>
      <c r="J43" s="46">
        <v>131</v>
      </c>
      <c r="K43" s="46" t="s">
        <v>21</v>
      </c>
      <c r="L43" s="46">
        <v>1</v>
      </c>
      <c r="M43" s="67">
        <v>111111</v>
      </c>
      <c r="N43" s="67">
        <f t="shared" si="1"/>
        <v>111111</v>
      </c>
      <c r="O43" s="46" t="s">
        <v>22</v>
      </c>
      <c r="P43" s="46">
        <v>40</v>
      </c>
      <c r="T43" s="13" t="s">
        <v>35</v>
      </c>
      <c r="U43" s="74" t="s">
        <v>1653</v>
      </c>
      <c r="V43" s="75" t="s">
        <v>1586</v>
      </c>
      <c r="W43" s="77" t="s">
        <v>35</v>
      </c>
      <c r="X43" s="74" t="s">
        <v>1587</v>
      </c>
      <c r="Y43" s="76" t="s">
        <v>1588</v>
      </c>
    </row>
    <row r="44" spans="1:25" ht="15" customHeight="1" x14ac:dyDescent="0.2">
      <c r="A44" s="46" t="s">
        <v>18</v>
      </c>
      <c r="B44" s="47" t="s">
        <v>1416</v>
      </c>
      <c r="C44" s="46">
        <f t="shared" si="0"/>
        <v>58</v>
      </c>
      <c r="D44" s="46">
        <v>1</v>
      </c>
      <c r="E44" s="46"/>
      <c r="F44" s="46"/>
      <c r="G44" s="66" t="s">
        <v>1542</v>
      </c>
      <c r="H44" s="46" t="s">
        <v>1556</v>
      </c>
      <c r="I44" s="46">
        <v>131</v>
      </c>
      <c r="J44" s="46">
        <v>5113</v>
      </c>
      <c r="K44" s="46" t="s">
        <v>21</v>
      </c>
      <c r="L44" s="46">
        <v>1</v>
      </c>
      <c r="M44" s="67">
        <v>29032258</v>
      </c>
      <c r="N44" s="67">
        <f t="shared" si="1"/>
        <v>29032258</v>
      </c>
      <c r="O44" s="46" t="s">
        <v>22</v>
      </c>
      <c r="P44" s="46">
        <v>41</v>
      </c>
      <c r="T44" s="13" t="s">
        <v>19</v>
      </c>
      <c r="U44" s="74" t="s">
        <v>1654</v>
      </c>
      <c r="V44" s="75" t="s">
        <v>1655</v>
      </c>
      <c r="W44" s="77" t="s">
        <v>19</v>
      </c>
      <c r="X44" s="74" t="s">
        <v>1587</v>
      </c>
      <c r="Y44" s="76" t="s">
        <v>1588</v>
      </c>
    </row>
    <row r="45" spans="1:25" ht="15" customHeight="1" x14ac:dyDescent="0.2">
      <c r="A45" s="46" t="s">
        <v>18</v>
      </c>
      <c r="B45" s="47" t="s">
        <v>1416</v>
      </c>
      <c r="C45" s="46">
        <f t="shared" si="0"/>
        <v>59</v>
      </c>
      <c r="D45" s="46">
        <v>1</v>
      </c>
      <c r="E45" s="46"/>
      <c r="F45" s="46"/>
      <c r="G45" s="66" t="s">
        <v>1542</v>
      </c>
      <c r="H45" s="46" t="s">
        <v>1557</v>
      </c>
      <c r="I45" s="46">
        <v>333821</v>
      </c>
      <c r="J45" s="46">
        <v>131</v>
      </c>
      <c r="K45" s="46" t="s">
        <v>21</v>
      </c>
      <c r="L45" s="46">
        <v>1</v>
      </c>
      <c r="M45" s="67">
        <v>290323</v>
      </c>
      <c r="N45" s="67">
        <f t="shared" si="1"/>
        <v>290323</v>
      </c>
      <c r="O45" s="46" t="s">
        <v>22</v>
      </c>
      <c r="P45" s="46">
        <v>42</v>
      </c>
      <c r="T45" s="13" t="s">
        <v>1656</v>
      </c>
      <c r="U45" s="74" t="s">
        <v>1657</v>
      </c>
      <c r="V45" s="75" t="s">
        <v>1586</v>
      </c>
      <c r="W45" s="77" t="s">
        <v>1656</v>
      </c>
      <c r="X45" s="74" t="s">
        <v>1587</v>
      </c>
      <c r="Y45" s="76" t="s">
        <v>1588</v>
      </c>
    </row>
    <row r="46" spans="1:25" ht="15" customHeight="1" x14ac:dyDescent="0.2">
      <c r="A46" s="46" t="s">
        <v>18</v>
      </c>
      <c r="B46" s="47" t="s">
        <v>1535</v>
      </c>
      <c r="C46" s="46">
        <f t="shared" si="0"/>
        <v>60</v>
      </c>
      <c r="D46" s="46">
        <v>1</v>
      </c>
      <c r="E46" s="46"/>
      <c r="F46" s="46"/>
      <c r="G46" s="66" t="s">
        <v>252</v>
      </c>
      <c r="H46" s="46" t="s">
        <v>1558</v>
      </c>
      <c r="I46" s="46">
        <v>131</v>
      </c>
      <c r="J46" s="46">
        <v>5113</v>
      </c>
      <c r="K46" s="46" t="s">
        <v>21</v>
      </c>
      <c r="L46" s="46">
        <v>1</v>
      </c>
      <c r="M46" s="67">
        <v>26767677</v>
      </c>
      <c r="N46" s="67">
        <f t="shared" si="1"/>
        <v>26767677</v>
      </c>
      <c r="O46" s="46" t="s">
        <v>22</v>
      </c>
      <c r="P46" s="46">
        <v>43</v>
      </c>
      <c r="T46" s="13" t="s">
        <v>1658</v>
      </c>
      <c r="U46" s="74" t="s">
        <v>1659</v>
      </c>
      <c r="V46" s="75" t="s">
        <v>1586</v>
      </c>
      <c r="W46" s="77" t="s">
        <v>1658</v>
      </c>
      <c r="X46" s="74" t="s">
        <v>1587</v>
      </c>
      <c r="Y46" s="76" t="s">
        <v>1588</v>
      </c>
    </row>
    <row r="47" spans="1:25" ht="15" customHeight="1" x14ac:dyDescent="0.2">
      <c r="A47" s="46" t="s">
        <v>18</v>
      </c>
      <c r="B47" s="47" t="s">
        <v>1535</v>
      </c>
      <c r="C47" s="46">
        <f t="shared" si="0"/>
        <v>61</v>
      </c>
      <c r="D47" s="46">
        <v>1</v>
      </c>
      <c r="E47" s="46"/>
      <c r="F47" s="46"/>
      <c r="G47" s="66" t="s">
        <v>252</v>
      </c>
      <c r="H47" s="46" t="s">
        <v>1559</v>
      </c>
      <c r="I47" s="46">
        <v>333821</v>
      </c>
      <c r="J47" s="46">
        <v>131</v>
      </c>
      <c r="K47" s="46" t="s">
        <v>21</v>
      </c>
      <c r="L47" s="46">
        <v>1</v>
      </c>
      <c r="M47" s="67">
        <v>267677</v>
      </c>
      <c r="N47" s="67">
        <f t="shared" si="1"/>
        <v>267677</v>
      </c>
      <c r="O47" s="46" t="s">
        <v>22</v>
      </c>
      <c r="P47" s="46">
        <v>44</v>
      </c>
      <c r="T47" s="13" t="s">
        <v>1538</v>
      </c>
      <c r="U47" s="74" t="s">
        <v>1660</v>
      </c>
      <c r="V47" s="75" t="s">
        <v>1661</v>
      </c>
      <c r="W47" s="77" t="s">
        <v>1538</v>
      </c>
      <c r="X47" s="74" t="s">
        <v>1587</v>
      </c>
      <c r="Y47" s="76" t="s">
        <v>1588</v>
      </c>
    </row>
    <row r="48" spans="1:25" ht="15" customHeight="1" x14ac:dyDescent="0.2">
      <c r="A48" s="46" t="s">
        <v>18</v>
      </c>
      <c r="B48" s="47" t="s">
        <v>1421</v>
      </c>
      <c r="C48" s="46">
        <f t="shared" si="0"/>
        <v>62</v>
      </c>
      <c r="D48" s="46">
        <v>1</v>
      </c>
      <c r="E48" s="46"/>
      <c r="F48" s="46"/>
      <c r="G48" s="66" t="s">
        <v>756</v>
      </c>
      <c r="H48" s="46" t="s">
        <v>1560</v>
      </c>
      <c r="I48" s="46">
        <v>131</v>
      </c>
      <c r="J48" s="46">
        <v>5113</v>
      </c>
      <c r="K48" s="46" t="s">
        <v>21</v>
      </c>
      <c r="L48" s="46">
        <v>1</v>
      </c>
      <c r="M48" s="67">
        <v>27956989</v>
      </c>
      <c r="N48" s="67">
        <f t="shared" si="1"/>
        <v>27956989</v>
      </c>
      <c r="O48" s="46" t="s">
        <v>22</v>
      </c>
      <c r="P48" s="46">
        <v>45</v>
      </c>
      <c r="T48" s="13" t="s">
        <v>1662</v>
      </c>
      <c r="U48" s="74" t="s">
        <v>1663</v>
      </c>
      <c r="V48" s="75" t="s">
        <v>1586</v>
      </c>
      <c r="W48" s="77" t="s">
        <v>1662</v>
      </c>
      <c r="X48" s="74" t="s">
        <v>1587</v>
      </c>
      <c r="Y48" s="76" t="s">
        <v>1588</v>
      </c>
    </row>
    <row r="49" spans="1:25" ht="15" customHeight="1" x14ac:dyDescent="0.2">
      <c r="A49" s="46" t="s">
        <v>18</v>
      </c>
      <c r="B49" s="47" t="s">
        <v>1421</v>
      </c>
      <c r="C49" s="46">
        <f t="shared" si="0"/>
        <v>63</v>
      </c>
      <c r="D49" s="46">
        <v>1</v>
      </c>
      <c r="E49" s="46"/>
      <c r="F49" s="46"/>
      <c r="G49" s="66" t="s">
        <v>756</v>
      </c>
      <c r="H49" s="46" t="s">
        <v>1561</v>
      </c>
      <c r="I49" s="46">
        <v>333821</v>
      </c>
      <c r="J49" s="46">
        <v>131</v>
      </c>
      <c r="K49" s="46" t="s">
        <v>21</v>
      </c>
      <c r="L49" s="46">
        <v>1</v>
      </c>
      <c r="M49" s="67">
        <v>279570</v>
      </c>
      <c r="N49" s="67">
        <f t="shared" si="1"/>
        <v>279570</v>
      </c>
      <c r="O49" s="46" t="s">
        <v>22</v>
      </c>
      <c r="P49" s="46">
        <v>46</v>
      </c>
      <c r="T49" s="13" t="s">
        <v>1664</v>
      </c>
      <c r="U49" s="74" t="s">
        <v>1665</v>
      </c>
      <c r="V49" s="75" t="s">
        <v>1586</v>
      </c>
      <c r="W49" s="77" t="s">
        <v>1664</v>
      </c>
      <c r="X49" s="74" t="s">
        <v>1587</v>
      </c>
      <c r="Y49" s="76" t="s">
        <v>1588</v>
      </c>
    </row>
    <row r="50" spans="1:25" ht="15" customHeight="1" x14ac:dyDescent="0.2">
      <c r="A50" s="46" t="s">
        <v>18</v>
      </c>
      <c r="B50" s="47" t="s">
        <v>1421</v>
      </c>
      <c r="C50" s="46">
        <f t="shared" si="0"/>
        <v>64</v>
      </c>
      <c r="D50" s="46">
        <v>1</v>
      </c>
      <c r="E50" s="46"/>
      <c r="F50" s="46"/>
      <c r="G50" s="66" t="s">
        <v>756</v>
      </c>
      <c r="H50" s="46" t="s">
        <v>1562</v>
      </c>
      <c r="I50" s="46">
        <v>131</v>
      </c>
      <c r="J50" s="46">
        <v>5113</v>
      </c>
      <c r="K50" s="46" t="s">
        <v>21</v>
      </c>
      <c r="L50" s="46">
        <v>1</v>
      </c>
      <c r="M50" s="67">
        <v>27956989</v>
      </c>
      <c r="N50" s="67">
        <f t="shared" si="1"/>
        <v>27956989</v>
      </c>
      <c r="O50" s="46" t="s">
        <v>22</v>
      </c>
      <c r="P50" s="46">
        <v>47</v>
      </c>
      <c r="T50" s="13" t="s">
        <v>1666</v>
      </c>
      <c r="U50" s="74" t="s">
        <v>1667</v>
      </c>
      <c r="V50" s="75" t="s">
        <v>1586</v>
      </c>
      <c r="W50" s="77" t="s">
        <v>1666</v>
      </c>
      <c r="X50" s="74" t="s">
        <v>1587</v>
      </c>
      <c r="Y50" s="76" t="s">
        <v>1588</v>
      </c>
    </row>
    <row r="51" spans="1:25" ht="15" customHeight="1" x14ac:dyDescent="0.2">
      <c r="A51" s="46" t="s">
        <v>18</v>
      </c>
      <c r="B51" s="47" t="s">
        <v>1421</v>
      </c>
      <c r="C51" s="46">
        <f t="shared" si="0"/>
        <v>65</v>
      </c>
      <c r="D51" s="46">
        <v>1</v>
      </c>
      <c r="E51" s="46"/>
      <c r="F51" s="46"/>
      <c r="G51" s="66" t="s">
        <v>756</v>
      </c>
      <c r="H51" s="46" t="s">
        <v>1563</v>
      </c>
      <c r="I51" s="46">
        <v>333821</v>
      </c>
      <c r="J51" s="46">
        <v>131</v>
      </c>
      <c r="K51" s="46" t="s">
        <v>21</v>
      </c>
      <c r="L51" s="46">
        <v>1</v>
      </c>
      <c r="M51" s="67">
        <v>279570</v>
      </c>
      <c r="N51" s="67">
        <f t="shared" si="1"/>
        <v>279570</v>
      </c>
      <c r="O51" s="46" t="s">
        <v>22</v>
      </c>
      <c r="P51" s="46">
        <v>48</v>
      </c>
      <c r="T51" s="13" t="s">
        <v>1186</v>
      </c>
      <c r="U51" s="74" t="s">
        <v>1668</v>
      </c>
      <c r="V51" s="75" t="s">
        <v>1669</v>
      </c>
      <c r="W51" s="77" t="s">
        <v>1186</v>
      </c>
      <c r="X51" s="74" t="s">
        <v>1587</v>
      </c>
      <c r="Y51" s="76" t="s">
        <v>1588</v>
      </c>
    </row>
    <row r="52" spans="1:25" ht="15" customHeight="1" x14ac:dyDescent="0.2">
      <c r="A52" s="46" t="s">
        <v>18</v>
      </c>
      <c r="B52" s="47" t="s">
        <v>1536</v>
      </c>
      <c r="C52" s="46">
        <f t="shared" si="0"/>
        <v>66</v>
      </c>
      <c r="D52" s="46">
        <v>1</v>
      </c>
      <c r="E52" s="46"/>
      <c r="F52" s="46"/>
      <c r="G52" s="66" t="s">
        <v>976</v>
      </c>
      <c r="H52" s="46" t="s">
        <v>1564</v>
      </c>
      <c r="I52" s="46">
        <v>131</v>
      </c>
      <c r="J52" s="46">
        <v>5113</v>
      </c>
      <c r="K52" s="46" t="s">
        <v>21</v>
      </c>
      <c r="L52" s="46">
        <v>1</v>
      </c>
      <c r="M52" s="67">
        <v>27956989</v>
      </c>
      <c r="N52" s="67">
        <f t="shared" si="1"/>
        <v>27956989</v>
      </c>
      <c r="O52" s="46" t="s">
        <v>22</v>
      </c>
      <c r="P52" s="46">
        <v>49</v>
      </c>
      <c r="T52" s="13" t="s">
        <v>29</v>
      </c>
      <c r="U52" s="74" t="s">
        <v>1670</v>
      </c>
      <c r="V52" s="75" t="s">
        <v>1586</v>
      </c>
      <c r="W52" s="77" t="s">
        <v>29</v>
      </c>
      <c r="X52" s="74" t="s">
        <v>1587</v>
      </c>
      <c r="Y52" s="76" t="s">
        <v>1588</v>
      </c>
    </row>
    <row r="53" spans="1:25" ht="15" customHeight="1" x14ac:dyDescent="0.2">
      <c r="A53" s="46" t="s">
        <v>18</v>
      </c>
      <c r="B53" s="47" t="s">
        <v>1536</v>
      </c>
      <c r="C53" s="46">
        <f t="shared" si="0"/>
        <v>67</v>
      </c>
      <c r="D53" s="46">
        <v>1</v>
      </c>
      <c r="E53" s="46"/>
      <c r="F53" s="46"/>
      <c r="G53" s="66" t="s">
        <v>976</v>
      </c>
      <c r="H53" s="46" t="s">
        <v>1565</v>
      </c>
      <c r="I53" s="46">
        <v>333821</v>
      </c>
      <c r="J53" s="46">
        <v>131</v>
      </c>
      <c r="K53" s="46" t="s">
        <v>21</v>
      </c>
      <c r="L53" s="46">
        <v>1</v>
      </c>
      <c r="M53" s="67">
        <v>279570</v>
      </c>
      <c r="N53" s="67">
        <f t="shared" si="1"/>
        <v>279570</v>
      </c>
      <c r="O53" s="46" t="s">
        <v>22</v>
      </c>
      <c r="P53" s="46">
        <v>50</v>
      </c>
      <c r="T53" s="13" t="s">
        <v>1671</v>
      </c>
      <c r="U53" s="74" t="s">
        <v>1672</v>
      </c>
      <c r="V53" s="75" t="s">
        <v>1586</v>
      </c>
      <c r="W53" s="77" t="s">
        <v>1671</v>
      </c>
      <c r="X53" s="74" t="s">
        <v>1587</v>
      </c>
      <c r="Y53" s="76" t="s">
        <v>1588</v>
      </c>
    </row>
    <row r="54" spans="1:25" ht="15" customHeight="1" x14ac:dyDescent="0.2">
      <c r="A54" s="46" t="s">
        <v>18</v>
      </c>
      <c r="B54" s="47" t="s">
        <v>1537</v>
      </c>
      <c r="C54" s="46">
        <f t="shared" si="0"/>
        <v>68</v>
      </c>
      <c r="D54" s="46">
        <v>1</v>
      </c>
      <c r="E54" s="46"/>
      <c r="F54" s="46"/>
      <c r="G54" s="66" t="s">
        <v>756</v>
      </c>
      <c r="H54" s="46" t="s">
        <v>1566</v>
      </c>
      <c r="I54" s="46">
        <v>131</v>
      </c>
      <c r="J54" s="46">
        <v>5113</v>
      </c>
      <c r="K54" s="46" t="s">
        <v>21</v>
      </c>
      <c r="L54" s="46">
        <v>1</v>
      </c>
      <c r="M54" s="67">
        <v>27956989</v>
      </c>
      <c r="N54" s="67">
        <f t="shared" si="1"/>
        <v>27956989</v>
      </c>
      <c r="O54" s="46" t="s">
        <v>22</v>
      </c>
      <c r="P54" s="46">
        <v>51</v>
      </c>
      <c r="T54" s="13" t="s">
        <v>695</v>
      </c>
      <c r="U54" s="74" t="s">
        <v>1673</v>
      </c>
      <c r="V54" s="75" t="s">
        <v>1674</v>
      </c>
      <c r="W54" s="77" t="s">
        <v>695</v>
      </c>
      <c r="X54" s="74" t="s">
        <v>1587</v>
      </c>
      <c r="Y54" s="76" t="s">
        <v>1588</v>
      </c>
    </row>
    <row r="55" spans="1:25" ht="15" customHeight="1" x14ac:dyDescent="0.2">
      <c r="A55" s="46" t="s">
        <v>18</v>
      </c>
      <c r="B55" s="47" t="s">
        <v>1537</v>
      </c>
      <c r="C55" s="46">
        <f t="shared" si="0"/>
        <v>69</v>
      </c>
      <c r="D55" s="46">
        <v>1</v>
      </c>
      <c r="E55" s="46"/>
      <c r="F55" s="46"/>
      <c r="G55" s="66" t="s">
        <v>756</v>
      </c>
      <c r="H55" s="46" t="s">
        <v>1567</v>
      </c>
      <c r="I55" s="46">
        <v>333821</v>
      </c>
      <c r="J55" s="46">
        <v>131</v>
      </c>
      <c r="K55" s="46" t="s">
        <v>21</v>
      </c>
      <c r="L55" s="46">
        <v>1</v>
      </c>
      <c r="M55" s="67">
        <v>279570</v>
      </c>
      <c r="N55" s="67">
        <f t="shared" si="1"/>
        <v>279570</v>
      </c>
      <c r="O55" s="46" t="s">
        <v>22</v>
      </c>
      <c r="P55" s="46">
        <v>52</v>
      </c>
      <c r="T55" s="13" t="s">
        <v>358</v>
      </c>
      <c r="U55" s="74" t="s">
        <v>1675</v>
      </c>
      <c r="V55" s="75" t="s">
        <v>1586</v>
      </c>
      <c r="W55" s="77" t="s">
        <v>358</v>
      </c>
      <c r="X55" s="74" t="s">
        <v>1587</v>
      </c>
      <c r="Y55" s="76" t="s">
        <v>1588</v>
      </c>
    </row>
    <row r="56" spans="1:25" ht="15" customHeight="1" x14ac:dyDescent="0.2">
      <c r="A56" s="46" t="s">
        <v>368</v>
      </c>
      <c r="B56" s="47">
        <v>45846</v>
      </c>
      <c r="C56" s="46">
        <f t="shared" si="0"/>
        <v>70</v>
      </c>
      <c r="D56" s="46">
        <v>1</v>
      </c>
      <c r="E56" s="46"/>
      <c r="F56" s="46"/>
      <c r="G56" s="66" t="s">
        <v>158</v>
      </c>
      <c r="H56" s="46" t="s">
        <v>1318</v>
      </c>
      <c r="I56" s="46">
        <v>331</v>
      </c>
      <c r="J56" s="46">
        <v>1111</v>
      </c>
      <c r="K56" s="46" t="s">
        <v>21</v>
      </c>
      <c r="L56" s="46">
        <v>1</v>
      </c>
      <c r="M56" s="67">
        <v>3240000</v>
      </c>
      <c r="N56" s="67">
        <f t="shared" ref="N56:N96" si="2">L56*M56</f>
        <v>3240000</v>
      </c>
      <c r="O56" s="46" t="s">
        <v>22</v>
      </c>
      <c r="P56" s="46">
        <v>53</v>
      </c>
      <c r="T56" s="13" t="s">
        <v>1676</v>
      </c>
      <c r="U56" s="74" t="s">
        <v>1677</v>
      </c>
      <c r="V56" s="75" t="s">
        <v>1586</v>
      </c>
      <c r="W56" s="77" t="s">
        <v>1676</v>
      </c>
      <c r="X56" s="74" t="s">
        <v>1587</v>
      </c>
      <c r="Y56" s="76" t="s">
        <v>1588</v>
      </c>
    </row>
    <row r="57" spans="1:25" ht="15" customHeight="1" x14ac:dyDescent="0.2">
      <c r="A57" s="46" t="s">
        <v>368</v>
      </c>
      <c r="B57" s="47">
        <v>45847</v>
      </c>
      <c r="C57" s="46">
        <f t="shared" si="0"/>
        <v>71</v>
      </c>
      <c r="D57" s="46">
        <v>1</v>
      </c>
      <c r="E57" s="46"/>
      <c r="F57" s="46"/>
      <c r="G57" s="66" t="s">
        <v>1568</v>
      </c>
      <c r="H57" s="46" t="s">
        <v>1319</v>
      </c>
      <c r="I57" s="46">
        <v>331</v>
      </c>
      <c r="J57" s="46">
        <v>1111</v>
      </c>
      <c r="K57" s="46" t="s">
        <v>21</v>
      </c>
      <c r="L57" s="46">
        <v>1</v>
      </c>
      <c r="M57" s="67">
        <v>4330000</v>
      </c>
      <c r="N57" s="67">
        <f t="shared" si="2"/>
        <v>4330000</v>
      </c>
      <c r="O57" s="46" t="s">
        <v>22</v>
      </c>
      <c r="P57" s="46">
        <v>54</v>
      </c>
      <c r="T57" s="13" t="s">
        <v>1678</v>
      </c>
      <c r="U57" s="74" t="s">
        <v>1679</v>
      </c>
      <c r="V57" s="75" t="s">
        <v>1586</v>
      </c>
      <c r="W57" s="77" t="s">
        <v>1678</v>
      </c>
      <c r="X57" s="74" t="s">
        <v>1587</v>
      </c>
      <c r="Y57" s="76" t="s">
        <v>1588</v>
      </c>
    </row>
    <row r="58" spans="1:25" ht="15" customHeight="1" x14ac:dyDescent="0.2">
      <c r="A58" s="46" t="s">
        <v>368</v>
      </c>
      <c r="B58" s="47">
        <v>45867</v>
      </c>
      <c r="C58" s="46">
        <f t="shared" si="0"/>
        <v>72</v>
      </c>
      <c r="D58" s="46">
        <v>1</v>
      </c>
      <c r="E58" s="46"/>
      <c r="F58" s="46"/>
      <c r="G58" s="66" t="s">
        <v>1569</v>
      </c>
      <c r="H58" s="46" t="s">
        <v>1320</v>
      </c>
      <c r="I58" s="46">
        <v>331</v>
      </c>
      <c r="J58" s="46">
        <v>1111</v>
      </c>
      <c r="K58" s="46" t="s">
        <v>21</v>
      </c>
      <c r="L58" s="46">
        <v>1</v>
      </c>
      <c r="M58" s="67">
        <v>20000</v>
      </c>
      <c r="N58" s="67">
        <f t="shared" si="2"/>
        <v>20000</v>
      </c>
      <c r="O58" s="46" t="s">
        <v>22</v>
      </c>
      <c r="P58" s="46">
        <v>55</v>
      </c>
      <c r="T58" s="13" t="s">
        <v>909</v>
      </c>
      <c r="U58" s="74" t="s">
        <v>1680</v>
      </c>
      <c r="V58" s="75" t="s">
        <v>1586</v>
      </c>
      <c r="W58" s="77" t="s">
        <v>909</v>
      </c>
      <c r="X58" s="74" t="s">
        <v>1587</v>
      </c>
      <c r="Y58" s="76" t="s">
        <v>1588</v>
      </c>
    </row>
    <row r="59" spans="1:25" ht="15" customHeight="1" x14ac:dyDescent="0.2">
      <c r="A59" s="46" t="s">
        <v>368</v>
      </c>
      <c r="B59" s="47">
        <v>45870</v>
      </c>
      <c r="C59" s="46">
        <f t="shared" si="0"/>
        <v>73</v>
      </c>
      <c r="D59" s="46">
        <v>1</v>
      </c>
      <c r="E59" s="46"/>
      <c r="F59" s="46"/>
      <c r="G59" s="66" t="s">
        <v>209</v>
      </c>
      <c r="H59" s="46" t="s">
        <v>1321</v>
      </c>
      <c r="I59" s="46">
        <v>331</v>
      </c>
      <c r="J59" s="46">
        <v>1111</v>
      </c>
      <c r="K59" s="46" t="s">
        <v>21</v>
      </c>
      <c r="L59" s="46">
        <v>1</v>
      </c>
      <c r="M59" s="67">
        <v>745200</v>
      </c>
      <c r="N59" s="67">
        <f t="shared" si="2"/>
        <v>745200</v>
      </c>
      <c r="O59" s="46" t="s">
        <v>22</v>
      </c>
      <c r="P59" s="46">
        <v>56</v>
      </c>
      <c r="T59" s="13" t="s">
        <v>1681</v>
      </c>
      <c r="U59" s="74" t="s">
        <v>1682</v>
      </c>
      <c r="V59" s="75" t="s">
        <v>1586</v>
      </c>
      <c r="W59" s="77" t="s">
        <v>1681</v>
      </c>
      <c r="X59" s="74" t="s">
        <v>1587</v>
      </c>
      <c r="Y59" s="76" t="s">
        <v>1588</v>
      </c>
    </row>
    <row r="60" spans="1:25" ht="15" customHeight="1" x14ac:dyDescent="0.2">
      <c r="A60" s="46" t="s">
        <v>368</v>
      </c>
      <c r="B60" s="47">
        <v>45870</v>
      </c>
      <c r="C60" s="46">
        <f t="shared" si="0"/>
        <v>74</v>
      </c>
      <c r="D60" s="46">
        <v>1</v>
      </c>
      <c r="E60" s="46"/>
      <c r="F60" s="46"/>
      <c r="G60" s="66" t="s">
        <v>1568</v>
      </c>
      <c r="H60" s="46" t="s">
        <v>1322</v>
      </c>
      <c r="I60" s="46">
        <v>331</v>
      </c>
      <c r="J60" s="46">
        <v>1111</v>
      </c>
      <c r="K60" s="46" t="s">
        <v>21</v>
      </c>
      <c r="L60" s="46">
        <v>1</v>
      </c>
      <c r="M60" s="67">
        <v>4252000</v>
      </c>
      <c r="N60" s="67">
        <f t="shared" si="2"/>
        <v>4252000</v>
      </c>
      <c r="O60" s="46" t="s">
        <v>22</v>
      </c>
      <c r="P60" s="46">
        <v>57</v>
      </c>
      <c r="T60" s="13" t="s">
        <v>1285</v>
      </c>
      <c r="U60" s="74" t="s">
        <v>1683</v>
      </c>
      <c r="V60" s="75" t="s">
        <v>1684</v>
      </c>
      <c r="W60" s="77" t="s">
        <v>1285</v>
      </c>
      <c r="X60" s="74" t="s">
        <v>1587</v>
      </c>
      <c r="Y60" s="76" t="s">
        <v>1588</v>
      </c>
    </row>
    <row r="61" spans="1:25" ht="15" customHeight="1" x14ac:dyDescent="0.2">
      <c r="A61" s="46" t="s">
        <v>368</v>
      </c>
      <c r="B61" s="47">
        <v>45872</v>
      </c>
      <c r="C61" s="46">
        <f t="shared" si="0"/>
        <v>75</v>
      </c>
      <c r="D61" s="46">
        <v>1</v>
      </c>
      <c r="E61" s="46"/>
      <c r="F61" s="46"/>
      <c r="G61" s="66" t="s">
        <v>1569</v>
      </c>
      <c r="H61" s="46" t="s">
        <v>1323</v>
      </c>
      <c r="I61" s="46">
        <v>331</v>
      </c>
      <c r="J61" s="46">
        <v>1111</v>
      </c>
      <c r="K61" s="46" t="s">
        <v>21</v>
      </c>
      <c r="L61" s="46">
        <v>1</v>
      </c>
      <c r="M61" s="67">
        <v>20000</v>
      </c>
      <c r="N61" s="67">
        <f t="shared" si="2"/>
        <v>20000</v>
      </c>
      <c r="O61" s="46" t="s">
        <v>22</v>
      </c>
      <c r="P61" s="46">
        <v>58</v>
      </c>
      <c r="T61" s="13" t="s">
        <v>1685</v>
      </c>
      <c r="U61" s="74" t="s">
        <v>1686</v>
      </c>
      <c r="V61" s="75" t="s">
        <v>1586</v>
      </c>
      <c r="W61" s="77" t="s">
        <v>1685</v>
      </c>
      <c r="X61" s="74" t="s">
        <v>1587</v>
      </c>
      <c r="Y61" s="76" t="s">
        <v>1588</v>
      </c>
    </row>
    <row r="62" spans="1:25" ht="15" customHeight="1" x14ac:dyDescent="0.2">
      <c r="A62" s="46" t="s">
        <v>368</v>
      </c>
      <c r="B62" s="47">
        <v>45873</v>
      </c>
      <c r="C62" s="46">
        <f t="shared" si="0"/>
        <v>76</v>
      </c>
      <c r="D62" s="46">
        <v>1</v>
      </c>
      <c r="E62" s="46"/>
      <c r="F62" s="46"/>
      <c r="G62" s="66" t="s">
        <v>1569</v>
      </c>
      <c r="H62" s="46" t="s">
        <v>1324</v>
      </c>
      <c r="I62" s="46">
        <v>331</v>
      </c>
      <c r="J62" s="46">
        <v>1111</v>
      </c>
      <c r="K62" s="46" t="s">
        <v>21</v>
      </c>
      <c r="L62" s="46">
        <v>1</v>
      </c>
      <c r="M62" s="67">
        <v>20000</v>
      </c>
      <c r="N62" s="67">
        <f t="shared" si="2"/>
        <v>20000</v>
      </c>
      <c r="O62" s="46" t="s">
        <v>22</v>
      </c>
      <c r="P62" s="46">
        <v>59</v>
      </c>
      <c r="T62" s="13" t="s">
        <v>897</v>
      </c>
      <c r="U62" s="74" t="s">
        <v>1687</v>
      </c>
      <c r="V62" s="75" t="s">
        <v>1586</v>
      </c>
      <c r="W62" s="77" t="s">
        <v>897</v>
      </c>
      <c r="X62" s="74" t="s">
        <v>1587</v>
      </c>
      <c r="Y62" s="76" t="s">
        <v>1588</v>
      </c>
    </row>
    <row r="63" spans="1:25" ht="15" customHeight="1" x14ac:dyDescent="0.2">
      <c r="A63" s="46" t="s">
        <v>368</v>
      </c>
      <c r="B63" s="47">
        <v>45874</v>
      </c>
      <c r="C63" s="46">
        <f t="shared" si="0"/>
        <v>77</v>
      </c>
      <c r="D63" s="46">
        <v>1</v>
      </c>
      <c r="E63" s="46"/>
      <c r="F63" s="46"/>
      <c r="G63" s="66" t="s">
        <v>1569</v>
      </c>
      <c r="H63" s="46" t="s">
        <v>1325</v>
      </c>
      <c r="I63" s="46">
        <v>331</v>
      </c>
      <c r="J63" s="46">
        <v>1111</v>
      </c>
      <c r="K63" s="46" t="s">
        <v>21</v>
      </c>
      <c r="L63" s="46">
        <v>1</v>
      </c>
      <c r="M63" s="67">
        <v>20000</v>
      </c>
      <c r="N63" s="67">
        <f t="shared" si="2"/>
        <v>20000</v>
      </c>
      <c r="O63" s="46" t="s">
        <v>22</v>
      </c>
      <c r="P63" s="46">
        <v>60</v>
      </c>
      <c r="T63" s="13" t="s">
        <v>1688</v>
      </c>
      <c r="U63" s="74" t="s">
        <v>1689</v>
      </c>
      <c r="V63" s="75" t="s">
        <v>1586</v>
      </c>
      <c r="W63" s="77" t="s">
        <v>1688</v>
      </c>
      <c r="X63" s="74" t="s">
        <v>1587</v>
      </c>
      <c r="Y63" s="76" t="s">
        <v>1588</v>
      </c>
    </row>
    <row r="64" spans="1:25" ht="15" customHeight="1" x14ac:dyDescent="0.2">
      <c r="A64" s="46" t="s">
        <v>368</v>
      </c>
      <c r="B64" s="47">
        <v>45878</v>
      </c>
      <c r="C64" s="46">
        <f t="shared" si="0"/>
        <v>78</v>
      </c>
      <c r="D64" s="46">
        <v>1</v>
      </c>
      <c r="E64" s="46"/>
      <c r="F64" s="46"/>
      <c r="G64" s="66" t="s">
        <v>1569</v>
      </c>
      <c r="H64" s="46" t="s">
        <v>1326</v>
      </c>
      <c r="I64" s="46">
        <v>331</v>
      </c>
      <c r="J64" s="46">
        <v>1111</v>
      </c>
      <c r="K64" s="46" t="s">
        <v>21</v>
      </c>
      <c r="L64" s="46">
        <v>1</v>
      </c>
      <c r="M64" s="67">
        <v>20000</v>
      </c>
      <c r="N64" s="67">
        <f t="shared" si="2"/>
        <v>20000</v>
      </c>
      <c r="O64" s="46" t="s">
        <v>22</v>
      </c>
      <c r="P64" s="46">
        <v>61</v>
      </c>
      <c r="T64" s="13" t="s">
        <v>1690</v>
      </c>
      <c r="U64" s="74" t="s">
        <v>1691</v>
      </c>
      <c r="V64" s="75" t="s">
        <v>1586</v>
      </c>
      <c r="W64" s="77" t="s">
        <v>1690</v>
      </c>
      <c r="X64" s="74" t="s">
        <v>1587</v>
      </c>
      <c r="Y64" s="76" t="s">
        <v>1588</v>
      </c>
    </row>
    <row r="65" spans="1:25" ht="15" customHeight="1" x14ac:dyDescent="0.2">
      <c r="A65" s="46" t="s">
        <v>368</v>
      </c>
      <c r="B65" s="47">
        <v>45879</v>
      </c>
      <c r="C65" s="46">
        <f t="shared" si="0"/>
        <v>79</v>
      </c>
      <c r="D65" s="46">
        <v>1</v>
      </c>
      <c r="E65" s="46"/>
      <c r="F65" s="46"/>
      <c r="G65" s="66" t="s">
        <v>85</v>
      </c>
      <c r="H65" s="46" t="s">
        <v>1327</v>
      </c>
      <c r="I65" s="46">
        <v>331</v>
      </c>
      <c r="J65" s="46">
        <v>1111</v>
      </c>
      <c r="K65" s="46" t="s">
        <v>21</v>
      </c>
      <c r="L65" s="46">
        <v>1</v>
      </c>
      <c r="M65" s="67">
        <v>1501740</v>
      </c>
      <c r="N65" s="67">
        <f t="shared" si="2"/>
        <v>1501740</v>
      </c>
      <c r="O65" s="46" t="s">
        <v>22</v>
      </c>
      <c r="P65" s="46">
        <v>62</v>
      </c>
      <c r="T65" s="13" t="s">
        <v>1692</v>
      </c>
      <c r="U65" s="74" t="s">
        <v>1693</v>
      </c>
      <c r="V65" s="75" t="s">
        <v>1586</v>
      </c>
      <c r="W65" s="77" t="s">
        <v>1692</v>
      </c>
      <c r="X65" s="74" t="s">
        <v>1587</v>
      </c>
      <c r="Y65" s="76" t="s">
        <v>1588</v>
      </c>
    </row>
    <row r="66" spans="1:25" ht="15" customHeight="1" x14ac:dyDescent="0.2">
      <c r="A66" s="46" t="s">
        <v>368</v>
      </c>
      <c r="B66" s="47">
        <v>45881</v>
      </c>
      <c r="C66" s="46">
        <f t="shared" si="0"/>
        <v>80</v>
      </c>
      <c r="D66" s="46">
        <v>1</v>
      </c>
      <c r="E66" s="46"/>
      <c r="F66" s="46"/>
      <c r="G66" s="66" t="s">
        <v>1570</v>
      </c>
      <c r="H66" s="46" t="s">
        <v>1328</v>
      </c>
      <c r="I66" s="46">
        <v>331</v>
      </c>
      <c r="J66" s="46">
        <v>1111</v>
      </c>
      <c r="K66" s="46" t="s">
        <v>21</v>
      </c>
      <c r="L66" s="46">
        <v>1</v>
      </c>
      <c r="M66" s="67">
        <v>484920</v>
      </c>
      <c r="N66" s="67">
        <f t="shared" si="2"/>
        <v>484920</v>
      </c>
      <c r="O66" s="46" t="s">
        <v>22</v>
      </c>
      <c r="P66" s="46">
        <v>63</v>
      </c>
      <c r="T66" s="13" t="s">
        <v>1694</v>
      </c>
      <c r="U66" s="74" t="s">
        <v>1695</v>
      </c>
      <c r="V66" s="75" t="s">
        <v>1586</v>
      </c>
      <c r="W66" s="77" t="s">
        <v>1694</v>
      </c>
      <c r="X66" s="74" t="s">
        <v>1587</v>
      </c>
      <c r="Y66" s="76" t="s">
        <v>1588</v>
      </c>
    </row>
    <row r="67" spans="1:25" ht="15" customHeight="1" x14ac:dyDescent="0.2">
      <c r="A67" s="46" t="s">
        <v>368</v>
      </c>
      <c r="B67" s="47">
        <v>45883</v>
      </c>
      <c r="C67" s="46">
        <f t="shared" si="0"/>
        <v>81</v>
      </c>
      <c r="D67" s="46">
        <v>1</v>
      </c>
      <c r="E67" s="46"/>
      <c r="F67" s="46"/>
      <c r="G67" s="66" t="s">
        <v>158</v>
      </c>
      <c r="H67" s="46" t="s">
        <v>1329</v>
      </c>
      <c r="I67" s="46">
        <v>331</v>
      </c>
      <c r="J67" s="46">
        <v>1111</v>
      </c>
      <c r="K67" s="46" t="s">
        <v>21</v>
      </c>
      <c r="L67" s="46">
        <v>1</v>
      </c>
      <c r="M67" s="67">
        <v>3240000</v>
      </c>
      <c r="N67" s="67">
        <f t="shared" si="2"/>
        <v>3240000</v>
      </c>
      <c r="O67" s="46" t="s">
        <v>22</v>
      </c>
      <c r="P67" s="46">
        <v>64</v>
      </c>
      <c r="T67" s="13" t="s">
        <v>1696</v>
      </c>
      <c r="U67" s="74" t="s">
        <v>1697</v>
      </c>
      <c r="V67" s="75" t="s">
        <v>1586</v>
      </c>
      <c r="W67" s="77" t="s">
        <v>1696</v>
      </c>
      <c r="X67" s="74" t="s">
        <v>1587</v>
      </c>
      <c r="Y67" s="76" t="s">
        <v>1588</v>
      </c>
    </row>
    <row r="68" spans="1:25" ht="15" customHeight="1" x14ac:dyDescent="0.2">
      <c r="A68" s="46" t="s">
        <v>368</v>
      </c>
      <c r="B68" s="47">
        <v>45886</v>
      </c>
      <c r="C68" s="46">
        <f t="shared" si="0"/>
        <v>82</v>
      </c>
      <c r="D68" s="46">
        <v>1</v>
      </c>
      <c r="E68" s="46"/>
      <c r="F68" s="46"/>
      <c r="G68" s="66" t="s">
        <v>1569</v>
      </c>
      <c r="H68" s="46" t="s">
        <v>1330</v>
      </c>
      <c r="I68" s="46">
        <v>331</v>
      </c>
      <c r="J68" s="46">
        <v>1111</v>
      </c>
      <c r="K68" s="46" t="s">
        <v>21</v>
      </c>
      <c r="L68" s="46">
        <v>1</v>
      </c>
      <c r="M68" s="67">
        <v>20000</v>
      </c>
      <c r="N68" s="67">
        <f t="shared" si="2"/>
        <v>20000</v>
      </c>
      <c r="O68" s="46" t="s">
        <v>22</v>
      </c>
      <c r="P68" s="46">
        <v>65</v>
      </c>
      <c r="T68" s="13" t="s">
        <v>117</v>
      </c>
      <c r="U68" s="74" t="s">
        <v>1698</v>
      </c>
      <c r="V68" s="75" t="s">
        <v>1586</v>
      </c>
      <c r="W68" s="77" t="s">
        <v>117</v>
      </c>
      <c r="X68" s="74" t="s">
        <v>1587</v>
      </c>
      <c r="Y68" s="76" t="s">
        <v>1588</v>
      </c>
    </row>
    <row r="69" spans="1:25" ht="15" customHeight="1" x14ac:dyDescent="0.2">
      <c r="A69" s="46" t="s">
        <v>368</v>
      </c>
      <c r="B69" s="47">
        <v>45886</v>
      </c>
      <c r="C69" s="46">
        <f t="shared" ref="C69:C110" si="3">C68+D69</f>
        <v>83</v>
      </c>
      <c r="D69" s="46">
        <v>1</v>
      </c>
      <c r="E69" s="46"/>
      <c r="F69" s="46"/>
      <c r="G69" s="66" t="s">
        <v>1569</v>
      </c>
      <c r="H69" s="46" t="s">
        <v>1331</v>
      </c>
      <c r="I69" s="46">
        <v>331</v>
      </c>
      <c r="J69" s="46">
        <v>1111</v>
      </c>
      <c r="K69" s="46" t="s">
        <v>21</v>
      </c>
      <c r="L69" s="46">
        <v>1</v>
      </c>
      <c r="M69" s="67">
        <v>20000</v>
      </c>
      <c r="N69" s="67">
        <f t="shared" si="2"/>
        <v>20000</v>
      </c>
      <c r="O69" s="46" t="s">
        <v>22</v>
      </c>
      <c r="P69" s="46">
        <v>66</v>
      </c>
      <c r="T69" s="13" t="s">
        <v>1699</v>
      </c>
      <c r="U69" s="74" t="s">
        <v>1700</v>
      </c>
      <c r="V69" s="75" t="s">
        <v>1586</v>
      </c>
      <c r="W69" s="77" t="s">
        <v>1699</v>
      </c>
      <c r="X69" s="74" t="s">
        <v>1587</v>
      </c>
      <c r="Y69" s="76" t="s">
        <v>1588</v>
      </c>
    </row>
    <row r="70" spans="1:25" ht="15" customHeight="1" x14ac:dyDescent="0.2">
      <c r="A70" s="46" t="s">
        <v>368</v>
      </c>
      <c r="B70" s="47">
        <v>45888</v>
      </c>
      <c r="C70" s="46">
        <f t="shared" si="3"/>
        <v>84</v>
      </c>
      <c r="D70" s="46">
        <v>1</v>
      </c>
      <c r="E70" s="46"/>
      <c r="F70" s="46"/>
      <c r="G70" s="66" t="s">
        <v>1568</v>
      </c>
      <c r="H70" s="46" t="s">
        <v>1332</v>
      </c>
      <c r="I70" s="46">
        <v>331</v>
      </c>
      <c r="J70" s="46">
        <v>1111</v>
      </c>
      <c r="K70" s="46" t="s">
        <v>21</v>
      </c>
      <c r="L70" s="46">
        <v>1</v>
      </c>
      <c r="M70" s="67">
        <v>4750000</v>
      </c>
      <c r="N70" s="67">
        <f t="shared" si="2"/>
        <v>4750000</v>
      </c>
      <c r="O70" s="46" t="s">
        <v>22</v>
      </c>
      <c r="P70" s="46">
        <v>67</v>
      </c>
      <c r="T70" s="13" t="s">
        <v>1701</v>
      </c>
      <c r="U70" s="74" t="s">
        <v>1702</v>
      </c>
      <c r="V70" s="75" t="s">
        <v>1586</v>
      </c>
      <c r="W70" s="77" t="s">
        <v>1701</v>
      </c>
      <c r="X70" s="74" t="s">
        <v>1587</v>
      </c>
      <c r="Y70" s="76" t="s">
        <v>1588</v>
      </c>
    </row>
    <row r="71" spans="1:25" ht="15" customHeight="1" x14ac:dyDescent="0.2">
      <c r="A71" s="46" t="s">
        <v>368</v>
      </c>
      <c r="B71" s="47">
        <v>45899</v>
      </c>
      <c r="C71" s="46">
        <f t="shared" si="3"/>
        <v>85</v>
      </c>
      <c r="D71" s="46">
        <v>1</v>
      </c>
      <c r="E71" s="46"/>
      <c r="F71" s="46"/>
      <c r="G71" s="66" t="s">
        <v>638</v>
      </c>
      <c r="H71" s="46" t="s">
        <v>1333</v>
      </c>
      <c r="I71" s="46">
        <v>331</v>
      </c>
      <c r="J71" s="46">
        <v>1111</v>
      </c>
      <c r="K71" s="46" t="s">
        <v>21</v>
      </c>
      <c r="L71" s="46">
        <v>1</v>
      </c>
      <c r="M71" s="67">
        <v>546480</v>
      </c>
      <c r="N71" s="67">
        <f t="shared" si="2"/>
        <v>546480</v>
      </c>
      <c r="O71" s="46" t="s">
        <v>22</v>
      </c>
      <c r="P71" s="46">
        <v>68</v>
      </c>
      <c r="T71" s="13" t="s">
        <v>1703</v>
      </c>
      <c r="U71" s="74" t="s">
        <v>1704</v>
      </c>
      <c r="V71" s="75" t="s">
        <v>1586</v>
      </c>
      <c r="W71" s="77" t="s">
        <v>1703</v>
      </c>
      <c r="X71" s="74" t="s">
        <v>1587</v>
      </c>
      <c r="Y71" s="76" t="s">
        <v>1588</v>
      </c>
    </row>
    <row r="72" spans="1:25" ht="15" customHeight="1" x14ac:dyDescent="0.2">
      <c r="A72" s="46" t="s">
        <v>368</v>
      </c>
      <c r="B72" s="47">
        <v>45901</v>
      </c>
      <c r="C72" s="46">
        <f t="shared" si="3"/>
        <v>86</v>
      </c>
      <c r="D72" s="46">
        <v>1</v>
      </c>
      <c r="E72" s="46"/>
      <c r="F72" s="46"/>
      <c r="G72" s="66" t="s">
        <v>101</v>
      </c>
      <c r="H72" s="46" t="s">
        <v>1334</v>
      </c>
      <c r="I72" s="46">
        <v>331</v>
      </c>
      <c r="J72" s="46">
        <v>1111</v>
      </c>
      <c r="K72" s="46" t="s">
        <v>21</v>
      </c>
      <c r="L72" s="46">
        <v>1</v>
      </c>
      <c r="M72" s="67">
        <v>8213000</v>
      </c>
      <c r="N72" s="67">
        <f t="shared" si="2"/>
        <v>8213000</v>
      </c>
      <c r="O72" s="46" t="s">
        <v>22</v>
      </c>
      <c r="P72" s="46">
        <v>69</v>
      </c>
      <c r="T72" s="13" t="s">
        <v>1705</v>
      </c>
      <c r="U72" s="74" t="s">
        <v>1706</v>
      </c>
      <c r="V72" s="75" t="s">
        <v>1586</v>
      </c>
      <c r="W72" s="77" t="s">
        <v>1705</v>
      </c>
      <c r="X72" s="74" t="s">
        <v>1587</v>
      </c>
      <c r="Y72" s="76" t="s">
        <v>1588</v>
      </c>
    </row>
    <row r="73" spans="1:25" ht="15" customHeight="1" x14ac:dyDescent="0.2">
      <c r="A73" s="46" t="s">
        <v>368</v>
      </c>
      <c r="B73" s="47">
        <v>45901</v>
      </c>
      <c r="C73" s="46">
        <f t="shared" si="3"/>
        <v>87</v>
      </c>
      <c r="D73" s="46">
        <v>1</v>
      </c>
      <c r="E73" s="46"/>
      <c r="F73" s="46"/>
      <c r="G73" s="66" t="s">
        <v>1308</v>
      </c>
      <c r="H73" s="46" t="s">
        <v>1335</v>
      </c>
      <c r="I73" s="46">
        <v>331</v>
      </c>
      <c r="J73" s="46">
        <v>1111</v>
      </c>
      <c r="K73" s="46" t="s">
        <v>21</v>
      </c>
      <c r="L73" s="46">
        <v>1</v>
      </c>
      <c r="M73" s="67">
        <v>3234168</v>
      </c>
      <c r="N73" s="67">
        <f t="shared" si="2"/>
        <v>3234168</v>
      </c>
      <c r="O73" s="46" t="s">
        <v>22</v>
      </c>
      <c r="P73" s="46">
        <v>70</v>
      </c>
      <c r="T73" s="13" t="s">
        <v>1707</v>
      </c>
      <c r="U73" s="74" t="s">
        <v>1708</v>
      </c>
      <c r="V73" s="75" t="s">
        <v>1586</v>
      </c>
      <c r="W73" s="77" t="s">
        <v>1707</v>
      </c>
      <c r="X73" s="74" t="s">
        <v>1587</v>
      </c>
      <c r="Y73" s="76" t="s">
        <v>1588</v>
      </c>
    </row>
    <row r="74" spans="1:25" ht="15" customHeight="1" x14ac:dyDescent="0.2">
      <c r="A74" s="46" t="s">
        <v>368</v>
      </c>
      <c r="B74" s="47">
        <v>45903</v>
      </c>
      <c r="C74" s="46">
        <f t="shared" si="3"/>
        <v>88</v>
      </c>
      <c r="D74" s="46">
        <v>1</v>
      </c>
      <c r="E74" s="46"/>
      <c r="F74" s="46"/>
      <c r="G74" s="66" t="s">
        <v>101</v>
      </c>
      <c r="H74" s="46" t="s">
        <v>1336</v>
      </c>
      <c r="I74" s="46">
        <v>331</v>
      </c>
      <c r="J74" s="46">
        <v>1111</v>
      </c>
      <c r="K74" s="46" t="s">
        <v>21</v>
      </c>
      <c r="L74" s="46">
        <v>1</v>
      </c>
      <c r="M74" s="67">
        <v>6696000</v>
      </c>
      <c r="N74" s="67">
        <f t="shared" si="2"/>
        <v>6696000</v>
      </c>
      <c r="O74" s="46" t="s">
        <v>22</v>
      </c>
      <c r="P74" s="46">
        <v>71</v>
      </c>
      <c r="T74" s="13" t="s">
        <v>1709</v>
      </c>
      <c r="U74" s="74" t="s">
        <v>1710</v>
      </c>
      <c r="V74" s="75" t="s">
        <v>1586</v>
      </c>
      <c r="W74" s="77" t="s">
        <v>1709</v>
      </c>
      <c r="X74" s="74" t="s">
        <v>1587</v>
      </c>
      <c r="Y74" s="76" t="s">
        <v>1588</v>
      </c>
    </row>
    <row r="75" spans="1:25" ht="15" customHeight="1" x14ac:dyDescent="0.2">
      <c r="A75" s="46" t="s">
        <v>368</v>
      </c>
      <c r="B75" s="47">
        <v>45904</v>
      </c>
      <c r="C75" s="46">
        <f t="shared" si="3"/>
        <v>89</v>
      </c>
      <c r="D75" s="46">
        <v>1</v>
      </c>
      <c r="E75" s="46"/>
      <c r="F75" s="46"/>
      <c r="G75" s="66" t="s">
        <v>1571</v>
      </c>
      <c r="H75" s="46" t="s">
        <v>1337</v>
      </c>
      <c r="I75" s="46">
        <v>331</v>
      </c>
      <c r="J75" s="46">
        <v>1111</v>
      </c>
      <c r="K75" s="46" t="s">
        <v>21</v>
      </c>
      <c r="L75" s="46">
        <v>1</v>
      </c>
      <c r="M75" s="67">
        <v>1098000</v>
      </c>
      <c r="N75" s="67">
        <f t="shared" si="2"/>
        <v>1098000</v>
      </c>
      <c r="O75" s="46" t="s">
        <v>22</v>
      </c>
      <c r="P75" s="46">
        <v>72</v>
      </c>
      <c r="T75" s="13" t="s">
        <v>1711</v>
      </c>
      <c r="U75" s="74" t="s">
        <v>1712</v>
      </c>
      <c r="V75" s="75" t="s">
        <v>1586</v>
      </c>
      <c r="W75" s="77" t="s">
        <v>1711</v>
      </c>
      <c r="X75" s="74" t="s">
        <v>1587</v>
      </c>
      <c r="Y75" s="76" t="s">
        <v>1588</v>
      </c>
    </row>
    <row r="76" spans="1:25" ht="15" customHeight="1" x14ac:dyDescent="0.2">
      <c r="A76" s="46" t="s">
        <v>368</v>
      </c>
      <c r="B76" s="47">
        <v>45904</v>
      </c>
      <c r="C76" s="46">
        <f t="shared" si="3"/>
        <v>90</v>
      </c>
      <c r="D76" s="46">
        <v>1</v>
      </c>
      <c r="E76" s="46"/>
      <c r="F76" s="46"/>
      <c r="G76" s="66" t="s">
        <v>1571</v>
      </c>
      <c r="H76" s="46" t="s">
        <v>1338</v>
      </c>
      <c r="I76" s="46">
        <v>331</v>
      </c>
      <c r="J76" s="46">
        <v>1111</v>
      </c>
      <c r="K76" s="46" t="s">
        <v>21</v>
      </c>
      <c r="L76" s="46">
        <v>1</v>
      </c>
      <c r="M76" s="67">
        <v>2598000</v>
      </c>
      <c r="N76" s="67">
        <f t="shared" si="2"/>
        <v>2598000</v>
      </c>
      <c r="O76" s="46" t="s">
        <v>22</v>
      </c>
      <c r="P76" s="46">
        <v>73</v>
      </c>
      <c r="T76" s="13" t="s">
        <v>1713</v>
      </c>
      <c r="U76" s="74" t="s">
        <v>1714</v>
      </c>
      <c r="V76" s="75" t="s">
        <v>1586</v>
      </c>
      <c r="W76" s="77" t="s">
        <v>1713</v>
      </c>
      <c r="X76" s="74" t="s">
        <v>1587</v>
      </c>
      <c r="Y76" s="76" t="s">
        <v>1588</v>
      </c>
    </row>
    <row r="77" spans="1:25" ht="15" customHeight="1" x14ac:dyDescent="0.2">
      <c r="A77" s="46" t="s">
        <v>368</v>
      </c>
      <c r="B77" s="47">
        <v>45909</v>
      </c>
      <c r="C77" s="46">
        <f t="shared" si="3"/>
        <v>91</v>
      </c>
      <c r="D77" s="46">
        <v>1</v>
      </c>
      <c r="E77" s="46"/>
      <c r="F77" s="46"/>
      <c r="G77" s="66" t="s">
        <v>101</v>
      </c>
      <c r="H77" s="46" t="s">
        <v>1339</v>
      </c>
      <c r="I77" s="46">
        <v>331</v>
      </c>
      <c r="J77" s="46">
        <v>1111</v>
      </c>
      <c r="K77" s="46" t="s">
        <v>21</v>
      </c>
      <c r="L77" s="46">
        <v>1</v>
      </c>
      <c r="M77" s="67">
        <v>4098000</v>
      </c>
      <c r="N77" s="67">
        <f t="shared" si="2"/>
        <v>4098000</v>
      </c>
      <c r="O77" s="46" t="s">
        <v>22</v>
      </c>
      <c r="P77" s="46">
        <v>74</v>
      </c>
      <c r="T77" s="13" t="s">
        <v>25</v>
      </c>
      <c r="U77" s="74" t="s">
        <v>1715</v>
      </c>
      <c r="V77" s="75" t="s">
        <v>1586</v>
      </c>
      <c r="W77" s="77" t="s">
        <v>25</v>
      </c>
      <c r="X77" s="74" t="s">
        <v>1587</v>
      </c>
      <c r="Y77" s="76" t="s">
        <v>1588</v>
      </c>
    </row>
    <row r="78" spans="1:25" ht="15" customHeight="1" x14ac:dyDescent="0.2">
      <c r="A78" s="46" t="s">
        <v>368</v>
      </c>
      <c r="B78" s="47">
        <v>45911</v>
      </c>
      <c r="C78" s="46">
        <f t="shared" si="3"/>
        <v>92</v>
      </c>
      <c r="D78" s="46">
        <v>1</v>
      </c>
      <c r="E78" s="46"/>
      <c r="F78" s="46"/>
      <c r="G78" s="66" t="s">
        <v>158</v>
      </c>
      <c r="H78" s="46" t="s">
        <v>1340</v>
      </c>
      <c r="I78" s="46">
        <v>331</v>
      </c>
      <c r="J78" s="46">
        <v>1111</v>
      </c>
      <c r="K78" s="46" t="s">
        <v>21</v>
      </c>
      <c r="L78" s="46">
        <v>1</v>
      </c>
      <c r="M78" s="67">
        <v>2916000</v>
      </c>
      <c r="N78" s="67">
        <f t="shared" si="2"/>
        <v>2916000</v>
      </c>
      <c r="O78" s="46" t="s">
        <v>22</v>
      </c>
      <c r="P78" s="46">
        <v>75</v>
      </c>
      <c r="T78" s="13" t="s">
        <v>1716</v>
      </c>
      <c r="U78" s="74" t="s">
        <v>1717</v>
      </c>
      <c r="V78" s="75" t="s">
        <v>1586</v>
      </c>
      <c r="W78" s="77" t="s">
        <v>1716</v>
      </c>
      <c r="X78" s="74" t="s">
        <v>1587</v>
      </c>
      <c r="Y78" s="76" t="s">
        <v>1588</v>
      </c>
    </row>
    <row r="79" spans="1:25" ht="15" customHeight="1" x14ac:dyDescent="0.2">
      <c r="A79" s="46" t="s">
        <v>368</v>
      </c>
      <c r="B79" s="47">
        <v>45928</v>
      </c>
      <c r="C79" s="46">
        <f t="shared" si="3"/>
        <v>93</v>
      </c>
      <c r="D79" s="46">
        <v>1</v>
      </c>
      <c r="E79" s="46"/>
      <c r="F79" s="46"/>
      <c r="G79" s="66" t="s">
        <v>1569</v>
      </c>
      <c r="H79" s="46" t="s">
        <v>1341</v>
      </c>
      <c r="I79" s="46">
        <v>331</v>
      </c>
      <c r="J79" s="46">
        <v>1111</v>
      </c>
      <c r="K79" s="46" t="s">
        <v>21</v>
      </c>
      <c r="L79" s="46">
        <v>1</v>
      </c>
      <c r="M79" s="67">
        <v>20000</v>
      </c>
      <c r="N79" s="67">
        <f t="shared" si="2"/>
        <v>20000</v>
      </c>
      <c r="O79" s="46" t="s">
        <v>22</v>
      </c>
      <c r="P79" s="46">
        <v>76</v>
      </c>
      <c r="T79" s="13" t="s">
        <v>1718</v>
      </c>
      <c r="U79" s="74" t="s">
        <v>1719</v>
      </c>
      <c r="V79" s="75" t="s">
        <v>1586</v>
      </c>
      <c r="W79" s="77" t="s">
        <v>1718</v>
      </c>
      <c r="X79" s="74" t="s">
        <v>1587</v>
      </c>
      <c r="Y79" s="76" t="s">
        <v>1588</v>
      </c>
    </row>
    <row r="80" spans="1:25" ht="15" customHeight="1" x14ac:dyDescent="0.2">
      <c r="A80" s="46" t="s">
        <v>368</v>
      </c>
      <c r="B80" s="47">
        <v>45928</v>
      </c>
      <c r="C80" s="46">
        <f t="shared" si="3"/>
        <v>94</v>
      </c>
      <c r="D80" s="46">
        <v>1</v>
      </c>
      <c r="E80" s="46"/>
      <c r="F80" s="46"/>
      <c r="G80" s="66" t="s">
        <v>1569</v>
      </c>
      <c r="H80" s="46" t="s">
        <v>1342</v>
      </c>
      <c r="I80" s="46">
        <v>331</v>
      </c>
      <c r="J80" s="46">
        <v>1111</v>
      </c>
      <c r="K80" s="46" t="s">
        <v>21</v>
      </c>
      <c r="L80" s="46">
        <v>1</v>
      </c>
      <c r="M80" s="67">
        <v>20000</v>
      </c>
      <c r="N80" s="67">
        <f t="shared" si="2"/>
        <v>20000</v>
      </c>
      <c r="O80" s="46" t="s">
        <v>22</v>
      </c>
      <c r="P80" s="46">
        <v>77</v>
      </c>
      <c r="T80" s="13" t="s">
        <v>1720</v>
      </c>
      <c r="U80" s="74" t="s">
        <v>1721</v>
      </c>
      <c r="V80" s="75" t="s">
        <v>1586</v>
      </c>
      <c r="W80" s="77" t="s">
        <v>1720</v>
      </c>
      <c r="X80" s="74" t="s">
        <v>1587</v>
      </c>
      <c r="Y80" s="76" t="s">
        <v>1588</v>
      </c>
    </row>
    <row r="81" spans="1:25" ht="15" customHeight="1" x14ac:dyDescent="0.2">
      <c r="A81" s="46" t="s">
        <v>368</v>
      </c>
      <c r="B81" s="47">
        <v>45930</v>
      </c>
      <c r="C81" s="46">
        <f t="shared" si="3"/>
        <v>95</v>
      </c>
      <c r="D81" s="46">
        <v>1</v>
      </c>
      <c r="E81" s="46"/>
      <c r="F81" s="46"/>
      <c r="G81" s="66" t="s">
        <v>1572</v>
      </c>
      <c r="H81" s="46" t="s">
        <v>1343</v>
      </c>
      <c r="I81" s="46">
        <v>331</v>
      </c>
      <c r="J81" s="46">
        <v>1111</v>
      </c>
      <c r="K81" s="46" t="s">
        <v>21</v>
      </c>
      <c r="L81" s="46">
        <v>1</v>
      </c>
      <c r="M81" s="67">
        <v>2769120</v>
      </c>
      <c r="N81" s="67">
        <f t="shared" si="2"/>
        <v>2769120</v>
      </c>
      <c r="O81" s="46" t="s">
        <v>22</v>
      </c>
      <c r="P81" s="46">
        <v>78</v>
      </c>
      <c r="T81" s="13" t="s">
        <v>907</v>
      </c>
      <c r="U81" s="74" t="s">
        <v>1722</v>
      </c>
      <c r="V81" s="75" t="s">
        <v>1586</v>
      </c>
      <c r="W81" s="77" t="s">
        <v>907</v>
      </c>
      <c r="X81" s="74" t="s">
        <v>1587</v>
      </c>
      <c r="Y81" s="76" t="s">
        <v>1588</v>
      </c>
    </row>
    <row r="82" spans="1:25" ht="15" customHeight="1" x14ac:dyDescent="0.2">
      <c r="A82" s="46" t="s">
        <v>368</v>
      </c>
      <c r="B82" s="47">
        <v>45932</v>
      </c>
      <c r="C82" s="46">
        <f t="shared" si="3"/>
        <v>96</v>
      </c>
      <c r="D82" s="46">
        <v>1</v>
      </c>
      <c r="E82" s="46"/>
      <c r="F82" s="46"/>
      <c r="G82" s="66" t="s">
        <v>101</v>
      </c>
      <c r="H82" s="46" t="s">
        <v>1344</v>
      </c>
      <c r="I82" s="46">
        <v>331</v>
      </c>
      <c r="J82" s="46">
        <v>1111</v>
      </c>
      <c r="K82" s="46" t="s">
        <v>21</v>
      </c>
      <c r="L82" s="46">
        <v>1</v>
      </c>
      <c r="M82" s="67">
        <v>3998000</v>
      </c>
      <c r="N82" s="67">
        <f t="shared" si="2"/>
        <v>3998000</v>
      </c>
      <c r="O82" s="46" t="s">
        <v>22</v>
      </c>
      <c r="P82" s="46">
        <v>79</v>
      </c>
      <c r="T82" s="13" t="s">
        <v>1723</v>
      </c>
      <c r="U82" s="74" t="s">
        <v>1724</v>
      </c>
      <c r="V82" s="75" t="s">
        <v>1586</v>
      </c>
      <c r="W82" s="77" t="s">
        <v>1723</v>
      </c>
      <c r="X82" s="74" t="s">
        <v>1587</v>
      </c>
      <c r="Y82" s="76" t="s">
        <v>1588</v>
      </c>
    </row>
    <row r="83" spans="1:25" ht="15" customHeight="1" x14ac:dyDescent="0.2">
      <c r="A83" s="46" t="s">
        <v>18</v>
      </c>
      <c r="B83" s="47">
        <v>45869</v>
      </c>
      <c r="C83" s="46">
        <f t="shared" si="3"/>
        <v>97</v>
      </c>
      <c r="D83" s="46">
        <v>1</v>
      </c>
      <c r="E83" s="46"/>
      <c r="F83" s="46"/>
      <c r="G83" s="66" t="s">
        <v>267</v>
      </c>
      <c r="H83" s="46" t="s">
        <v>147</v>
      </c>
      <c r="I83" s="46">
        <v>64271</v>
      </c>
      <c r="J83" s="46">
        <v>3383</v>
      </c>
      <c r="K83" s="46" t="s">
        <v>21</v>
      </c>
      <c r="L83" s="46">
        <v>1</v>
      </c>
      <c r="M83" s="68">
        <v>690300</v>
      </c>
      <c r="N83" s="67">
        <f t="shared" si="2"/>
        <v>690300</v>
      </c>
      <c r="O83" s="46" t="s">
        <v>22</v>
      </c>
      <c r="P83" s="46">
        <v>80</v>
      </c>
      <c r="T83" s="13" t="s">
        <v>1725</v>
      </c>
      <c r="U83" s="74" t="s">
        <v>1726</v>
      </c>
      <c r="V83" s="75" t="s">
        <v>1586</v>
      </c>
      <c r="W83" s="77" t="s">
        <v>1725</v>
      </c>
      <c r="X83" s="74" t="s">
        <v>1587</v>
      </c>
      <c r="Y83" s="76" t="s">
        <v>1588</v>
      </c>
    </row>
    <row r="84" spans="1:25" ht="15" customHeight="1" x14ac:dyDescent="0.2">
      <c r="A84" s="46" t="s">
        <v>18</v>
      </c>
      <c r="B84" s="47">
        <v>45900</v>
      </c>
      <c r="C84" s="46">
        <f t="shared" si="3"/>
        <v>98</v>
      </c>
      <c r="D84" s="46">
        <v>1</v>
      </c>
      <c r="E84" s="46"/>
      <c r="F84" s="46"/>
      <c r="G84" s="66" t="s">
        <v>267</v>
      </c>
      <c r="H84" s="46" t="s">
        <v>280</v>
      </c>
      <c r="I84" s="46">
        <v>64271</v>
      </c>
      <c r="J84" s="46">
        <v>3383</v>
      </c>
      <c r="K84" s="46" t="s">
        <v>21</v>
      </c>
      <c r="L84" s="46">
        <v>1</v>
      </c>
      <c r="M84" s="68">
        <v>690300</v>
      </c>
      <c r="N84" s="67">
        <f t="shared" si="2"/>
        <v>690300</v>
      </c>
      <c r="O84" s="46" t="s">
        <v>22</v>
      </c>
      <c r="P84" s="46">
        <v>81</v>
      </c>
      <c r="T84" s="13" t="s">
        <v>1727</v>
      </c>
      <c r="U84" s="74" t="s">
        <v>1728</v>
      </c>
      <c r="V84" s="75" t="s">
        <v>1586</v>
      </c>
      <c r="W84" s="77" t="s">
        <v>1727</v>
      </c>
      <c r="X84" s="74" t="s">
        <v>1587</v>
      </c>
      <c r="Y84" s="76" t="s">
        <v>1588</v>
      </c>
    </row>
    <row r="85" spans="1:25" ht="15" customHeight="1" x14ac:dyDescent="0.2">
      <c r="A85" s="46" t="s">
        <v>18</v>
      </c>
      <c r="B85" s="47">
        <v>45930</v>
      </c>
      <c r="C85" s="46">
        <f t="shared" si="3"/>
        <v>99</v>
      </c>
      <c r="D85" s="46">
        <v>1</v>
      </c>
      <c r="E85" s="46"/>
      <c r="F85" s="46"/>
      <c r="G85" s="66" t="s">
        <v>267</v>
      </c>
      <c r="H85" s="46" t="s">
        <v>367</v>
      </c>
      <c r="I85" s="46">
        <v>64271</v>
      </c>
      <c r="J85" s="46">
        <v>3383</v>
      </c>
      <c r="K85" s="46" t="s">
        <v>21</v>
      </c>
      <c r="L85" s="46">
        <v>1</v>
      </c>
      <c r="M85" s="68">
        <v>690300</v>
      </c>
      <c r="N85" s="67">
        <f t="shared" si="2"/>
        <v>690300</v>
      </c>
      <c r="O85" s="46" t="s">
        <v>22</v>
      </c>
      <c r="P85" s="46">
        <v>82</v>
      </c>
      <c r="T85" s="13" t="s">
        <v>1729</v>
      </c>
      <c r="U85" s="74" t="s">
        <v>1730</v>
      </c>
      <c r="V85" s="75" t="s">
        <v>1586</v>
      </c>
      <c r="W85" s="77" t="s">
        <v>1729</v>
      </c>
      <c r="X85" s="74" t="s">
        <v>1587</v>
      </c>
      <c r="Y85" s="76" t="s">
        <v>1588</v>
      </c>
    </row>
    <row r="86" spans="1:25" ht="15" customHeight="1" x14ac:dyDescent="0.2">
      <c r="A86" s="46" t="s">
        <v>33</v>
      </c>
      <c r="B86" s="47">
        <v>45898</v>
      </c>
      <c r="C86" s="46">
        <f t="shared" si="3"/>
        <v>100</v>
      </c>
      <c r="D86" s="46">
        <v>1</v>
      </c>
      <c r="E86" s="46"/>
      <c r="F86" s="46"/>
      <c r="G86" s="66" t="s">
        <v>1542</v>
      </c>
      <c r="H86" s="46" t="s">
        <v>1990</v>
      </c>
      <c r="I86" s="46">
        <v>112121</v>
      </c>
      <c r="J86" s="46">
        <v>131</v>
      </c>
      <c r="K86" s="46" t="s">
        <v>21</v>
      </c>
      <c r="L86" s="46">
        <v>1</v>
      </c>
      <c r="M86" s="67">
        <v>28741935</v>
      </c>
      <c r="N86" s="67">
        <f t="shared" si="2"/>
        <v>28741935</v>
      </c>
      <c r="O86" s="46" t="s">
        <v>22</v>
      </c>
      <c r="P86" s="46">
        <v>83</v>
      </c>
      <c r="T86" s="13" t="s">
        <v>1731</v>
      </c>
      <c r="U86" s="74" t="s">
        <v>1732</v>
      </c>
      <c r="V86" s="75" t="s">
        <v>1586</v>
      </c>
      <c r="W86" s="77" t="s">
        <v>1731</v>
      </c>
      <c r="X86" s="74" t="s">
        <v>1587</v>
      </c>
      <c r="Y86" s="76" t="s">
        <v>1588</v>
      </c>
    </row>
    <row r="87" spans="1:25" ht="15" customHeight="1" x14ac:dyDescent="0.2">
      <c r="A87" s="46" t="s">
        <v>89</v>
      </c>
      <c r="B87" s="47">
        <v>45917</v>
      </c>
      <c r="C87" s="46">
        <f t="shared" si="3"/>
        <v>101</v>
      </c>
      <c r="D87" s="46">
        <v>1</v>
      </c>
      <c r="E87" s="46"/>
      <c r="F87" s="46"/>
      <c r="G87" s="66" t="s">
        <v>1345</v>
      </c>
      <c r="H87" s="46" t="s">
        <v>1008</v>
      </c>
      <c r="I87" s="46">
        <v>1111</v>
      </c>
      <c r="J87" s="46">
        <v>112121</v>
      </c>
      <c r="K87" s="46" t="s">
        <v>21</v>
      </c>
      <c r="L87" s="46">
        <v>1</v>
      </c>
      <c r="M87" s="67">
        <v>28000000</v>
      </c>
      <c r="N87" s="67">
        <f t="shared" si="2"/>
        <v>28000000</v>
      </c>
      <c r="O87" s="46" t="s">
        <v>22</v>
      </c>
      <c r="P87" s="46">
        <v>84</v>
      </c>
      <c r="T87" s="13" t="s">
        <v>893</v>
      </c>
      <c r="U87" s="74" t="s">
        <v>1733</v>
      </c>
      <c r="V87" s="75" t="s">
        <v>1734</v>
      </c>
      <c r="W87" s="77" t="s">
        <v>893</v>
      </c>
      <c r="X87" s="74" t="s">
        <v>1587</v>
      </c>
      <c r="Y87" s="76" t="s">
        <v>1588</v>
      </c>
    </row>
    <row r="88" spans="1:25" ht="15" customHeight="1" x14ac:dyDescent="0.2">
      <c r="A88" s="46" t="s">
        <v>33</v>
      </c>
      <c r="B88" s="47">
        <v>45923</v>
      </c>
      <c r="C88" s="46">
        <f t="shared" si="3"/>
        <v>102</v>
      </c>
      <c r="D88" s="46">
        <v>1</v>
      </c>
      <c r="E88" s="46"/>
      <c r="F88" s="46"/>
      <c r="G88" s="66" t="s">
        <v>756</v>
      </c>
      <c r="H88" s="46" t="s">
        <v>1346</v>
      </c>
      <c r="I88" s="46">
        <v>112121</v>
      </c>
      <c r="J88" s="46">
        <v>131</v>
      </c>
      <c r="K88" s="46" t="s">
        <v>21</v>
      </c>
      <c r="L88" s="46">
        <v>1</v>
      </c>
      <c r="M88" s="67">
        <v>27677419</v>
      </c>
      <c r="N88" s="67">
        <f t="shared" si="2"/>
        <v>27677419</v>
      </c>
      <c r="O88" s="46" t="s">
        <v>22</v>
      </c>
      <c r="P88" s="46">
        <v>85</v>
      </c>
      <c r="T88" s="13" t="s">
        <v>1735</v>
      </c>
      <c r="U88" s="74" t="s">
        <v>1736</v>
      </c>
      <c r="V88" s="75" t="s">
        <v>1586</v>
      </c>
      <c r="W88" s="77" t="s">
        <v>1735</v>
      </c>
      <c r="X88" s="74" t="s">
        <v>1587</v>
      </c>
      <c r="Y88" s="76" t="s">
        <v>1588</v>
      </c>
    </row>
    <row r="89" spans="1:25" ht="15" customHeight="1" x14ac:dyDescent="0.2">
      <c r="A89" s="46" t="s">
        <v>33</v>
      </c>
      <c r="B89" s="47">
        <v>45923</v>
      </c>
      <c r="C89" s="46">
        <f t="shared" si="3"/>
        <v>103</v>
      </c>
      <c r="D89" s="46">
        <v>1</v>
      </c>
      <c r="E89" s="46"/>
      <c r="F89" s="46"/>
      <c r="G89" s="66" t="s">
        <v>756</v>
      </c>
      <c r="H89" s="46" t="s">
        <v>1347</v>
      </c>
      <c r="I89" s="46">
        <v>112121</v>
      </c>
      <c r="J89" s="46">
        <v>131</v>
      </c>
      <c r="K89" s="46" t="s">
        <v>21</v>
      </c>
      <c r="L89" s="46">
        <v>1</v>
      </c>
      <c r="M89" s="67">
        <v>27677419</v>
      </c>
      <c r="N89" s="67">
        <f t="shared" si="2"/>
        <v>27677419</v>
      </c>
      <c r="O89" s="46" t="s">
        <v>22</v>
      </c>
      <c r="P89" s="46">
        <v>86</v>
      </c>
      <c r="T89" s="13" t="s">
        <v>101</v>
      </c>
      <c r="U89" s="74" t="s">
        <v>1737</v>
      </c>
      <c r="V89" s="75" t="s">
        <v>1586</v>
      </c>
      <c r="W89" s="77" t="s">
        <v>101</v>
      </c>
      <c r="X89" s="74" t="s">
        <v>1587</v>
      </c>
      <c r="Y89" s="76" t="s">
        <v>1588</v>
      </c>
    </row>
    <row r="90" spans="1:25" ht="15" customHeight="1" x14ac:dyDescent="0.2">
      <c r="A90" s="46" t="s">
        <v>33</v>
      </c>
      <c r="B90" s="47">
        <v>45925</v>
      </c>
      <c r="C90" s="46">
        <f t="shared" si="3"/>
        <v>104</v>
      </c>
      <c r="D90" s="46">
        <v>1</v>
      </c>
      <c r="E90" s="46"/>
      <c r="F90" s="46"/>
      <c r="G90" s="66" t="s">
        <v>1345</v>
      </c>
      <c r="H90" s="46" t="s">
        <v>129</v>
      </c>
      <c r="I90" s="46">
        <v>112121</v>
      </c>
      <c r="J90" s="46">
        <v>5154</v>
      </c>
      <c r="K90" s="46" t="s">
        <v>21</v>
      </c>
      <c r="L90" s="46">
        <v>1</v>
      </c>
      <c r="M90" s="67">
        <v>3631</v>
      </c>
      <c r="N90" s="67">
        <f t="shared" si="2"/>
        <v>3631</v>
      </c>
      <c r="O90" s="46" t="s">
        <v>22</v>
      </c>
      <c r="P90" s="46">
        <v>87</v>
      </c>
      <c r="T90" s="13" t="s">
        <v>1738</v>
      </c>
      <c r="U90" s="74" t="s">
        <v>1739</v>
      </c>
      <c r="V90" s="75" t="s">
        <v>1586</v>
      </c>
      <c r="W90" s="77" t="s">
        <v>1738</v>
      </c>
      <c r="X90" s="74" t="s">
        <v>1587</v>
      </c>
      <c r="Y90" s="76" t="s">
        <v>1588</v>
      </c>
    </row>
    <row r="91" spans="1:25" ht="15" customHeight="1" x14ac:dyDescent="0.2">
      <c r="A91" s="46" t="s">
        <v>33</v>
      </c>
      <c r="B91" s="47">
        <v>45926</v>
      </c>
      <c r="C91" s="46">
        <f t="shared" si="3"/>
        <v>105</v>
      </c>
      <c r="D91" s="46">
        <v>1</v>
      </c>
      <c r="E91" s="46"/>
      <c r="F91" s="46"/>
      <c r="G91" s="66" t="s">
        <v>976</v>
      </c>
      <c r="H91" s="46" t="s">
        <v>1348</v>
      </c>
      <c r="I91" s="46">
        <v>112121</v>
      </c>
      <c r="J91" s="46">
        <v>131</v>
      </c>
      <c r="K91" s="46" t="s">
        <v>21</v>
      </c>
      <c r="L91" s="46">
        <v>1</v>
      </c>
      <c r="M91" s="67">
        <v>27677419</v>
      </c>
      <c r="N91" s="67">
        <f t="shared" si="2"/>
        <v>27677419</v>
      </c>
      <c r="O91" s="46" t="s">
        <v>22</v>
      </c>
      <c r="P91" s="46">
        <v>88</v>
      </c>
      <c r="T91" s="13" t="s">
        <v>1740</v>
      </c>
      <c r="U91" s="74" t="s">
        <v>1741</v>
      </c>
      <c r="V91" s="75" t="s">
        <v>1586</v>
      </c>
      <c r="W91" s="77" t="s">
        <v>1740</v>
      </c>
      <c r="X91" s="74" t="s">
        <v>1587</v>
      </c>
      <c r="Y91" s="76" t="s">
        <v>1588</v>
      </c>
    </row>
    <row r="92" spans="1:25" ht="15" customHeight="1" x14ac:dyDescent="0.2">
      <c r="A92" s="46" t="s">
        <v>33</v>
      </c>
      <c r="B92" s="47">
        <v>45930</v>
      </c>
      <c r="C92" s="46">
        <f t="shared" si="3"/>
        <v>106</v>
      </c>
      <c r="D92" s="46">
        <v>1</v>
      </c>
      <c r="E92" s="46"/>
      <c r="F92" s="46"/>
      <c r="G92" s="66" t="s">
        <v>756</v>
      </c>
      <c r="H92" s="46" t="s">
        <v>1349</v>
      </c>
      <c r="I92" s="46">
        <v>112121</v>
      </c>
      <c r="J92" s="46">
        <v>131</v>
      </c>
      <c r="K92" s="46" t="s">
        <v>21</v>
      </c>
      <c r="L92" s="46">
        <v>1</v>
      </c>
      <c r="M92" s="67">
        <v>27677419</v>
      </c>
      <c r="N92" s="67">
        <f t="shared" si="2"/>
        <v>27677419</v>
      </c>
      <c r="O92" s="46" t="s">
        <v>22</v>
      </c>
      <c r="P92" s="46">
        <v>89</v>
      </c>
      <c r="T92" s="13" t="s">
        <v>1742</v>
      </c>
      <c r="U92" s="74" t="s">
        <v>1743</v>
      </c>
      <c r="V92" s="75" t="s">
        <v>1586</v>
      </c>
      <c r="W92" s="77" t="s">
        <v>1742</v>
      </c>
      <c r="X92" s="74" t="s">
        <v>1587</v>
      </c>
      <c r="Y92" s="76" t="s">
        <v>1588</v>
      </c>
    </row>
    <row r="93" spans="1:25" ht="15" customHeight="1" x14ac:dyDescent="0.2">
      <c r="A93" s="46" t="s">
        <v>33</v>
      </c>
      <c r="B93" s="14">
        <v>45845</v>
      </c>
      <c r="C93" s="46">
        <f t="shared" si="3"/>
        <v>107</v>
      </c>
      <c r="D93" s="46">
        <v>1</v>
      </c>
      <c r="E93" s="46"/>
      <c r="F93" s="46"/>
      <c r="G93" s="15" t="s">
        <v>1235</v>
      </c>
      <c r="H93" s="13" t="s">
        <v>1579</v>
      </c>
      <c r="I93" s="46">
        <v>112121</v>
      </c>
      <c r="J93" s="46">
        <v>131</v>
      </c>
      <c r="K93" s="46" t="s">
        <v>21</v>
      </c>
      <c r="L93" s="46">
        <v>1</v>
      </c>
      <c r="M93" s="67">
        <v>21317975</v>
      </c>
      <c r="N93" s="67">
        <f t="shared" ref="N93" si="4">L93*M93</f>
        <v>21317975</v>
      </c>
      <c r="O93" s="46" t="s">
        <v>998</v>
      </c>
      <c r="P93" s="46">
        <v>107</v>
      </c>
      <c r="U93" s="74"/>
      <c r="V93" s="75"/>
      <c r="W93" s="77"/>
      <c r="X93" s="74"/>
      <c r="Y93" s="76"/>
    </row>
    <row r="94" spans="1:25" ht="15" customHeight="1" x14ac:dyDescent="0.2">
      <c r="A94" s="46" t="s">
        <v>89</v>
      </c>
      <c r="B94" s="14">
        <v>45845</v>
      </c>
      <c r="C94" s="46">
        <f t="shared" si="3"/>
        <v>108</v>
      </c>
      <c r="D94" s="46">
        <v>1</v>
      </c>
      <c r="G94" s="66" t="s">
        <v>1345</v>
      </c>
      <c r="H94" s="46" t="s">
        <v>1008</v>
      </c>
      <c r="I94" s="46">
        <v>1111</v>
      </c>
      <c r="J94" s="46">
        <v>112111</v>
      </c>
      <c r="K94" s="46" t="s">
        <v>21</v>
      </c>
      <c r="L94" s="46">
        <v>1</v>
      </c>
      <c r="M94" s="67">
        <v>21845187</v>
      </c>
      <c r="N94" s="67">
        <f t="shared" si="2"/>
        <v>21845187</v>
      </c>
      <c r="O94" s="46" t="s">
        <v>22</v>
      </c>
      <c r="P94" s="46">
        <v>90</v>
      </c>
      <c r="T94" s="13" t="s">
        <v>1744</v>
      </c>
      <c r="U94" s="74" t="s">
        <v>1745</v>
      </c>
      <c r="V94" s="75" t="s">
        <v>1586</v>
      </c>
      <c r="W94" s="77" t="s">
        <v>1744</v>
      </c>
      <c r="X94" s="74" t="s">
        <v>1587</v>
      </c>
      <c r="Y94" s="76" t="s">
        <v>1588</v>
      </c>
    </row>
    <row r="95" spans="1:25" ht="15" customHeight="1" x14ac:dyDescent="0.2">
      <c r="A95" s="13" t="s">
        <v>33</v>
      </c>
      <c r="B95" s="14">
        <v>45845</v>
      </c>
      <c r="C95" s="46">
        <f t="shared" si="3"/>
        <v>109</v>
      </c>
      <c r="D95" s="46">
        <v>1</v>
      </c>
      <c r="G95" s="15" t="s">
        <v>96</v>
      </c>
      <c r="H95" s="13" t="s">
        <v>1573</v>
      </c>
      <c r="I95" s="46">
        <v>112111</v>
      </c>
      <c r="J95" s="13">
        <v>131</v>
      </c>
      <c r="K95" s="46" t="s">
        <v>21</v>
      </c>
      <c r="L95" s="46">
        <v>1</v>
      </c>
      <c r="M95" s="21">
        <v>37634408</v>
      </c>
      <c r="N95" s="67">
        <f t="shared" si="2"/>
        <v>37634408</v>
      </c>
      <c r="O95" s="46" t="s">
        <v>22</v>
      </c>
      <c r="P95" s="46">
        <v>91</v>
      </c>
      <c r="T95" s="13" t="s">
        <v>1746</v>
      </c>
      <c r="U95" s="74" t="s">
        <v>1747</v>
      </c>
      <c r="V95" s="75" t="s">
        <v>1586</v>
      </c>
      <c r="W95" s="77" t="s">
        <v>1746</v>
      </c>
      <c r="X95" s="74" t="s">
        <v>1587</v>
      </c>
      <c r="Y95" s="76" t="s">
        <v>1588</v>
      </c>
    </row>
    <row r="96" spans="1:25" ht="15" customHeight="1" x14ac:dyDescent="0.2">
      <c r="A96" s="13" t="s">
        <v>33</v>
      </c>
      <c r="B96" s="14">
        <v>45847</v>
      </c>
      <c r="C96" s="46">
        <f t="shared" si="3"/>
        <v>110</v>
      </c>
      <c r="D96" s="46">
        <v>1</v>
      </c>
      <c r="G96" s="15" t="s">
        <v>1539</v>
      </c>
      <c r="H96" s="13" t="s">
        <v>1574</v>
      </c>
      <c r="I96" s="46">
        <v>112111</v>
      </c>
      <c r="J96" s="13">
        <v>131</v>
      </c>
      <c r="K96" s="46" t="s">
        <v>21</v>
      </c>
      <c r="L96" s="46">
        <v>1</v>
      </c>
      <c r="M96" s="21">
        <v>5000000</v>
      </c>
      <c r="N96" s="21">
        <f t="shared" si="2"/>
        <v>5000000</v>
      </c>
      <c r="O96" s="46" t="s">
        <v>22</v>
      </c>
      <c r="P96" s="46">
        <v>92</v>
      </c>
      <c r="T96" s="13" t="s">
        <v>23</v>
      </c>
      <c r="U96" s="74" t="s">
        <v>1748</v>
      </c>
      <c r="V96" s="75" t="s">
        <v>1586</v>
      </c>
      <c r="W96" s="77" t="s">
        <v>23</v>
      </c>
      <c r="X96" s="74" t="s">
        <v>1587</v>
      </c>
      <c r="Y96" s="76" t="s">
        <v>1588</v>
      </c>
    </row>
    <row r="97" spans="1:25" ht="15" customHeight="1" x14ac:dyDescent="0.2">
      <c r="A97" s="13" t="s">
        <v>89</v>
      </c>
      <c r="B97" s="14">
        <v>45847</v>
      </c>
      <c r="C97" s="46">
        <f t="shared" si="3"/>
        <v>111</v>
      </c>
      <c r="D97" s="46">
        <v>1</v>
      </c>
      <c r="G97" s="66" t="s">
        <v>1345</v>
      </c>
      <c r="H97" s="46" t="s">
        <v>1008</v>
      </c>
      <c r="I97" s="46">
        <v>1111</v>
      </c>
      <c r="J97" s="46">
        <v>112111</v>
      </c>
      <c r="K97" s="46" t="s">
        <v>21</v>
      </c>
      <c r="L97" s="46">
        <v>1</v>
      </c>
      <c r="M97" s="67">
        <v>12000000</v>
      </c>
      <c r="N97" s="67">
        <f t="shared" ref="N97" si="5">L97*M97</f>
        <v>12000000</v>
      </c>
      <c r="O97" s="46" t="s">
        <v>22</v>
      </c>
      <c r="P97" s="46">
        <v>93</v>
      </c>
      <c r="T97" s="13" t="s">
        <v>1749</v>
      </c>
      <c r="U97" s="74" t="s">
        <v>1750</v>
      </c>
      <c r="V97" s="75" t="s">
        <v>1586</v>
      </c>
      <c r="W97" s="77" t="s">
        <v>1749</v>
      </c>
      <c r="X97" s="74" t="s">
        <v>1587</v>
      </c>
      <c r="Y97" s="76" t="s">
        <v>1588</v>
      </c>
    </row>
    <row r="98" spans="1:25" ht="15" customHeight="1" x14ac:dyDescent="0.2">
      <c r="A98" s="13" t="s">
        <v>89</v>
      </c>
      <c r="B98" s="14">
        <v>45848</v>
      </c>
      <c r="C98" s="46">
        <f t="shared" si="3"/>
        <v>112</v>
      </c>
      <c r="D98" s="46">
        <v>1</v>
      </c>
      <c r="G98" s="66" t="s">
        <v>1345</v>
      </c>
      <c r="H98" s="46" t="s">
        <v>1008</v>
      </c>
      <c r="I98" s="46">
        <v>1111</v>
      </c>
      <c r="J98" s="46">
        <v>112111</v>
      </c>
      <c r="K98" s="46" t="s">
        <v>21</v>
      </c>
      <c r="L98" s="46">
        <v>1</v>
      </c>
      <c r="M98" s="67">
        <v>14000000</v>
      </c>
      <c r="N98" s="67">
        <f t="shared" ref="N98" si="6">L98*M98</f>
        <v>14000000</v>
      </c>
      <c r="O98" s="46" t="s">
        <v>22</v>
      </c>
      <c r="P98" s="46">
        <v>94</v>
      </c>
      <c r="T98" s="15" t="s">
        <v>1751</v>
      </c>
      <c r="U98" s="74" t="s">
        <v>1752</v>
      </c>
      <c r="V98" s="75" t="s">
        <v>1586</v>
      </c>
      <c r="W98" s="77" t="s">
        <v>1751</v>
      </c>
      <c r="X98" s="74" t="s">
        <v>1587</v>
      </c>
      <c r="Y98" s="76" t="s">
        <v>1588</v>
      </c>
    </row>
    <row r="99" spans="1:25" ht="15" customHeight="1" x14ac:dyDescent="0.2">
      <c r="A99" s="13" t="s">
        <v>89</v>
      </c>
      <c r="B99" s="14">
        <v>45853</v>
      </c>
      <c r="C99" s="46">
        <f t="shared" si="3"/>
        <v>113</v>
      </c>
      <c r="D99" s="46">
        <v>1</v>
      </c>
      <c r="G99" s="15" t="s">
        <v>29</v>
      </c>
      <c r="H99" s="13" t="s">
        <v>1575</v>
      </c>
      <c r="I99" s="13">
        <v>333822</v>
      </c>
      <c r="J99" s="46">
        <v>112111</v>
      </c>
      <c r="K99" s="46" t="s">
        <v>21</v>
      </c>
      <c r="L99" s="46">
        <v>1</v>
      </c>
      <c r="M99" s="21">
        <v>1509107</v>
      </c>
      <c r="N99" s="67">
        <f t="shared" ref="N99:N101" si="7">L99*M99</f>
        <v>1509107</v>
      </c>
      <c r="O99" s="46" t="s">
        <v>998</v>
      </c>
      <c r="P99" s="46">
        <v>95</v>
      </c>
      <c r="T99" s="73" t="s">
        <v>1753</v>
      </c>
      <c r="U99" s="74" t="s">
        <v>1754</v>
      </c>
      <c r="V99" s="75" t="s">
        <v>1586</v>
      </c>
      <c r="W99" s="77" t="s">
        <v>1753</v>
      </c>
      <c r="X99" s="74" t="s">
        <v>1587</v>
      </c>
      <c r="Y99" s="76" t="s">
        <v>1588</v>
      </c>
    </row>
    <row r="100" spans="1:25" ht="15" customHeight="1" x14ac:dyDescent="0.2">
      <c r="A100" s="13" t="s">
        <v>33</v>
      </c>
      <c r="B100" s="14">
        <v>45860</v>
      </c>
      <c r="C100" s="46">
        <f t="shared" si="3"/>
        <v>114</v>
      </c>
      <c r="D100" s="46">
        <v>1</v>
      </c>
      <c r="G100" s="15" t="s">
        <v>1540</v>
      </c>
      <c r="H100" s="13" t="s">
        <v>1576</v>
      </c>
      <c r="I100" s="46">
        <v>112111</v>
      </c>
      <c r="J100" s="13">
        <v>131</v>
      </c>
      <c r="K100" s="46" t="s">
        <v>21</v>
      </c>
      <c r="L100" s="46">
        <v>1</v>
      </c>
      <c r="M100" s="21">
        <v>11000000</v>
      </c>
      <c r="N100" s="67">
        <f t="shared" si="7"/>
        <v>11000000</v>
      </c>
      <c r="O100" s="46" t="s">
        <v>22</v>
      </c>
      <c r="P100" s="46">
        <v>96</v>
      </c>
      <c r="T100" s="73" t="s">
        <v>987</v>
      </c>
      <c r="U100" s="74" t="s">
        <v>1755</v>
      </c>
      <c r="V100" s="75" t="s">
        <v>1586</v>
      </c>
      <c r="W100" s="77" t="s">
        <v>987</v>
      </c>
      <c r="X100" s="74" t="s">
        <v>1587</v>
      </c>
      <c r="Y100" s="76" t="s">
        <v>1588</v>
      </c>
    </row>
    <row r="101" spans="1:25" ht="15" customHeight="1" x14ac:dyDescent="0.2">
      <c r="A101" s="13" t="s">
        <v>89</v>
      </c>
      <c r="B101" s="14">
        <v>45860</v>
      </c>
      <c r="C101" s="46">
        <f t="shared" si="3"/>
        <v>115</v>
      </c>
      <c r="D101" s="46">
        <v>1</v>
      </c>
      <c r="G101" s="15" t="s">
        <v>29</v>
      </c>
      <c r="H101" s="13" t="s">
        <v>122</v>
      </c>
      <c r="I101" s="13">
        <v>333822</v>
      </c>
      <c r="J101" s="46">
        <v>112111</v>
      </c>
      <c r="K101" s="46" t="s">
        <v>21</v>
      </c>
      <c r="L101" s="46">
        <v>1</v>
      </c>
      <c r="M101" s="21">
        <v>13801102</v>
      </c>
      <c r="N101" s="67">
        <f t="shared" si="7"/>
        <v>13801102</v>
      </c>
      <c r="O101" s="46" t="s">
        <v>22</v>
      </c>
      <c r="P101" s="46">
        <v>97</v>
      </c>
      <c r="T101" s="73" t="s">
        <v>1756</v>
      </c>
      <c r="U101" s="74" t="s">
        <v>1757</v>
      </c>
      <c r="V101" s="75" t="s">
        <v>1586</v>
      </c>
      <c r="W101" s="77" t="s">
        <v>1756</v>
      </c>
      <c r="X101" s="74" t="s">
        <v>1587</v>
      </c>
      <c r="Y101" s="76" t="s">
        <v>1588</v>
      </c>
    </row>
    <row r="102" spans="1:25" ht="15" customHeight="1" x14ac:dyDescent="0.2">
      <c r="A102" s="13" t="s">
        <v>89</v>
      </c>
      <c r="B102" s="14">
        <v>45861</v>
      </c>
      <c r="C102" s="46">
        <f t="shared" si="3"/>
        <v>116</v>
      </c>
      <c r="D102" s="46">
        <v>1</v>
      </c>
      <c r="G102" s="66" t="s">
        <v>1345</v>
      </c>
      <c r="H102" s="46" t="s">
        <v>1008</v>
      </c>
      <c r="I102" s="46">
        <v>1111</v>
      </c>
      <c r="J102" s="46">
        <v>112111</v>
      </c>
      <c r="K102" s="46" t="s">
        <v>21</v>
      </c>
      <c r="L102" s="46">
        <v>1</v>
      </c>
      <c r="M102" s="21">
        <v>12300000</v>
      </c>
      <c r="N102" s="67">
        <f t="shared" ref="N102:N103" si="8">L102*M102</f>
        <v>12300000</v>
      </c>
      <c r="O102" s="46" t="s">
        <v>22</v>
      </c>
      <c r="P102" s="46">
        <v>98</v>
      </c>
      <c r="T102" s="73" t="s">
        <v>1758</v>
      </c>
      <c r="U102" s="74" t="s">
        <v>1759</v>
      </c>
      <c r="V102" s="75" t="s">
        <v>1586</v>
      </c>
      <c r="W102" s="77" t="s">
        <v>1758</v>
      </c>
      <c r="X102" s="74" t="s">
        <v>1587</v>
      </c>
      <c r="Y102" s="76" t="s">
        <v>1588</v>
      </c>
    </row>
    <row r="103" spans="1:25" ht="15" customHeight="1" x14ac:dyDescent="0.2">
      <c r="A103" s="13" t="s">
        <v>33</v>
      </c>
      <c r="B103" s="14">
        <v>45861</v>
      </c>
      <c r="C103" s="46">
        <f t="shared" si="3"/>
        <v>117</v>
      </c>
      <c r="D103" s="46">
        <v>1</v>
      </c>
      <c r="G103" s="15" t="s">
        <v>1538</v>
      </c>
      <c r="H103" s="46" t="s">
        <v>1543</v>
      </c>
      <c r="I103" s="46">
        <v>112111</v>
      </c>
      <c r="J103" s="13">
        <v>131</v>
      </c>
      <c r="K103" s="46" t="s">
        <v>21</v>
      </c>
      <c r="L103" s="46">
        <v>1</v>
      </c>
      <c r="M103" s="67">
        <v>11000000</v>
      </c>
      <c r="N103" s="67">
        <f t="shared" si="8"/>
        <v>11000000</v>
      </c>
      <c r="O103" s="46" t="s">
        <v>22</v>
      </c>
      <c r="P103" s="46">
        <v>99</v>
      </c>
      <c r="T103" s="73" t="s">
        <v>259</v>
      </c>
      <c r="U103" s="74" t="s">
        <v>1760</v>
      </c>
      <c r="V103" s="75" t="s">
        <v>1586</v>
      </c>
      <c r="W103" s="77" t="s">
        <v>259</v>
      </c>
      <c r="X103" s="74" t="s">
        <v>1587</v>
      </c>
      <c r="Y103" s="76" t="s">
        <v>1588</v>
      </c>
    </row>
    <row r="104" spans="1:25" ht="15" customHeight="1" x14ac:dyDescent="0.2">
      <c r="A104" s="13" t="s">
        <v>89</v>
      </c>
      <c r="B104" s="14">
        <v>45866</v>
      </c>
      <c r="C104" s="46">
        <f t="shared" si="3"/>
        <v>118</v>
      </c>
      <c r="D104" s="46">
        <v>1</v>
      </c>
      <c r="G104" s="66" t="s">
        <v>1345</v>
      </c>
      <c r="H104" s="46" t="s">
        <v>1008</v>
      </c>
      <c r="I104" s="46">
        <v>1111</v>
      </c>
      <c r="J104" s="46">
        <v>112111</v>
      </c>
      <c r="K104" s="46" t="s">
        <v>21</v>
      </c>
      <c r="L104" s="46">
        <v>1</v>
      </c>
      <c r="M104" s="67">
        <v>11000000</v>
      </c>
      <c r="N104" s="67">
        <f t="shared" ref="N104:N106" si="9">L104*M104</f>
        <v>11000000</v>
      </c>
      <c r="O104" s="46" t="s">
        <v>22</v>
      </c>
      <c r="P104" s="46">
        <v>100</v>
      </c>
      <c r="T104" s="73" t="s">
        <v>239</v>
      </c>
      <c r="U104" s="74" t="s">
        <v>1761</v>
      </c>
      <c r="V104" s="75" t="s">
        <v>1762</v>
      </c>
      <c r="W104" s="77" t="s">
        <v>239</v>
      </c>
      <c r="X104" s="74" t="s">
        <v>1587</v>
      </c>
      <c r="Y104" s="76" t="s">
        <v>1588</v>
      </c>
    </row>
    <row r="105" spans="1:25" ht="15" customHeight="1" x14ac:dyDescent="0.2">
      <c r="A105" s="13" t="s">
        <v>33</v>
      </c>
      <c r="B105" s="14">
        <v>45869</v>
      </c>
      <c r="C105" s="46">
        <f t="shared" si="3"/>
        <v>119</v>
      </c>
      <c r="D105" s="46">
        <v>1</v>
      </c>
      <c r="G105" s="15" t="s">
        <v>96</v>
      </c>
      <c r="H105" s="46" t="s">
        <v>1577</v>
      </c>
      <c r="I105" s="46">
        <v>112111</v>
      </c>
      <c r="J105" s="13">
        <v>131</v>
      </c>
      <c r="K105" s="46" t="s">
        <v>21</v>
      </c>
      <c r="L105" s="46">
        <v>1</v>
      </c>
      <c r="M105" s="21">
        <v>16129032</v>
      </c>
      <c r="N105" s="67">
        <f t="shared" si="9"/>
        <v>16129032</v>
      </c>
      <c r="O105" s="46" t="s">
        <v>22</v>
      </c>
      <c r="P105" s="46">
        <v>101</v>
      </c>
      <c r="T105" s="73" t="s">
        <v>1763</v>
      </c>
      <c r="U105" s="74" t="s">
        <v>1764</v>
      </c>
      <c r="V105" s="75" t="s">
        <v>1586</v>
      </c>
      <c r="W105" s="77" t="s">
        <v>1763</v>
      </c>
      <c r="X105" s="74" t="s">
        <v>1587</v>
      </c>
      <c r="Y105" s="76" t="s">
        <v>1588</v>
      </c>
    </row>
    <row r="106" spans="1:25" ht="15" customHeight="1" x14ac:dyDescent="0.2">
      <c r="A106" s="13" t="s">
        <v>33</v>
      </c>
      <c r="B106" s="14">
        <v>45869</v>
      </c>
      <c r="C106" s="46">
        <f t="shared" si="3"/>
        <v>120</v>
      </c>
      <c r="D106" s="46">
        <v>1</v>
      </c>
      <c r="G106" s="66" t="s">
        <v>1345</v>
      </c>
      <c r="H106" s="46" t="s">
        <v>129</v>
      </c>
      <c r="I106" s="46">
        <v>112111</v>
      </c>
      <c r="J106" s="46">
        <v>5154</v>
      </c>
      <c r="K106" s="46" t="s">
        <v>21</v>
      </c>
      <c r="L106" s="46">
        <v>1</v>
      </c>
      <c r="M106" s="21">
        <v>1046</v>
      </c>
      <c r="N106" s="67">
        <f t="shared" si="9"/>
        <v>1046</v>
      </c>
      <c r="O106" s="46" t="s">
        <v>22</v>
      </c>
      <c r="P106" s="46">
        <v>102</v>
      </c>
      <c r="T106" s="73" t="s">
        <v>899</v>
      </c>
      <c r="U106" s="74" t="s">
        <v>1765</v>
      </c>
      <c r="V106" s="75" t="s">
        <v>1586</v>
      </c>
      <c r="W106" s="77" t="s">
        <v>899</v>
      </c>
      <c r="X106" s="74" t="s">
        <v>1587</v>
      </c>
      <c r="Y106" s="76" t="s">
        <v>1588</v>
      </c>
    </row>
    <row r="107" spans="1:25" ht="15" customHeight="1" x14ac:dyDescent="0.2">
      <c r="A107" s="13" t="s">
        <v>89</v>
      </c>
      <c r="B107" s="14">
        <v>45870</v>
      </c>
      <c r="C107" s="46">
        <f t="shared" si="3"/>
        <v>121</v>
      </c>
      <c r="D107" s="46">
        <v>1</v>
      </c>
      <c r="G107" s="66" t="s">
        <v>1345</v>
      </c>
      <c r="H107" s="46" t="s">
        <v>1008</v>
      </c>
      <c r="I107" s="46">
        <v>1111</v>
      </c>
      <c r="J107" s="46">
        <v>112111</v>
      </c>
      <c r="K107" s="46" t="s">
        <v>21</v>
      </c>
      <c r="L107" s="46">
        <v>1</v>
      </c>
      <c r="M107" s="21">
        <v>16153000</v>
      </c>
      <c r="N107" s="67">
        <f t="shared" ref="N107" si="10">L107*M107</f>
        <v>16153000</v>
      </c>
      <c r="O107" s="46" t="s">
        <v>22</v>
      </c>
      <c r="P107" s="46">
        <v>103</v>
      </c>
      <c r="T107" s="73" t="s">
        <v>632</v>
      </c>
      <c r="U107" s="74" t="s">
        <v>1766</v>
      </c>
      <c r="V107" s="75" t="s">
        <v>1586</v>
      </c>
      <c r="W107" s="77" t="s">
        <v>632</v>
      </c>
      <c r="X107" s="74" t="s">
        <v>1587</v>
      </c>
      <c r="Y107" s="76" t="s">
        <v>1588</v>
      </c>
    </row>
    <row r="108" spans="1:25" ht="15" customHeight="1" x14ac:dyDescent="0.2">
      <c r="A108" s="13" t="s">
        <v>18</v>
      </c>
      <c r="B108" s="14">
        <v>45870</v>
      </c>
      <c r="C108" s="46">
        <f t="shared" si="3"/>
        <v>122</v>
      </c>
      <c r="D108" s="46">
        <v>1</v>
      </c>
      <c r="G108" s="15" t="s">
        <v>1235</v>
      </c>
      <c r="H108" s="13" t="s">
        <v>1578</v>
      </c>
      <c r="I108" s="13">
        <v>131</v>
      </c>
      <c r="J108" s="13">
        <v>5118</v>
      </c>
      <c r="K108" s="46" t="s">
        <v>21</v>
      </c>
      <c r="L108" s="46">
        <v>1</v>
      </c>
      <c r="M108" s="21">
        <v>13124434</v>
      </c>
      <c r="N108" s="67">
        <f t="shared" ref="N108" si="11">L108*M108</f>
        <v>13124434</v>
      </c>
      <c r="O108" s="46" t="s">
        <v>22</v>
      </c>
      <c r="P108" s="46">
        <v>104</v>
      </c>
      <c r="T108" s="73" t="s">
        <v>1767</v>
      </c>
      <c r="U108" s="74" t="s">
        <v>1768</v>
      </c>
      <c r="V108" s="75" t="s">
        <v>1586</v>
      </c>
      <c r="W108" s="77" t="s">
        <v>1767</v>
      </c>
      <c r="X108" s="74" t="s">
        <v>1587</v>
      </c>
      <c r="Y108" s="76" t="s">
        <v>1588</v>
      </c>
    </row>
    <row r="109" spans="1:25" ht="15" customHeight="1" x14ac:dyDescent="0.2">
      <c r="A109" s="13" t="s">
        <v>33</v>
      </c>
      <c r="B109" s="14">
        <v>45870</v>
      </c>
      <c r="C109" s="46">
        <f t="shared" si="3"/>
        <v>123</v>
      </c>
      <c r="D109" s="46">
        <v>1</v>
      </c>
      <c r="G109" s="15" t="s">
        <v>1235</v>
      </c>
      <c r="H109" s="13" t="s">
        <v>1579</v>
      </c>
      <c r="I109" s="46">
        <v>112111</v>
      </c>
      <c r="J109" s="13">
        <v>131</v>
      </c>
      <c r="K109" s="46" t="s">
        <v>21</v>
      </c>
      <c r="L109" s="46">
        <v>1</v>
      </c>
      <c r="M109" s="21">
        <v>13124434</v>
      </c>
      <c r="N109" s="67">
        <f t="shared" ref="N109:N129" si="12">L109*M109</f>
        <v>13124434</v>
      </c>
      <c r="O109" s="46" t="s">
        <v>22</v>
      </c>
      <c r="P109" s="46">
        <v>105</v>
      </c>
      <c r="T109" s="73" t="s">
        <v>1769</v>
      </c>
      <c r="U109" s="74" t="s">
        <v>1770</v>
      </c>
      <c r="V109" s="75" t="s">
        <v>1586</v>
      </c>
      <c r="W109" s="77" t="s">
        <v>1769</v>
      </c>
      <c r="X109" s="74" t="s">
        <v>1587</v>
      </c>
      <c r="Y109" s="76" t="s">
        <v>1588</v>
      </c>
    </row>
    <row r="110" spans="1:25" ht="15" customHeight="1" x14ac:dyDescent="0.2">
      <c r="A110" s="13" t="s">
        <v>89</v>
      </c>
      <c r="B110" s="14">
        <v>45870</v>
      </c>
      <c r="C110" s="46">
        <f t="shared" si="3"/>
        <v>124</v>
      </c>
      <c r="D110" s="46">
        <v>1</v>
      </c>
      <c r="G110" s="66" t="s">
        <v>1345</v>
      </c>
      <c r="H110" s="46" t="s">
        <v>1008</v>
      </c>
      <c r="I110" s="46">
        <v>1111</v>
      </c>
      <c r="J110" s="46">
        <v>112111</v>
      </c>
      <c r="K110" s="46" t="s">
        <v>21</v>
      </c>
      <c r="L110" s="46">
        <v>1</v>
      </c>
      <c r="M110" s="21">
        <v>13000000</v>
      </c>
      <c r="N110" s="67">
        <f t="shared" si="12"/>
        <v>13000000</v>
      </c>
      <c r="O110" s="46" t="s">
        <v>22</v>
      </c>
      <c r="P110" s="46">
        <v>106</v>
      </c>
      <c r="T110" s="73" t="s">
        <v>1771</v>
      </c>
      <c r="U110" s="74" t="s">
        <v>1772</v>
      </c>
      <c r="V110" s="75" t="s">
        <v>1586</v>
      </c>
      <c r="W110" s="77" t="s">
        <v>1771</v>
      </c>
      <c r="X110" s="74" t="s">
        <v>1587</v>
      </c>
      <c r="Y110" s="76" t="s">
        <v>1588</v>
      </c>
    </row>
    <row r="111" spans="1:25" ht="15" customHeight="1" x14ac:dyDescent="0.2">
      <c r="A111" s="13" t="s">
        <v>33</v>
      </c>
      <c r="B111" s="14">
        <v>45870</v>
      </c>
      <c r="C111" s="46">
        <f t="shared" ref="C111" si="13">C110+D111</f>
        <v>125</v>
      </c>
      <c r="D111" s="46">
        <v>1</v>
      </c>
      <c r="G111" s="15" t="s">
        <v>756</v>
      </c>
      <c r="H111" s="13" t="s">
        <v>1989</v>
      </c>
      <c r="I111" s="46">
        <v>112111</v>
      </c>
      <c r="J111" s="13">
        <v>131</v>
      </c>
      <c r="K111" s="46" t="s">
        <v>21</v>
      </c>
      <c r="L111" s="46">
        <v>1</v>
      </c>
      <c r="M111" s="21">
        <v>13838709</v>
      </c>
      <c r="N111" s="67">
        <f t="shared" si="12"/>
        <v>13838709</v>
      </c>
      <c r="O111" s="46" t="s">
        <v>22</v>
      </c>
      <c r="P111" s="13">
        <v>107</v>
      </c>
      <c r="T111" s="73" t="s">
        <v>92</v>
      </c>
      <c r="U111" s="74" t="s">
        <v>1773</v>
      </c>
      <c r="V111" s="75" t="s">
        <v>1586</v>
      </c>
      <c r="W111" s="77" t="s">
        <v>92</v>
      </c>
      <c r="X111" s="74" t="s">
        <v>1587</v>
      </c>
      <c r="Y111" s="76" t="s">
        <v>1588</v>
      </c>
    </row>
    <row r="112" spans="1:25" ht="15" customHeight="1" x14ac:dyDescent="0.2">
      <c r="A112" s="13" t="s">
        <v>33</v>
      </c>
      <c r="B112" s="14">
        <v>45870</v>
      </c>
      <c r="C112" s="46">
        <f t="shared" ref="C112:C121" si="14">C111+D112</f>
        <v>126</v>
      </c>
      <c r="D112" s="46">
        <v>1</v>
      </c>
      <c r="G112" s="15" t="s">
        <v>756</v>
      </c>
      <c r="H112" s="46" t="s">
        <v>1989</v>
      </c>
      <c r="I112" s="46">
        <v>112111</v>
      </c>
      <c r="J112" s="13">
        <v>131</v>
      </c>
      <c r="K112" s="46" t="s">
        <v>21</v>
      </c>
      <c r="L112" s="46">
        <v>1</v>
      </c>
      <c r="M112" s="21">
        <v>28741935</v>
      </c>
      <c r="N112" s="67">
        <f t="shared" si="12"/>
        <v>28741935</v>
      </c>
      <c r="O112" s="46" t="s">
        <v>22</v>
      </c>
      <c r="P112" s="13">
        <v>108</v>
      </c>
      <c r="T112" s="73" t="s">
        <v>1774</v>
      </c>
      <c r="U112" s="74" t="s">
        <v>1775</v>
      </c>
      <c r="V112" s="75" t="s">
        <v>1586</v>
      </c>
      <c r="W112" s="77" t="s">
        <v>1774</v>
      </c>
      <c r="X112" s="74" t="s">
        <v>1587</v>
      </c>
      <c r="Y112" s="76" t="s">
        <v>1588</v>
      </c>
    </row>
    <row r="113" spans="1:25" ht="15" customHeight="1" x14ac:dyDescent="0.2">
      <c r="A113" s="13" t="s">
        <v>89</v>
      </c>
      <c r="B113" s="14">
        <v>45875</v>
      </c>
      <c r="C113" s="46">
        <f t="shared" si="14"/>
        <v>127</v>
      </c>
      <c r="D113" s="46">
        <v>1</v>
      </c>
      <c r="G113" s="66" t="s">
        <v>1345</v>
      </c>
      <c r="H113" s="46" t="s">
        <v>1008</v>
      </c>
      <c r="I113" s="46">
        <v>1111</v>
      </c>
      <c r="J113" s="46">
        <v>112111</v>
      </c>
      <c r="K113" s="46" t="s">
        <v>21</v>
      </c>
      <c r="L113" s="46">
        <v>1</v>
      </c>
      <c r="M113" s="21">
        <v>10000000</v>
      </c>
      <c r="N113" s="67">
        <f t="shared" ref="N113" si="15">L113*M113</f>
        <v>10000000</v>
      </c>
      <c r="O113" s="46" t="s">
        <v>22</v>
      </c>
      <c r="P113" s="13">
        <v>109</v>
      </c>
      <c r="T113" s="73" t="s">
        <v>1776</v>
      </c>
      <c r="U113" s="74" t="s">
        <v>1777</v>
      </c>
      <c r="V113" s="75" t="s">
        <v>1586</v>
      </c>
      <c r="W113" s="77" t="s">
        <v>1776</v>
      </c>
      <c r="X113" s="74" t="s">
        <v>1587</v>
      </c>
      <c r="Y113" s="76" t="s">
        <v>1588</v>
      </c>
    </row>
    <row r="114" spans="1:25" ht="15" customHeight="1" x14ac:dyDescent="0.2">
      <c r="A114" s="13" t="s">
        <v>33</v>
      </c>
      <c r="B114" s="14">
        <v>45877</v>
      </c>
      <c r="C114" s="46">
        <f t="shared" si="14"/>
        <v>128</v>
      </c>
      <c r="D114" s="46">
        <v>1</v>
      </c>
      <c r="G114" s="15" t="s">
        <v>1541</v>
      </c>
      <c r="H114" s="46" t="s">
        <v>1991</v>
      </c>
      <c r="I114" s="46">
        <v>112111</v>
      </c>
      <c r="J114" s="13">
        <v>131</v>
      </c>
      <c r="K114" s="46" t="s">
        <v>21</v>
      </c>
      <c r="L114" s="46">
        <v>1</v>
      </c>
      <c r="M114" s="21">
        <v>38000000</v>
      </c>
      <c r="N114" s="67">
        <f t="shared" si="12"/>
        <v>38000000</v>
      </c>
      <c r="O114" s="46" t="s">
        <v>22</v>
      </c>
      <c r="P114" s="13">
        <v>110</v>
      </c>
      <c r="T114" s="73" t="s">
        <v>1778</v>
      </c>
      <c r="U114" s="74" t="s">
        <v>1779</v>
      </c>
      <c r="V114" s="75" t="s">
        <v>1586</v>
      </c>
      <c r="W114" s="77" t="s">
        <v>1778</v>
      </c>
      <c r="X114" s="74" t="s">
        <v>1587</v>
      </c>
      <c r="Y114" s="76" t="s">
        <v>1588</v>
      </c>
    </row>
    <row r="115" spans="1:25" ht="15" customHeight="1" x14ac:dyDescent="0.2">
      <c r="A115" s="13" t="s">
        <v>89</v>
      </c>
      <c r="B115" s="14">
        <v>45878</v>
      </c>
      <c r="C115" s="46">
        <f t="shared" si="14"/>
        <v>129</v>
      </c>
      <c r="D115" s="46">
        <v>1</v>
      </c>
      <c r="G115" s="15" t="s">
        <v>29</v>
      </c>
      <c r="H115" s="13" t="s">
        <v>1995</v>
      </c>
      <c r="I115" s="13">
        <v>333822</v>
      </c>
      <c r="J115" s="46">
        <v>112111</v>
      </c>
      <c r="K115" s="46" t="s">
        <v>21</v>
      </c>
      <c r="L115" s="46">
        <v>1</v>
      </c>
      <c r="M115" s="21">
        <v>796440</v>
      </c>
      <c r="N115" s="67">
        <f t="shared" si="12"/>
        <v>796440</v>
      </c>
      <c r="O115" s="46" t="s">
        <v>22</v>
      </c>
      <c r="P115" s="13">
        <v>111</v>
      </c>
      <c r="T115" s="73" t="s">
        <v>1780</v>
      </c>
      <c r="U115" s="74" t="s">
        <v>1781</v>
      </c>
      <c r="V115" s="75" t="s">
        <v>1586</v>
      </c>
      <c r="W115" s="77" t="s">
        <v>1780</v>
      </c>
      <c r="X115" s="74" t="s">
        <v>1587</v>
      </c>
      <c r="Y115" s="76" t="s">
        <v>1588</v>
      </c>
    </row>
    <row r="116" spans="1:25" ht="15" customHeight="1" x14ac:dyDescent="0.2">
      <c r="A116" s="13" t="s">
        <v>89</v>
      </c>
      <c r="B116" s="14">
        <v>45878</v>
      </c>
      <c r="C116" s="46">
        <f t="shared" si="14"/>
        <v>130</v>
      </c>
      <c r="D116" s="46">
        <v>1</v>
      </c>
      <c r="G116" s="66" t="s">
        <v>1345</v>
      </c>
      <c r="H116" s="46" t="s">
        <v>1008</v>
      </c>
      <c r="I116" s="46">
        <v>1111</v>
      </c>
      <c r="J116" s="46">
        <v>112111</v>
      </c>
      <c r="K116" s="46" t="s">
        <v>21</v>
      </c>
      <c r="L116" s="46">
        <v>1</v>
      </c>
      <c r="M116" s="21">
        <v>69909000</v>
      </c>
      <c r="N116" s="67">
        <f t="shared" si="12"/>
        <v>69909000</v>
      </c>
      <c r="O116" s="46" t="s">
        <v>22</v>
      </c>
      <c r="P116" s="13">
        <v>112</v>
      </c>
      <c r="T116" s="73" t="s">
        <v>1782</v>
      </c>
      <c r="U116" s="74" t="s">
        <v>1783</v>
      </c>
      <c r="V116" s="75" t="s">
        <v>1586</v>
      </c>
      <c r="W116" s="77" t="s">
        <v>1782</v>
      </c>
      <c r="X116" s="74" t="s">
        <v>1587</v>
      </c>
      <c r="Y116" s="76" t="s">
        <v>1588</v>
      </c>
    </row>
    <row r="117" spans="1:25" ht="15" customHeight="1" x14ac:dyDescent="0.2">
      <c r="A117" s="13" t="s">
        <v>18</v>
      </c>
      <c r="B117" s="14">
        <v>45887</v>
      </c>
      <c r="C117" s="46">
        <f t="shared" si="14"/>
        <v>131</v>
      </c>
      <c r="D117" s="46">
        <v>1</v>
      </c>
      <c r="G117" s="15" t="s">
        <v>1235</v>
      </c>
      <c r="H117" s="13" t="s">
        <v>1578</v>
      </c>
      <c r="I117" s="13">
        <v>131</v>
      </c>
      <c r="J117" s="13">
        <v>5118</v>
      </c>
      <c r="K117" s="46" t="s">
        <v>21</v>
      </c>
      <c r="L117" s="46">
        <v>1</v>
      </c>
      <c r="M117" s="21">
        <v>6227135</v>
      </c>
      <c r="N117" s="67">
        <f t="shared" si="12"/>
        <v>6227135</v>
      </c>
      <c r="O117" s="46" t="s">
        <v>22</v>
      </c>
      <c r="P117" s="13">
        <v>113</v>
      </c>
      <c r="T117" s="73" t="s">
        <v>1784</v>
      </c>
      <c r="U117" s="74" t="s">
        <v>1785</v>
      </c>
      <c r="V117" s="75" t="s">
        <v>1586</v>
      </c>
      <c r="W117" s="77" t="s">
        <v>1784</v>
      </c>
      <c r="X117" s="74" t="s">
        <v>1587</v>
      </c>
      <c r="Y117" s="76" t="s">
        <v>1588</v>
      </c>
    </row>
    <row r="118" spans="1:25" ht="15" customHeight="1" x14ac:dyDescent="0.2">
      <c r="A118" s="13" t="s">
        <v>33</v>
      </c>
      <c r="B118" s="14">
        <v>45887</v>
      </c>
      <c r="C118" s="46">
        <f t="shared" si="14"/>
        <v>132</v>
      </c>
      <c r="D118" s="46">
        <v>1</v>
      </c>
      <c r="G118" s="15" t="s">
        <v>1235</v>
      </c>
      <c r="H118" s="13" t="s">
        <v>1579</v>
      </c>
      <c r="I118" s="46">
        <v>112111</v>
      </c>
      <c r="J118" s="13">
        <v>131</v>
      </c>
      <c r="K118" s="46" t="s">
        <v>21</v>
      </c>
      <c r="L118" s="46">
        <v>1</v>
      </c>
      <c r="M118" s="21">
        <v>6227135</v>
      </c>
      <c r="N118" s="67">
        <f t="shared" si="12"/>
        <v>6227135</v>
      </c>
      <c r="O118" s="46" t="s">
        <v>22</v>
      </c>
      <c r="P118" s="13">
        <v>114</v>
      </c>
      <c r="T118" s="73" t="s">
        <v>1539</v>
      </c>
      <c r="U118" s="74" t="s">
        <v>1786</v>
      </c>
      <c r="V118" s="75" t="s">
        <v>1787</v>
      </c>
      <c r="W118" s="77" t="s">
        <v>1539</v>
      </c>
      <c r="X118" s="74" t="s">
        <v>1587</v>
      </c>
      <c r="Y118" s="76" t="s">
        <v>1588</v>
      </c>
    </row>
    <row r="119" spans="1:25" ht="15" customHeight="1" x14ac:dyDescent="0.2">
      <c r="A119" s="13" t="s">
        <v>89</v>
      </c>
      <c r="B119" s="14">
        <v>45887</v>
      </c>
      <c r="C119" s="46">
        <f t="shared" si="14"/>
        <v>133</v>
      </c>
      <c r="D119" s="46">
        <v>1</v>
      </c>
      <c r="G119" s="66" t="s">
        <v>1345</v>
      </c>
      <c r="H119" s="46" t="s">
        <v>1008</v>
      </c>
      <c r="I119" s="46">
        <v>1111</v>
      </c>
      <c r="J119" s="46">
        <v>112111</v>
      </c>
      <c r="K119" s="46" t="s">
        <v>21</v>
      </c>
      <c r="L119" s="46">
        <v>1</v>
      </c>
      <c r="M119" s="21">
        <v>6200000</v>
      </c>
      <c r="N119" s="67">
        <f t="shared" ref="N119" si="16">L119*M119</f>
        <v>6200000</v>
      </c>
      <c r="O119" s="46" t="s">
        <v>22</v>
      </c>
      <c r="P119" s="13">
        <v>115</v>
      </c>
      <c r="T119" s="73" t="s">
        <v>1788</v>
      </c>
      <c r="U119" s="74" t="s">
        <v>1789</v>
      </c>
      <c r="V119" s="75" t="s">
        <v>1790</v>
      </c>
      <c r="W119" s="77" t="s">
        <v>1788</v>
      </c>
      <c r="X119" s="74" t="s">
        <v>1587</v>
      </c>
      <c r="Y119" s="76" t="s">
        <v>1588</v>
      </c>
    </row>
    <row r="120" spans="1:25" ht="15" customHeight="1" x14ac:dyDescent="0.2">
      <c r="A120" s="13" t="s">
        <v>33</v>
      </c>
      <c r="B120" s="14">
        <v>45889</v>
      </c>
      <c r="C120" s="46">
        <f t="shared" si="14"/>
        <v>134</v>
      </c>
      <c r="D120" s="46">
        <v>1</v>
      </c>
      <c r="G120" s="15" t="s">
        <v>1539</v>
      </c>
      <c r="H120" s="46" t="s">
        <v>1992</v>
      </c>
      <c r="I120" s="46">
        <v>112111</v>
      </c>
      <c r="J120" s="13">
        <v>131</v>
      </c>
      <c r="K120" s="46" t="s">
        <v>21</v>
      </c>
      <c r="L120" s="46">
        <v>1</v>
      </c>
      <c r="M120" s="21">
        <v>27000000</v>
      </c>
      <c r="N120" s="67">
        <f t="shared" si="12"/>
        <v>27000000</v>
      </c>
      <c r="O120" s="46" t="s">
        <v>22</v>
      </c>
      <c r="P120" s="13">
        <v>116</v>
      </c>
      <c r="T120" s="73" t="s">
        <v>1791</v>
      </c>
      <c r="U120" s="74" t="s">
        <v>1792</v>
      </c>
      <c r="V120" s="75" t="s">
        <v>1586</v>
      </c>
      <c r="W120" s="77" t="s">
        <v>1791</v>
      </c>
      <c r="X120" s="74" t="s">
        <v>1587</v>
      </c>
      <c r="Y120" s="76" t="s">
        <v>1588</v>
      </c>
    </row>
    <row r="121" spans="1:25" ht="15" customHeight="1" x14ac:dyDescent="0.2">
      <c r="A121" s="13" t="s">
        <v>33</v>
      </c>
      <c r="B121" s="14">
        <v>45892</v>
      </c>
      <c r="C121" s="46">
        <f t="shared" si="14"/>
        <v>135</v>
      </c>
      <c r="D121" s="46">
        <v>1</v>
      </c>
      <c r="G121" s="15" t="s">
        <v>1285</v>
      </c>
      <c r="H121" s="46" t="s">
        <v>1993</v>
      </c>
      <c r="I121" s="46">
        <v>112111</v>
      </c>
      <c r="J121" s="13">
        <v>131</v>
      </c>
      <c r="K121" s="46" t="s">
        <v>21</v>
      </c>
      <c r="L121" s="46">
        <v>1</v>
      </c>
      <c r="M121" s="21">
        <v>10600000</v>
      </c>
      <c r="N121" s="67">
        <f t="shared" si="12"/>
        <v>10600000</v>
      </c>
      <c r="O121" s="46" t="s">
        <v>22</v>
      </c>
      <c r="P121" s="13">
        <v>117</v>
      </c>
      <c r="T121" s="73" t="s">
        <v>1793</v>
      </c>
      <c r="U121" s="74" t="s">
        <v>1794</v>
      </c>
      <c r="V121" s="75" t="s">
        <v>1586</v>
      </c>
      <c r="W121" s="77" t="s">
        <v>1793</v>
      </c>
      <c r="X121" s="74" t="s">
        <v>1587</v>
      </c>
      <c r="Y121" s="76" t="s">
        <v>1588</v>
      </c>
    </row>
    <row r="122" spans="1:25" ht="15" customHeight="1" x14ac:dyDescent="0.2">
      <c r="A122" s="13" t="s">
        <v>89</v>
      </c>
      <c r="B122" s="14">
        <v>45893</v>
      </c>
      <c r="C122" s="46">
        <f t="shared" ref="C122:C124" si="17">C121+D122</f>
        <v>136</v>
      </c>
      <c r="D122" s="46">
        <v>1</v>
      </c>
      <c r="G122" s="66" t="s">
        <v>1345</v>
      </c>
      <c r="H122" s="46" t="s">
        <v>1008</v>
      </c>
      <c r="I122" s="46">
        <v>1111</v>
      </c>
      <c r="J122" s="46">
        <v>112111</v>
      </c>
      <c r="K122" s="46" t="s">
        <v>21</v>
      </c>
      <c r="L122" s="46">
        <v>1</v>
      </c>
      <c r="M122" s="21">
        <v>37500000</v>
      </c>
      <c r="N122" s="67">
        <f t="shared" si="12"/>
        <v>37500000</v>
      </c>
      <c r="O122" s="46" t="s">
        <v>22</v>
      </c>
      <c r="P122" s="13">
        <v>118</v>
      </c>
      <c r="T122" s="73" t="s">
        <v>1795</v>
      </c>
      <c r="U122" s="74" t="s">
        <v>1796</v>
      </c>
      <c r="V122" s="75" t="s">
        <v>1586</v>
      </c>
      <c r="W122" s="77" t="s">
        <v>1795</v>
      </c>
      <c r="X122" s="74" t="s">
        <v>1587</v>
      </c>
      <c r="Y122" s="76" t="s">
        <v>1588</v>
      </c>
    </row>
    <row r="123" spans="1:25" ht="15" customHeight="1" x14ac:dyDescent="0.2">
      <c r="A123" s="13" t="s">
        <v>33</v>
      </c>
      <c r="B123" s="14">
        <v>45896</v>
      </c>
      <c r="C123" s="46">
        <f t="shared" si="17"/>
        <v>137</v>
      </c>
      <c r="D123" s="46">
        <v>1</v>
      </c>
      <c r="G123" s="15" t="s">
        <v>756</v>
      </c>
      <c r="H123" s="13" t="s">
        <v>1989</v>
      </c>
      <c r="I123" s="46">
        <v>112111</v>
      </c>
      <c r="J123" s="13">
        <v>131</v>
      </c>
      <c r="K123" s="46" t="s">
        <v>21</v>
      </c>
      <c r="L123" s="46">
        <v>1</v>
      </c>
      <c r="M123" s="21">
        <v>13838710</v>
      </c>
      <c r="N123" s="67">
        <f t="shared" si="12"/>
        <v>13838710</v>
      </c>
      <c r="O123" s="46" t="s">
        <v>22</v>
      </c>
      <c r="P123" s="13">
        <v>119</v>
      </c>
      <c r="T123" s="73" t="s">
        <v>1797</v>
      </c>
      <c r="U123" s="74" t="s">
        <v>1798</v>
      </c>
      <c r="V123" s="75" t="s">
        <v>1586</v>
      </c>
      <c r="W123" s="77" t="s">
        <v>1797</v>
      </c>
      <c r="X123" s="74" t="s">
        <v>1587</v>
      </c>
      <c r="Y123" s="76" t="s">
        <v>1588</v>
      </c>
    </row>
    <row r="124" spans="1:25" ht="15" customHeight="1" x14ac:dyDescent="0.2">
      <c r="A124" s="13" t="s">
        <v>89</v>
      </c>
      <c r="B124" s="14">
        <v>45897</v>
      </c>
      <c r="C124" s="46">
        <f t="shared" si="17"/>
        <v>138</v>
      </c>
      <c r="D124" s="46">
        <v>1</v>
      </c>
      <c r="G124" s="66" t="s">
        <v>1345</v>
      </c>
      <c r="H124" s="46" t="s">
        <v>1008</v>
      </c>
      <c r="I124" s="46">
        <v>1111</v>
      </c>
      <c r="J124" s="46">
        <v>112111</v>
      </c>
      <c r="K124" s="46" t="s">
        <v>21</v>
      </c>
      <c r="L124" s="46">
        <v>1</v>
      </c>
      <c r="M124" s="21">
        <v>13000000</v>
      </c>
      <c r="N124" s="67">
        <f t="shared" ref="N124:N125" si="18">L124*M124</f>
        <v>13000000</v>
      </c>
      <c r="O124" s="46" t="s">
        <v>22</v>
      </c>
      <c r="P124" s="13">
        <v>120</v>
      </c>
      <c r="T124" s="73" t="s">
        <v>1799</v>
      </c>
      <c r="U124" s="74" t="s">
        <v>1800</v>
      </c>
      <c r="V124" s="75" t="s">
        <v>1586</v>
      </c>
      <c r="W124" s="77" t="s">
        <v>1799</v>
      </c>
      <c r="X124" s="74" t="s">
        <v>1587</v>
      </c>
      <c r="Y124" s="76" t="s">
        <v>1588</v>
      </c>
    </row>
    <row r="125" spans="1:25" ht="15" customHeight="1" x14ac:dyDescent="0.2">
      <c r="A125" s="13" t="s">
        <v>33</v>
      </c>
      <c r="B125" s="14">
        <v>45900</v>
      </c>
      <c r="C125" s="46">
        <f t="shared" ref="C125:C132" si="19">C124+D125</f>
        <v>139</v>
      </c>
      <c r="D125" s="46">
        <v>1</v>
      </c>
      <c r="G125" s="66" t="s">
        <v>1345</v>
      </c>
      <c r="H125" s="46" t="s">
        <v>129</v>
      </c>
      <c r="I125" s="46">
        <v>112111</v>
      </c>
      <c r="J125" s="46">
        <v>5154</v>
      </c>
      <c r="K125" s="46" t="s">
        <v>21</v>
      </c>
      <c r="L125" s="46">
        <v>1</v>
      </c>
      <c r="M125" s="21">
        <v>1333</v>
      </c>
      <c r="N125" s="67">
        <f t="shared" si="18"/>
        <v>1333</v>
      </c>
      <c r="O125" s="46" t="s">
        <v>22</v>
      </c>
      <c r="P125" s="13">
        <v>121</v>
      </c>
      <c r="T125" s="73" t="s">
        <v>1801</v>
      </c>
      <c r="U125" s="74" t="s">
        <v>1802</v>
      </c>
      <c r="V125" s="75" t="s">
        <v>1586</v>
      </c>
      <c r="W125" s="77" t="s">
        <v>1801</v>
      </c>
      <c r="X125" s="74" t="s">
        <v>1587</v>
      </c>
      <c r="Y125" s="76" t="s">
        <v>1588</v>
      </c>
    </row>
    <row r="126" spans="1:25" ht="15" customHeight="1" x14ac:dyDescent="0.2">
      <c r="A126" s="13" t="s">
        <v>33</v>
      </c>
      <c r="B126" s="14">
        <v>45903</v>
      </c>
      <c r="C126" s="46">
        <f t="shared" si="19"/>
        <v>140</v>
      </c>
      <c r="D126" s="46">
        <v>1</v>
      </c>
      <c r="G126" s="15" t="s">
        <v>252</v>
      </c>
      <c r="H126" s="13" t="s">
        <v>1994</v>
      </c>
      <c r="I126" s="46">
        <v>112111</v>
      </c>
      <c r="J126" s="13">
        <v>131</v>
      </c>
      <c r="K126" s="46" t="s">
        <v>21</v>
      </c>
      <c r="L126" s="46">
        <v>1</v>
      </c>
      <c r="M126" s="21">
        <v>26500000</v>
      </c>
      <c r="N126" s="67">
        <f t="shared" si="12"/>
        <v>26500000</v>
      </c>
      <c r="O126" s="46" t="s">
        <v>22</v>
      </c>
      <c r="P126" s="13">
        <v>122</v>
      </c>
      <c r="T126" s="73" t="s">
        <v>1436</v>
      </c>
      <c r="U126" s="74" t="s">
        <v>1803</v>
      </c>
      <c r="V126" s="75" t="s">
        <v>1804</v>
      </c>
      <c r="W126" s="77" t="s">
        <v>1436</v>
      </c>
      <c r="X126" s="74" t="s">
        <v>1587</v>
      </c>
      <c r="Y126" s="76" t="s">
        <v>1588</v>
      </c>
    </row>
    <row r="127" spans="1:25" ht="15" customHeight="1" x14ac:dyDescent="0.2">
      <c r="A127" s="13" t="s">
        <v>89</v>
      </c>
      <c r="B127" s="14">
        <v>45904</v>
      </c>
      <c r="C127" s="46">
        <f t="shared" si="19"/>
        <v>141</v>
      </c>
      <c r="D127" s="46">
        <v>1</v>
      </c>
      <c r="G127" s="66" t="s">
        <v>1345</v>
      </c>
      <c r="H127" s="46" t="s">
        <v>1008</v>
      </c>
      <c r="I127" s="46">
        <v>1111</v>
      </c>
      <c r="J127" s="46">
        <v>112111</v>
      </c>
      <c r="K127" s="46" t="s">
        <v>21</v>
      </c>
      <c r="L127" s="46">
        <v>1</v>
      </c>
      <c r="M127" s="21">
        <v>27000000</v>
      </c>
      <c r="N127" s="67">
        <f t="shared" si="12"/>
        <v>27000000</v>
      </c>
      <c r="O127" s="46" t="s">
        <v>22</v>
      </c>
      <c r="P127" s="13">
        <v>123</v>
      </c>
      <c r="T127" s="73" t="s">
        <v>1805</v>
      </c>
      <c r="U127" s="74" t="s">
        <v>1806</v>
      </c>
      <c r="V127" s="75" t="s">
        <v>1586</v>
      </c>
      <c r="W127" s="77" t="s">
        <v>1805</v>
      </c>
      <c r="X127" s="74" t="s">
        <v>1587</v>
      </c>
      <c r="Y127" s="76" t="s">
        <v>1588</v>
      </c>
    </row>
    <row r="128" spans="1:25" ht="15" customHeight="1" x14ac:dyDescent="0.2">
      <c r="A128" s="13" t="s">
        <v>89</v>
      </c>
      <c r="B128" s="14">
        <v>45911</v>
      </c>
      <c r="C128" s="46">
        <f t="shared" si="19"/>
        <v>142</v>
      </c>
      <c r="D128" s="46">
        <v>1</v>
      </c>
      <c r="G128" s="15" t="s">
        <v>29</v>
      </c>
      <c r="H128" s="13" t="s">
        <v>1996</v>
      </c>
      <c r="I128" s="13">
        <v>333822</v>
      </c>
      <c r="J128" s="46">
        <v>112111</v>
      </c>
      <c r="K128" s="46" t="s">
        <v>21</v>
      </c>
      <c r="L128" s="46">
        <v>1</v>
      </c>
      <c r="M128" s="21">
        <v>378000</v>
      </c>
      <c r="N128" s="67">
        <f t="shared" si="12"/>
        <v>378000</v>
      </c>
      <c r="O128" s="46" t="s">
        <v>22</v>
      </c>
      <c r="P128" s="13">
        <v>124</v>
      </c>
      <c r="T128" s="73" t="s">
        <v>1807</v>
      </c>
      <c r="U128" s="74" t="s">
        <v>1808</v>
      </c>
      <c r="V128" s="75" t="s">
        <v>1586</v>
      </c>
      <c r="W128" s="77" t="s">
        <v>1807</v>
      </c>
      <c r="X128" s="74" t="s">
        <v>1587</v>
      </c>
      <c r="Y128" s="76" t="s">
        <v>1588</v>
      </c>
    </row>
    <row r="129" spans="1:25" ht="15" customHeight="1" x14ac:dyDescent="0.2">
      <c r="A129" s="13" t="s">
        <v>33</v>
      </c>
      <c r="B129" s="14">
        <v>45924</v>
      </c>
      <c r="C129" s="46">
        <f t="shared" si="19"/>
        <v>143</v>
      </c>
      <c r="D129" s="46">
        <v>1</v>
      </c>
      <c r="G129" s="15" t="s">
        <v>1539</v>
      </c>
      <c r="H129" s="46" t="s">
        <v>1992</v>
      </c>
      <c r="I129" s="46">
        <v>112111</v>
      </c>
      <c r="J129" s="13">
        <v>131</v>
      </c>
      <c r="K129" s="46" t="s">
        <v>21</v>
      </c>
      <c r="L129" s="46">
        <v>1</v>
      </c>
      <c r="M129" s="21">
        <v>11000000</v>
      </c>
      <c r="N129" s="67">
        <f t="shared" si="12"/>
        <v>11000000</v>
      </c>
      <c r="O129" s="46" t="s">
        <v>22</v>
      </c>
      <c r="P129" s="13">
        <v>125</v>
      </c>
      <c r="T129" s="73" t="s">
        <v>818</v>
      </c>
      <c r="U129" s="74" t="s">
        <v>1809</v>
      </c>
      <c r="V129" s="75" t="s">
        <v>1586</v>
      </c>
      <c r="W129" s="77" t="s">
        <v>818</v>
      </c>
      <c r="X129" s="74" t="s">
        <v>1587</v>
      </c>
      <c r="Y129" s="76" t="s">
        <v>1588</v>
      </c>
    </row>
    <row r="130" spans="1:25" ht="15" customHeight="1" x14ac:dyDescent="0.2">
      <c r="A130" s="13" t="s">
        <v>18</v>
      </c>
      <c r="B130" s="14">
        <v>45927</v>
      </c>
      <c r="C130" s="46">
        <f t="shared" si="19"/>
        <v>144</v>
      </c>
      <c r="D130" s="46">
        <v>1</v>
      </c>
      <c r="G130" s="15" t="s">
        <v>1235</v>
      </c>
      <c r="H130" s="13" t="s">
        <v>1578</v>
      </c>
      <c r="I130" s="13">
        <v>131</v>
      </c>
      <c r="J130" s="13">
        <v>5118</v>
      </c>
      <c r="K130" s="46" t="s">
        <v>21</v>
      </c>
      <c r="L130" s="46">
        <v>1</v>
      </c>
      <c r="M130" s="21">
        <v>6595024</v>
      </c>
      <c r="N130" s="67">
        <f t="shared" ref="N130:N133" si="20">L130*M130</f>
        <v>6595024</v>
      </c>
      <c r="O130" s="46" t="s">
        <v>22</v>
      </c>
      <c r="P130" s="13">
        <v>126</v>
      </c>
      <c r="T130" s="73" t="s">
        <v>1810</v>
      </c>
      <c r="U130" s="74" t="s">
        <v>1811</v>
      </c>
      <c r="V130" s="75" t="s">
        <v>1586</v>
      </c>
      <c r="W130" s="77" t="s">
        <v>1810</v>
      </c>
      <c r="X130" s="74" t="s">
        <v>1587</v>
      </c>
      <c r="Y130" s="76" t="s">
        <v>1588</v>
      </c>
    </row>
    <row r="131" spans="1:25" ht="15" customHeight="1" x14ac:dyDescent="0.2">
      <c r="A131" s="13" t="s">
        <v>33</v>
      </c>
      <c r="B131" s="14">
        <v>45927</v>
      </c>
      <c r="C131" s="46">
        <f t="shared" si="19"/>
        <v>145</v>
      </c>
      <c r="D131" s="46">
        <v>1</v>
      </c>
      <c r="G131" s="15" t="s">
        <v>1235</v>
      </c>
      <c r="H131" s="13" t="s">
        <v>1579</v>
      </c>
      <c r="I131" s="46">
        <v>112111</v>
      </c>
      <c r="J131" s="13">
        <v>131</v>
      </c>
      <c r="K131" s="46" t="s">
        <v>21</v>
      </c>
      <c r="L131" s="46">
        <v>1</v>
      </c>
      <c r="M131" s="21">
        <v>6595024</v>
      </c>
      <c r="N131" s="67">
        <f t="shared" si="20"/>
        <v>6595024</v>
      </c>
      <c r="O131" s="46" t="s">
        <v>22</v>
      </c>
      <c r="P131" s="13">
        <v>127</v>
      </c>
      <c r="T131" s="73" t="s">
        <v>1812</v>
      </c>
      <c r="U131" s="74" t="s">
        <v>1813</v>
      </c>
      <c r="V131" s="75" t="s">
        <v>1586</v>
      </c>
      <c r="W131" s="77" t="s">
        <v>1812</v>
      </c>
      <c r="X131" s="74" t="s">
        <v>1587</v>
      </c>
      <c r="Y131" s="76" t="s">
        <v>1588</v>
      </c>
    </row>
    <row r="132" spans="1:25" ht="15" customHeight="1" x14ac:dyDescent="0.2">
      <c r="A132" s="13" t="s">
        <v>89</v>
      </c>
      <c r="B132" s="14">
        <v>45927</v>
      </c>
      <c r="C132" s="46">
        <f t="shared" si="19"/>
        <v>146</v>
      </c>
      <c r="D132" s="46">
        <v>1</v>
      </c>
      <c r="G132" s="66" t="s">
        <v>1345</v>
      </c>
      <c r="H132" s="46" t="s">
        <v>1008</v>
      </c>
      <c r="I132" s="46">
        <v>1111</v>
      </c>
      <c r="J132" s="46">
        <v>112111</v>
      </c>
      <c r="K132" s="46" t="s">
        <v>21</v>
      </c>
      <c r="L132" s="46">
        <v>1</v>
      </c>
      <c r="M132" s="21">
        <v>16500000</v>
      </c>
      <c r="N132" s="67">
        <f t="shared" si="20"/>
        <v>16500000</v>
      </c>
      <c r="O132" s="46" t="s">
        <v>22</v>
      </c>
      <c r="P132" s="13">
        <v>128</v>
      </c>
      <c r="T132" s="73" t="s">
        <v>1814</v>
      </c>
      <c r="U132" s="74" t="s">
        <v>1815</v>
      </c>
      <c r="V132" s="75" t="s">
        <v>1586</v>
      </c>
      <c r="W132" s="77" t="s">
        <v>1814</v>
      </c>
      <c r="X132" s="74" t="s">
        <v>1587</v>
      </c>
      <c r="Y132" s="76" t="s">
        <v>1588</v>
      </c>
    </row>
    <row r="133" spans="1:25" ht="15" customHeight="1" x14ac:dyDescent="0.2">
      <c r="A133" s="13" t="s">
        <v>33</v>
      </c>
      <c r="B133" s="14">
        <v>45930</v>
      </c>
      <c r="C133" s="46">
        <f t="shared" ref="C133" si="21">C132+D133</f>
        <v>147</v>
      </c>
      <c r="D133" s="46">
        <v>1</v>
      </c>
      <c r="G133" s="66" t="s">
        <v>1345</v>
      </c>
      <c r="H133" s="46" t="s">
        <v>129</v>
      </c>
      <c r="I133" s="46">
        <v>112111</v>
      </c>
      <c r="J133" s="46">
        <v>5154</v>
      </c>
      <c r="K133" s="46" t="s">
        <v>21</v>
      </c>
      <c r="L133" s="46">
        <v>1</v>
      </c>
      <c r="M133" s="21">
        <v>197</v>
      </c>
      <c r="N133" s="67">
        <f t="shared" si="20"/>
        <v>197</v>
      </c>
      <c r="O133" s="46" t="s">
        <v>22</v>
      </c>
      <c r="P133" s="13">
        <v>129</v>
      </c>
      <c r="T133" s="73" t="s">
        <v>287</v>
      </c>
      <c r="U133" s="74" t="s">
        <v>1816</v>
      </c>
      <c r="V133" s="75" t="s">
        <v>1586</v>
      </c>
      <c r="W133" s="77" t="s">
        <v>287</v>
      </c>
      <c r="X133" s="74" t="s">
        <v>1587</v>
      </c>
      <c r="Y133" s="76" t="s">
        <v>1588</v>
      </c>
    </row>
    <row r="134" spans="1:25" ht="15" customHeight="1" x14ac:dyDescent="0.2">
      <c r="C134" s="46"/>
      <c r="D134" s="46"/>
      <c r="K134" s="46"/>
      <c r="L134" s="46"/>
      <c r="N134" s="67"/>
      <c r="T134" s="73" t="s">
        <v>85</v>
      </c>
      <c r="U134" s="74" t="s">
        <v>1817</v>
      </c>
      <c r="V134" s="75" t="s">
        <v>1586</v>
      </c>
      <c r="W134" s="77" t="s">
        <v>85</v>
      </c>
      <c r="X134" s="74" t="s">
        <v>1587</v>
      </c>
      <c r="Y134" s="76" t="s">
        <v>1588</v>
      </c>
    </row>
    <row r="135" spans="1:25" ht="15" customHeight="1" x14ac:dyDescent="0.2">
      <c r="C135" s="46"/>
      <c r="D135" s="46"/>
      <c r="K135" s="46"/>
      <c r="L135" s="46"/>
      <c r="N135" s="67"/>
      <c r="T135" s="73" t="s">
        <v>1818</v>
      </c>
      <c r="U135" s="74" t="s">
        <v>1819</v>
      </c>
      <c r="V135" s="75" t="s">
        <v>1586</v>
      </c>
      <c r="W135" s="77" t="s">
        <v>1818</v>
      </c>
      <c r="X135" s="74" t="s">
        <v>1587</v>
      </c>
      <c r="Y135" s="76" t="s">
        <v>1588</v>
      </c>
    </row>
    <row r="136" spans="1:25" ht="15" customHeight="1" x14ac:dyDescent="0.2">
      <c r="C136" s="46"/>
      <c r="D136" s="46"/>
      <c r="K136" s="46"/>
      <c r="L136" s="46"/>
      <c r="N136" s="67"/>
      <c r="T136" s="73" t="s">
        <v>638</v>
      </c>
      <c r="U136" s="74" t="s">
        <v>1820</v>
      </c>
      <c r="V136" s="75" t="s">
        <v>1586</v>
      </c>
      <c r="W136" s="77" t="s">
        <v>638</v>
      </c>
      <c r="X136" s="74" t="s">
        <v>1587</v>
      </c>
      <c r="Y136" s="76" t="s">
        <v>1588</v>
      </c>
    </row>
    <row r="137" spans="1:25" ht="15" customHeight="1" x14ac:dyDescent="0.2">
      <c r="K137" s="46"/>
      <c r="L137" s="46"/>
      <c r="N137" s="67"/>
      <c r="T137" s="73" t="s">
        <v>641</v>
      </c>
      <c r="U137" s="74" t="s">
        <v>1821</v>
      </c>
      <c r="V137" s="75" t="s">
        <v>1586</v>
      </c>
      <c r="W137" s="77" t="s">
        <v>641</v>
      </c>
      <c r="X137" s="74" t="s">
        <v>1587</v>
      </c>
      <c r="Y137" s="76" t="s">
        <v>1588</v>
      </c>
    </row>
    <row r="138" spans="1:25" ht="15" customHeight="1" x14ac:dyDescent="0.2">
      <c r="T138" s="73" t="s">
        <v>635</v>
      </c>
      <c r="U138" s="74" t="s">
        <v>1822</v>
      </c>
      <c r="V138" s="75" t="s">
        <v>1823</v>
      </c>
      <c r="W138" s="77" t="s">
        <v>635</v>
      </c>
      <c r="X138" s="74" t="s">
        <v>1587</v>
      </c>
      <c r="Y138" s="76" t="s">
        <v>1588</v>
      </c>
    </row>
    <row r="139" spans="1:25" ht="15" customHeight="1" x14ac:dyDescent="0.2">
      <c r="T139" s="73" t="s">
        <v>1824</v>
      </c>
      <c r="U139" s="74" t="s">
        <v>1825</v>
      </c>
      <c r="V139" s="75" t="s">
        <v>1586</v>
      </c>
      <c r="W139" s="77" t="s">
        <v>1824</v>
      </c>
      <c r="X139" s="74" t="s">
        <v>1587</v>
      </c>
      <c r="Y139" s="76" t="s">
        <v>1588</v>
      </c>
    </row>
    <row r="140" spans="1:25" ht="15" customHeight="1" x14ac:dyDescent="0.2">
      <c r="T140" s="73" t="s">
        <v>1826</v>
      </c>
      <c r="U140" s="74" t="s">
        <v>1827</v>
      </c>
      <c r="V140" s="75" t="s">
        <v>1586</v>
      </c>
      <c r="W140" s="77" t="s">
        <v>1826</v>
      </c>
      <c r="X140" s="74" t="s">
        <v>1587</v>
      </c>
      <c r="Y140" s="76" t="s">
        <v>1588</v>
      </c>
    </row>
    <row r="141" spans="1:25" ht="15" customHeight="1" x14ac:dyDescent="0.2">
      <c r="T141" s="73" t="s">
        <v>1828</v>
      </c>
      <c r="U141" s="74" t="s">
        <v>1829</v>
      </c>
      <c r="V141" s="75" t="s">
        <v>1586</v>
      </c>
      <c r="W141" s="77" t="s">
        <v>1828</v>
      </c>
      <c r="X141" s="74" t="s">
        <v>1587</v>
      </c>
      <c r="Y141" s="76" t="s">
        <v>1588</v>
      </c>
    </row>
    <row r="142" spans="1:25" ht="15" customHeight="1" x14ac:dyDescent="0.2">
      <c r="T142" s="73" t="s">
        <v>1830</v>
      </c>
      <c r="U142" s="74" t="s">
        <v>1831</v>
      </c>
      <c r="V142" s="75" t="s">
        <v>1586</v>
      </c>
      <c r="W142" s="77" t="s">
        <v>1830</v>
      </c>
      <c r="X142" s="74" t="s">
        <v>1587</v>
      </c>
      <c r="Y142" s="76" t="s">
        <v>1588</v>
      </c>
    </row>
    <row r="143" spans="1:25" ht="15" customHeight="1" x14ac:dyDescent="0.2">
      <c r="T143" s="73" t="s">
        <v>1832</v>
      </c>
      <c r="U143" s="74" t="s">
        <v>1833</v>
      </c>
      <c r="V143" s="75" t="s">
        <v>1586</v>
      </c>
      <c r="W143" s="77" t="s">
        <v>1832</v>
      </c>
      <c r="X143" s="74" t="s">
        <v>1587</v>
      </c>
      <c r="Y143" s="76" t="s">
        <v>1588</v>
      </c>
    </row>
    <row r="144" spans="1:25" ht="15" customHeight="1" x14ac:dyDescent="0.2">
      <c r="T144" s="73" t="s">
        <v>1834</v>
      </c>
      <c r="U144" s="74" t="s">
        <v>1835</v>
      </c>
      <c r="V144" s="75" t="s">
        <v>1586</v>
      </c>
      <c r="W144" s="77" t="s">
        <v>1834</v>
      </c>
      <c r="X144" s="74" t="s">
        <v>1587</v>
      </c>
      <c r="Y144" s="76" t="s">
        <v>1588</v>
      </c>
    </row>
    <row r="145" spans="20:25" ht="15" customHeight="1" x14ac:dyDescent="0.2">
      <c r="T145" s="73" t="s">
        <v>1836</v>
      </c>
      <c r="U145" s="74" t="s">
        <v>1837</v>
      </c>
      <c r="V145" s="75" t="s">
        <v>1586</v>
      </c>
      <c r="W145" s="77" t="s">
        <v>1836</v>
      </c>
      <c r="X145" s="74" t="s">
        <v>1587</v>
      </c>
      <c r="Y145" s="76" t="s">
        <v>1588</v>
      </c>
    </row>
    <row r="146" spans="20:25" ht="15" customHeight="1" x14ac:dyDescent="0.2">
      <c r="T146" s="73" t="s">
        <v>1838</v>
      </c>
      <c r="U146" s="74" t="s">
        <v>1839</v>
      </c>
      <c r="V146" s="75" t="s">
        <v>1586</v>
      </c>
      <c r="W146" s="77" t="s">
        <v>1838</v>
      </c>
      <c r="X146" s="74" t="s">
        <v>1587</v>
      </c>
      <c r="Y146" s="76" t="s">
        <v>1588</v>
      </c>
    </row>
    <row r="147" spans="20:25" ht="15" customHeight="1" x14ac:dyDescent="0.2">
      <c r="T147" s="73" t="s">
        <v>1840</v>
      </c>
      <c r="U147" s="74" t="s">
        <v>1841</v>
      </c>
      <c r="V147" s="75" t="s">
        <v>1586</v>
      </c>
      <c r="W147" s="77" t="s">
        <v>1840</v>
      </c>
      <c r="X147" s="74" t="s">
        <v>1587</v>
      </c>
      <c r="Y147" s="76" t="s">
        <v>1588</v>
      </c>
    </row>
    <row r="148" spans="20:25" ht="15" customHeight="1" x14ac:dyDescent="0.2">
      <c r="T148" s="73" t="s">
        <v>1842</v>
      </c>
      <c r="U148" s="74" t="s">
        <v>1843</v>
      </c>
      <c r="V148" s="75" t="s">
        <v>1586</v>
      </c>
      <c r="W148" s="77" t="s">
        <v>1842</v>
      </c>
      <c r="X148" s="74" t="s">
        <v>1587</v>
      </c>
      <c r="Y148" s="76" t="s">
        <v>1588</v>
      </c>
    </row>
    <row r="149" spans="20:25" ht="15" customHeight="1" x14ac:dyDescent="0.2">
      <c r="T149" s="73" t="s">
        <v>1844</v>
      </c>
      <c r="U149" s="74" t="s">
        <v>1845</v>
      </c>
      <c r="V149" s="75" t="s">
        <v>1586</v>
      </c>
      <c r="W149" s="77" t="s">
        <v>1844</v>
      </c>
      <c r="X149" s="74" t="s">
        <v>1587</v>
      </c>
      <c r="Y149" s="76" t="s">
        <v>1588</v>
      </c>
    </row>
    <row r="150" spans="20:25" ht="15" customHeight="1" x14ac:dyDescent="0.2">
      <c r="T150" s="73" t="s">
        <v>1846</v>
      </c>
      <c r="U150" s="74" t="s">
        <v>1847</v>
      </c>
      <c r="V150" s="75" t="s">
        <v>1586</v>
      </c>
      <c r="W150" s="77" t="s">
        <v>1846</v>
      </c>
      <c r="X150" s="74" t="s">
        <v>1587</v>
      </c>
      <c r="Y150" s="76" t="s">
        <v>1588</v>
      </c>
    </row>
    <row r="151" spans="20:25" ht="15" customHeight="1" x14ac:dyDescent="0.2">
      <c r="T151" s="73" t="s">
        <v>890</v>
      </c>
      <c r="U151" s="74" t="s">
        <v>1848</v>
      </c>
      <c r="V151" s="75" t="s">
        <v>1586</v>
      </c>
      <c r="W151" s="77" t="s">
        <v>890</v>
      </c>
      <c r="X151" s="74" t="s">
        <v>1587</v>
      </c>
      <c r="Y151" s="76" t="s">
        <v>1588</v>
      </c>
    </row>
    <row r="152" spans="20:25" ht="15" customHeight="1" x14ac:dyDescent="0.2">
      <c r="T152" s="73" t="s">
        <v>1849</v>
      </c>
      <c r="U152" s="74" t="s">
        <v>1850</v>
      </c>
      <c r="V152" s="75" t="s">
        <v>1586</v>
      </c>
      <c r="W152" s="77" t="s">
        <v>1849</v>
      </c>
      <c r="X152" s="74" t="s">
        <v>1587</v>
      </c>
      <c r="Y152" s="76" t="s">
        <v>1588</v>
      </c>
    </row>
    <row r="153" spans="20:25" ht="15" customHeight="1" x14ac:dyDescent="0.2">
      <c r="T153" s="73" t="s">
        <v>1851</v>
      </c>
      <c r="U153" s="74" t="s">
        <v>1852</v>
      </c>
      <c r="V153" s="75" t="s">
        <v>1586</v>
      </c>
      <c r="W153" s="77" t="s">
        <v>1851</v>
      </c>
      <c r="X153" s="74" t="s">
        <v>1587</v>
      </c>
      <c r="Y153" s="76" t="s">
        <v>1588</v>
      </c>
    </row>
    <row r="154" spans="20:25" ht="15" customHeight="1" x14ac:dyDescent="0.2">
      <c r="T154" s="73" t="s">
        <v>1853</v>
      </c>
      <c r="U154" s="74" t="s">
        <v>1854</v>
      </c>
      <c r="V154" s="75" t="s">
        <v>1586</v>
      </c>
      <c r="W154" s="77" t="s">
        <v>1853</v>
      </c>
      <c r="X154" s="74" t="s">
        <v>1587</v>
      </c>
      <c r="Y154" s="76" t="s">
        <v>1588</v>
      </c>
    </row>
    <row r="155" spans="20:25" ht="15" customHeight="1" x14ac:dyDescent="0.2">
      <c r="T155" s="73" t="s">
        <v>1855</v>
      </c>
      <c r="U155" s="74" t="s">
        <v>1856</v>
      </c>
      <c r="V155" s="75" t="s">
        <v>1586</v>
      </c>
      <c r="W155" s="77" t="s">
        <v>1855</v>
      </c>
      <c r="X155" s="74" t="s">
        <v>1587</v>
      </c>
      <c r="Y155" s="76" t="s">
        <v>1588</v>
      </c>
    </row>
    <row r="156" spans="20:25" ht="15" customHeight="1" x14ac:dyDescent="0.2">
      <c r="T156" s="73" t="s">
        <v>976</v>
      </c>
      <c r="U156" s="74" t="s">
        <v>1857</v>
      </c>
      <c r="V156" s="75" t="s">
        <v>1586</v>
      </c>
      <c r="W156" s="77" t="s">
        <v>976</v>
      </c>
      <c r="X156" s="74" t="s">
        <v>1587</v>
      </c>
      <c r="Y156" s="76" t="s">
        <v>1588</v>
      </c>
    </row>
    <row r="157" spans="20:25" ht="15" customHeight="1" x14ac:dyDescent="0.2">
      <c r="T157" s="73" t="s">
        <v>1858</v>
      </c>
      <c r="U157" s="74" t="s">
        <v>1859</v>
      </c>
      <c r="V157" s="75" t="s">
        <v>1586</v>
      </c>
      <c r="W157" s="77" t="s">
        <v>1858</v>
      </c>
      <c r="X157" s="74" t="s">
        <v>1587</v>
      </c>
      <c r="Y157" s="76" t="s">
        <v>1588</v>
      </c>
    </row>
    <row r="158" spans="20:25" ht="15" customHeight="1" x14ac:dyDescent="0.2">
      <c r="T158" s="73" t="s">
        <v>1860</v>
      </c>
      <c r="U158" s="74" t="s">
        <v>1861</v>
      </c>
      <c r="V158" s="75" t="s">
        <v>1862</v>
      </c>
      <c r="W158" s="77" t="s">
        <v>1860</v>
      </c>
      <c r="X158" s="74" t="s">
        <v>1587</v>
      </c>
      <c r="Y158" s="76" t="s">
        <v>1588</v>
      </c>
    </row>
    <row r="159" spans="20:25" ht="15" customHeight="1" x14ac:dyDescent="0.2">
      <c r="T159" s="73" t="s">
        <v>1863</v>
      </c>
      <c r="U159" s="74" t="s">
        <v>1864</v>
      </c>
      <c r="V159" s="75" t="s">
        <v>1586</v>
      </c>
      <c r="W159" s="77" t="s">
        <v>1863</v>
      </c>
      <c r="X159" s="74" t="s">
        <v>1587</v>
      </c>
      <c r="Y159" s="76" t="s">
        <v>1588</v>
      </c>
    </row>
    <row r="160" spans="20:25" ht="15" customHeight="1" x14ac:dyDescent="0.2">
      <c r="T160" s="73" t="s">
        <v>1865</v>
      </c>
      <c r="U160" s="74" t="s">
        <v>1866</v>
      </c>
      <c r="V160" s="75" t="s">
        <v>1586</v>
      </c>
      <c r="W160" s="77" t="s">
        <v>1865</v>
      </c>
      <c r="X160" s="74" t="s">
        <v>1587</v>
      </c>
      <c r="Y160" s="76" t="s">
        <v>1588</v>
      </c>
    </row>
    <row r="161" spans="20:25" ht="15" customHeight="1" x14ac:dyDescent="0.2">
      <c r="T161" s="73" t="s">
        <v>1867</v>
      </c>
      <c r="U161" s="74" t="s">
        <v>1868</v>
      </c>
      <c r="V161" s="75" t="s">
        <v>1586</v>
      </c>
      <c r="W161" s="77" t="s">
        <v>1867</v>
      </c>
      <c r="X161" s="74" t="s">
        <v>1587</v>
      </c>
      <c r="Y161" s="76" t="s">
        <v>1588</v>
      </c>
    </row>
    <row r="162" spans="20:25" ht="15" customHeight="1" x14ac:dyDescent="0.2">
      <c r="T162" s="73" t="s">
        <v>1869</v>
      </c>
      <c r="U162" s="74" t="s">
        <v>1870</v>
      </c>
      <c r="V162" s="75" t="s">
        <v>1586</v>
      </c>
      <c r="W162" s="77" t="s">
        <v>1869</v>
      </c>
      <c r="X162" s="74" t="s">
        <v>1587</v>
      </c>
      <c r="Y162" s="76" t="s">
        <v>1588</v>
      </c>
    </row>
    <row r="163" spans="20:25" ht="15" customHeight="1" x14ac:dyDescent="0.2">
      <c r="T163" s="73" t="s">
        <v>1871</v>
      </c>
      <c r="U163" s="74" t="s">
        <v>1872</v>
      </c>
      <c r="V163" s="75" t="s">
        <v>1586</v>
      </c>
      <c r="W163" s="77" t="s">
        <v>1871</v>
      </c>
      <c r="X163" s="74" t="s">
        <v>1587</v>
      </c>
      <c r="Y163" s="76" t="s">
        <v>1588</v>
      </c>
    </row>
    <row r="164" spans="20:25" ht="15" customHeight="1" x14ac:dyDescent="0.2">
      <c r="T164" s="73" t="s">
        <v>1873</v>
      </c>
      <c r="U164" s="74" t="s">
        <v>1874</v>
      </c>
      <c r="V164" s="75" t="s">
        <v>1586</v>
      </c>
      <c r="W164" s="77" t="s">
        <v>1873</v>
      </c>
      <c r="X164" s="74" t="s">
        <v>1587</v>
      </c>
      <c r="Y164" s="76" t="s">
        <v>1588</v>
      </c>
    </row>
    <row r="165" spans="20:25" ht="15" customHeight="1" x14ac:dyDescent="0.2">
      <c r="T165" s="73" t="s">
        <v>1875</v>
      </c>
      <c r="U165" s="74" t="s">
        <v>1876</v>
      </c>
      <c r="V165" s="75" t="s">
        <v>1586</v>
      </c>
      <c r="W165" s="77" t="s">
        <v>1875</v>
      </c>
      <c r="X165" s="74" t="s">
        <v>1587</v>
      </c>
      <c r="Y165" s="76" t="s">
        <v>1588</v>
      </c>
    </row>
    <row r="166" spans="20:25" ht="15" customHeight="1" x14ac:dyDescent="0.2">
      <c r="T166" s="73" t="s">
        <v>174</v>
      </c>
      <c r="U166" s="74" t="s">
        <v>1877</v>
      </c>
      <c r="V166" s="75" t="s">
        <v>1586</v>
      </c>
      <c r="W166" s="77" t="s">
        <v>174</v>
      </c>
      <c r="X166" s="74" t="s">
        <v>1587</v>
      </c>
      <c r="Y166" s="76" t="s">
        <v>1588</v>
      </c>
    </row>
    <row r="167" spans="20:25" ht="15" customHeight="1" x14ac:dyDescent="0.2">
      <c r="T167" s="73" t="s">
        <v>1878</v>
      </c>
      <c r="U167" s="74" t="s">
        <v>1879</v>
      </c>
      <c r="V167" s="75" t="s">
        <v>1586</v>
      </c>
      <c r="W167" s="77" t="s">
        <v>1878</v>
      </c>
      <c r="X167" s="74" t="s">
        <v>1587</v>
      </c>
      <c r="Y167" s="76" t="s">
        <v>1588</v>
      </c>
    </row>
    <row r="168" spans="20:25" ht="15" customHeight="1" x14ac:dyDescent="0.2">
      <c r="T168" s="73" t="s">
        <v>1880</v>
      </c>
      <c r="U168" s="74" t="s">
        <v>1881</v>
      </c>
      <c r="V168" s="75" t="s">
        <v>1586</v>
      </c>
      <c r="W168" s="77" t="s">
        <v>1880</v>
      </c>
      <c r="X168" s="74" t="s">
        <v>1587</v>
      </c>
      <c r="Y168" s="76" t="s">
        <v>1588</v>
      </c>
    </row>
    <row r="169" spans="20:25" ht="15" customHeight="1" x14ac:dyDescent="0.2">
      <c r="T169" s="73" t="s">
        <v>901</v>
      </c>
      <c r="U169" s="74" t="s">
        <v>1882</v>
      </c>
      <c r="V169" s="75" t="s">
        <v>1586</v>
      </c>
      <c r="W169" s="77" t="s">
        <v>901</v>
      </c>
      <c r="X169" s="74" t="s">
        <v>1587</v>
      </c>
      <c r="Y169" s="76" t="s">
        <v>1588</v>
      </c>
    </row>
    <row r="170" spans="20:25" ht="15" customHeight="1" x14ac:dyDescent="0.2">
      <c r="T170" s="73" t="s">
        <v>1883</v>
      </c>
      <c r="U170" s="74" t="s">
        <v>1884</v>
      </c>
      <c r="V170" s="75" t="s">
        <v>1586</v>
      </c>
      <c r="W170" s="77" t="s">
        <v>1883</v>
      </c>
      <c r="X170" s="74" t="s">
        <v>1587</v>
      </c>
      <c r="Y170" s="76" t="s">
        <v>1588</v>
      </c>
    </row>
    <row r="171" spans="20:25" ht="15" customHeight="1" x14ac:dyDescent="0.2">
      <c r="T171" s="73" t="s">
        <v>1885</v>
      </c>
      <c r="U171" s="74" t="s">
        <v>1886</v>
      </c>
      <c r="V171" s="75" t="s">
        <v>1586</v>
      </c>
      <c r="W171" s="77" t="s">
        <v>1885</v>
      </c>
      <c r="X171" s="74" t="s">
        <v>1587</v>
      </c>
      <c r="Y171" s="76" t="s">
        <v>1588</v>
      </c>
    </row>
    <row r="172" spans="20:25" ht="15" customHeight="1" x14ac:dyDescent="0.2">
      <c r="T172" s="73" t="s">
        <v>1887</v>
      </c>
      <c r="U172" s="74" t="s">
        <v>1888</v>
      </c>
      <c r="V172" s="75" t="s">
        <v>1586</v>
      </c>
      <c r="W172" s="77" t="s">
        <v>1887</v>
      </c>
      <c r="X172" s="74" t="s">
        <v>1587</v>
      </c>
      <c r="Y172" s="76" t="s">
        <v>1588</v>
      </c>
    </row>
    <row r="173" spans="20:25" ht="15" customHeight="1" x14ac:dyDescent="0.2">
      <c r="T173" s="73" t="s">
        <v>1889</v>
      </c>
      <c r="U173" s="74" t="s">
        <v>1890</v>
      </c>
      <c r="V173" s="75" t="s">
        <v>1586</v>
      </c>
      <c r="W173" s="77" t="s">
        <v>1889</v>
      </c>
      <c r="X173" s="74" t="s">
        <v>1587</v>
      </c>
      <c r="Y173" s="76" t="s">
        <v>1588</v>
      </c>
    </row>
    <row r="174" spans="20:25" ht="15" customHeight="1" x14ac:dyDescent="0.2">
      <c r="T174" s="73" t="s">
        <v>1891</v>
      </c>
      <c r="U174" s="74" t="s">
        <v>1892</v>
      </c>
      <c r="V174" s="75" t="s">
        <v>1586</v>
      </c>
      <c r="W174" s="77" t="s">
        <v>1891</v>
      </c>
      <c r="X174" s="74" t="s">
        <v>1587</v>
      </c>
      <c r="Y174" s="76" t="s">
        <v>1588</v>
      </c>
    </row>
    <row r="175" spans="20:25" ht="15" customHeight="1" x14ac:dyDescent="0.2">
      <c r="T175" s="73" t="s">
        <v>1893</v>
      </c>
      <c r="U175" s="74" t="s">
        <v>1894</v>
      </c>
      <c r="V175" s="75" t="s">
        <v>1586</v>
      </c>
      <c r="W175" s="77" t="s">
        <v>1893</v>
      </c>
      <c r="X175" s="74" t="s">
        <v>1587</v>
      </c>
      <c r="Y175" s="76" t="s">
        <v>1588</v>
      </c>
    </row>
    <row r="176" spans="20:25" ht="15" customHeight="1" x14ac:dyDescent="0.2">
      <c r="T176" s="73" t="s">
        <v>1895</v>
      </c>
      <c r="U176" s="74" t="s">
        <v>1896</v>
      </c>
      <c r="V176" s="75" t="s">
        <v>1586</v>
      </c>
      <c r="W176" s="77" t="s">
        <v>1895</v>
      </c>
      <c r="X176" s="74" t="s">
        <v>1587</v>
      </c>
      <c r="Y176" s="76" t="s">
        <v>1588</v>
      </c>
    </row>
    <row r="177" spans="20:25" ht="15" customHeight="1" x14ac:dyDescent="0.2">
      <c r="T177" s="73" t="s">
        <v>1897</v>
      </c>
      <c r="U177" s="74" t="s">
        <v>1898</v>
      </c>
      <c r="V177" s="75" t="s">
        <v>1586</v>
      </c>
      <c r="W177" s="77" t="s">
        <v>1897</v>
      </c>
      <c r="X177" s="74" t="s">
        <v>1587</v>
      </c>
      <c r="Y177" s="76" t="s">
        <v>1588</v>
      </c>
    </row>
    <row r="178" spans="20:25" ht="15" customHeight="1" x14ac:dyDescent="0.2">
      <c r="T178" s="73" t="s">
        <v>905</v>
      </c>
      <c r="U178" s="74" t="s">
        <v>1899</v>
      </c>
      <c r="V178" s="75" t="s">
        <v>1586</v>
      </c>
      <c r="W178" s="77" t="s">
        <v>905</v>
      </c>
      <c r="X178" s="74" t="s">
        <v>1587</v>
      </c>
      <c r="Y178" s="76" t="s">
        <v>1588</v>
      </c>
    </row>
    <row r="179" spans="20:25" ht="15" customHeight="1" x14ac:dyDescent="0.2">
      <c r="T179" s="73" t="s">
        <v>1900</v>
      </c>
      <c r="U179" s="74" t="s">
        <v>1901</v>
      </c>
      <c r="V179" s="75" t="s">
        <v>1586</v>
      </c>
      <c r="W179" s="77" t="s">
        <v>1900</v>
      </c>
      <c r="X179" s="74" t="s">
        <v>1587</v>
      </c>
      <c r="Y179" s="76" t="s">
        <v>1588</v>
      </c>
    </row>
    <row r="180" spans="20:25" ht="15" customHeight="1" x14ac:dyDescent="0.2">
      <c r="T180" s="73" t="s">
        <v>1902</v>
      </c>
      <c r="U180" s="74" t="s">
        <v>1903</v>
      </c>
      <c r="V180" s="75" t="s">
        <v>1904</v>
      </c>
      <c r="W180" s="77" t="s">
        <v>1902</v>
      </c>
      <c r="X180" s="74" t="s">
        <v>1587</v>
      </c>
      <c r="Y180" s="76" t="s">
        <v>1588</v>
      </c>
    </row>
    <row r="181" spans="20:25" ht="15" customHeight="1" x14ac:dyDescent="0.2">
      <c r="T181" s="73" t="s">
        <v>1905</v>
      </c>
      <c r="U181" s="74" t="s">
        <v>1906</v>
      </c>
      <c r="V181" s="75" t="s">
        <v>1586</v>
      </c>
      <c r="W181" s="77" t="s">
        <v>1905</v>
      </c>
      <c r="X181" s="74" t="s">
        <v>1587</v>
      </c>
      <c r="Y181" s="76" t="s">
        <v>1588</v>
      </c>
    </row>
    <row r="182" spans="20:25" ht="15" customHeight="1" x14ac:dyDescent="0.2">
      <c r="T182" s="73" t="s">
        <v>1907</v>
      </c>
      <c r="U182" s="74" t="s">
        <v>1908</v>
      </c>
      <c r="V182" s="75" t="s">
        <v>1586</v>
      </c>
      <c r="W182" s="77" t="s">
        <v>1907</v>
      </c>
      <c r="X182" s="74" t="s">
        <v>1587</v>
      </c>
      <c r="Y182" s="76" t="s">
        <v>1588</v>
      </c>
    </row>
    <row r="183" spans="20:25" ht="15" customHeight="1" x14ac:dyDescent="0.2">
      <c r="T183" s="73" t="s">
        <v>76</v>
      </c>
      <c r="U183" s="74" t="s">
        <v>1909</v>
      </c>
      <c r="V183" s="75" t="s">
        <v>1586</v>
      </c>
      <c r="W183" s="77" t="s">
        <v>76</v>
      </c>
      <c r="X183" s="74" t="s">
        <v>1587</v>
      </c>
      <c r="Y183" s="76" t="s">
        <v>1588</v>
      </c>
    </row>
    <row r="184" spans="20:25" ht="15" customHeight="1" x14ac:dyDescent="0.2">
      <c r="T184" s="73" t="s">
        <v>751</v>
      </c>
      <c r="U184" s="74" t="s">
        <v>1910</v>
      </c>
      <c r="V184" s="75" t="s">
        <v>1911</v>
      </c>
      <c r="W184" s="77" t="s">
        <v>751</v>
      </c>
      <c r="X184" s="74" t="s">
        <v>1587</v>
      </c>
      <c r="Y184" s="76" t="s">
        <v>1588</v>
      </c>
    </row>
    <row r="185" spans="20:25" ht="15" customHeight="1" x14ac:dyDescent="0.2">
      <c r="T185" s="73" t="s">
        <v>1912</v>
      </c>
      <c r="U185" s="74" t="s">
        <v>1913</v>
      </c>
      <c r="V185" s="75" t="s">
        <v>1586</v>
      </c>
      <c r="W185" s="77" t="s">
        <v>1912</v>
      </c>
      <c r="X185" s="74" t="s">
        <v>1587</v>
      </c>
      <c r="Y185" s="76" t="s">
        <v>1588</v>
      </c>
    </row>
    <row r="186" spans="20:25" ht="15" customHeight="1" x14ac:dyDescent="0.2">
      <c r="T186" s="73" t="s">
        <v>933</v>
      </c>
      <c r="U186" s="74" t="s">
        <v>1914</v>
      </c>
      <c r="V186" s="75" t="s">
        <v>1586</v>
      </c>
      <c r="W186" s="77" t="s">
        <v>933</v>
      </c>
      <c r="X186" s="74" t="s">
        <v>1587</v>
      </c>
      <c r="Y186" s="76" t="s">
        <v>1588</v>
      </c>
    </row>
    <row r="187" spans="20:25" ht="15" customHeight="1" x14ac:dyDescent="0.2">
      <c r="T187" s="73" t="s">
        <v>1915</v>
      </c>
      <c r="U187" s="74" t="s">
        <v>1916</v>
      </c>
      <c r="V187" s="75" t="s">
        <v>1586</v>
      </c>
      <c r="W187" s="77" t="s">
        <v>1915</v>
      </c>
      <c r="X187" s="74" t="s">
        <v>1587</v>
      </c>
      <c r="Y187" s="76" t="s">
        <v>1588</v>
      </c>
    </row>
    <row r="188" spans="20:25" ht="15" customHeight="1" x14ac:dyDescent="0.2">
      <c r="T188" s="73" t="s">
        <v>1917</v>
      </c>
      <c r="U188" s="74" t="s">
        <v>1918</v>
      </c>
      <c r="V188" s="75" t="s">
        <v>1586</v>
      </c>
      <c r="W188" s="77" t="s">
        <v>1917</v>
      </c>
      <c r="X188" s="74" t="s">
        <v>1587</v>
      </c>
      <c r="Y188" s="76" t="s">
        <v>1588</v>
      </c>
    </row>
    <row r="189" spans="20:25" ht="15" customHeight="1" x14ac:dyDescent="0.2">
      <c r="T189" s="73" t="s">
        <v>1919</v>
      </c>
      <c r="U189" s="74" t="s">
        <v>1920</v>
      </c>
      <c r="V189" s="75" t="s">
        <v>1921</v>
      </c>
      <c r="W189" s="77" t="s">
        <v>1919</v>
      </c>
      <c r="X189" s="74" t="s">
        <v>1587</v>
      </c>
      <c r="Y189" s="76" t="s">
        <v>1588</v>
      </c>
    </row>
    <row r="190" spans="20:25" ht="15" customHeight="1" x14ac:dyDescent="0.2">
      <c r="T190" s="73" t="s">
        <v>1541</v>
      </c>
      <c r="U190" s="74" t="s">
        <v>1922</v>
      </c>
      <c r="V190" s="75" t="s">
        <v>1923</v>
      </c>
      <c r="W190" s="77" t="s">
        <v>1541</v>
      </c>
      <c r="X190" s="74" t="s">
        <v>1587</v>
      </c>
      <c r="Y190" s="76" t="s">
        <v>1588</v>
      </c>
    </row>
    <row r="191" spans="20:25" ht="15" customHeight="1" x14ac:dyDescent="0.2">
      <c r="T191" s="73" t="s">
        <v>1924</v>
      </c>
      <c r="U191" s="74" t="s">
        <v>1925</v>
      </c>
      <c r="V191" s="75" t="s">
        <v>1586</v>
      </c>
      <c r="W191" s="77" t="s">
        <v>1924</v>
      </c>
      <c r="X191" s="74" t="s">
        <v>1587</v>
      </c>
      <c r="Y191" s="76" t="s">
        <v>1588</v>
      </c>
    </row>
    <row r="192" spans="20:25" ht="15" customHeight="1" x14ac:dyDescent="0.2">
      <c r="T192" s="73" t="s">
        <v>1926</v>
      </c>
      <c r="U192" s="74" t="s">
        <v>1927</v>
      </c>
      <c r="V192" s="75" t="s">
        <v>1586</v>
      </c>
      <c r="W192" s="77" t="s">
        <v>1926</v>
      </c>
      <c r="X192" s="74" t="s">
        <v>1587</v>
      </c>
      <c r="Y192" s="76" t="s">
        <v>1588</v>
      </c>
    </row>
    <row r="193" spans="20:25" ht="15" customHeight="1" x14ac:dyDescent="0.2">
      <c r="T193" s="73" t="s">
        <v>1928</v>
      </c>
      <c r="U193" s="74" t="s">
        <v>1929</v>
      </c>
      <c r="V193" s="75" t="s">
        <v>1586</v>
      </c>
      <c r="W193" s="77" t="s">
        <v>1928</v>
      </c>
      <c r="X193" s="74" t="s">
        <v>1587</v>
      </c>
      <c r="Y193" s="76" t="s">
        <v>1588</v>
      </c>
    </row>
    <row r="194" spans="20:25" ht="15" customHeight="1" x14ac:dyDescent="0.2">
      <c r="T194" s="73" t="s">
        <v>52</v>
      </c>
      <c r="U194" s="74" t="s">
        <v>1930</v>
      </c>
      <c r="V194" s="75" t="s">
        <v>1586</v>
      </c>
      <c r="W194" s="77" t="s">
        <v>52</v>
      </c>
      <c r="X194" s="74" t="s">
        <v>1587</v>
      </c>
      <c r="Y194" s="76" t="s">
        <v>1588</v>
      </c>
    </row>
    <row r="195" spans="20:25" ht="15" customHeight="1" x14ac:dyDescent="0.2">
      <c r="T195" s="73" t="s">
        <v>1931</v>
      </c>
      <c r="U195" s="74" t="s">
        <v>1932</v>
      </c>
      <c r="V195" s="75" t="s">
        <v>1586</v>
      </c>
      <c r="W195" s="77" t="s">
        <v>1931</v>
      </c>
      <c r="X195" s="74" t="s">
        <v>1587</v>
      </c>
      <c r="Y195" s="76" t="s">
        <v>1588</v>
      </c>
    </row>
    <row r="196" spans="20:25" ht="15" customHeight="1" x14ac:dyDescent="0.2">
      <c r="T196" s="73" t="s">
        <v>957</v>
      </c>
      <c r="U196" s="74" t="s">
        <v>1933</v>
      </c>
      <c r="V196" s="75" t="s">
        <v>1586</v>
      </c>
      <c r="W196" s="77" t="s">
        <v>957</v>
      </c>
      <c r="X196" s="74" t="s">
        <v>1587</v>
      </c>
      <c r="Y196" s="76" t="s">
        <v>1588</v>
      </c>
    </row>
    <row r="197" spans="20:25" ht="15" customHeight="1" x14ac:dyDescent="0.2">
      <c r="T197" s="73" t="s">
        <v>1934</v>
      </c>
      <c r="U197" s="74" t="s">
        <v>1935</v>
      </c>
      <c r="V197" s="75" t="s">
        <v>1586</v>
      </c>
      <c r="W197" s="77" t="s">
        <v>1934</v>
      </c>
      <c r="X197" s="74" t="s">
        <v>1587</v>
      </c>
      <c r="Y197" s="76" t="s">
        <v>1588</v>
      </c>
    </row>
    <row r="198" spans="20:25" ht="15" customHeight="1" x14ac:dyDescent="0.2">
      <c r="T198" s="73" t="s">
        <v>1542</v>
      </c>
      <c r="U198" s="74" t="s">
        <v>1936</v>
      </c>
      <c r="V198" s="75" t="s">
        <v>1586</v>
      </c>
      <c r="W198" s="77" t="s">
        <v>1542</v>
      </c>
      <c r="X198" s="74" t="s">
        <v>1587</v>
      </c>
      <c r="Y198" s="76" t="s">
        <v>1588</v>
      </c>
    </row>
    <row r="199" spans="20:25" ht="15" customHeight="1" x14ac:dyDescent="0.2">
      <c r="T199" s="73" t="s">
        <v>1937</v>
      </c>
      <c r="U199" s="74" t="s">
        <v>1938</v>
      </c>
      <c r="V199" s="75" t="s">
        <v>1586</v>
      </c>
      <c r="W199" s="77" t="s">
        <v>1937</v>
      </c>
      <c r="X199" s="74" t="s">
        <v>1587</v>
      </c>
      <c r="Y199" s="76" t="s">
        <v>1588</v>
      </c>
    </row>
    <row r="200" spans="20:25" ht="15" customHeight="1" x14ac:dyDescent="0.2">
      <c r="T200" s="73" t="s">
        <v>1939</v>
      </c>
      <c r="U200" s="74" t="s">
        <v>1940</v>
      </c>
      <c r="V200" s="75" t="s">
        <v>1586</v>
      </c>
      <c r="W200" s="77" t="s">
        <v>1939</v>
      </c>
      <c r="X200" s="74" t="s">
        <v>1587</v>
      </c>
      <c r="Y200" s="76" t="s">
        <v>1588</v>
      </c>
    </row>
    <row r="201" spans="20:25" ht="15" customHeight="1" x14ac:dyDescent="0.2">
      <c r="T201" s="73" t="s">
        <v>1941</v>
      </c>
      <c r="U201" s="74" t="s">
        <v>1942</v>
      </c>
      <c r="V201" s="75" t="s">
        <v>1586</v>
      </c>
      <c r="W201" s="77" t="s">
        <v>1941</v>
      </c>
      <c r="X201" s="74" t="s">
        <v>1587</v>
      </c>
      <c r="Y201" s="76" t="s">
        <v>1588</v>
      </c>
    </row>
    <row r="202" spans="20:25" ht="15" customHeight="1" x14ac:dyDescent="0.2">
      <c r="T202" s="73" t="s">
        <v>1943</v>
      </c>
      <c r="U202" s="74" t="s">
        <v>1944</v>
      </c>
      <c r="V202" s="75" t="s">
        <v>1586</v>
      </c>
      <c r="W202" s="77" t="s">
        <v>1943</v>
      </c>
      <c r="X202" s="74" t="s">
        <v>1587</v>
      </c>
      <c r="Y202" s="76" t="s">
        <v>1588</v>
      </c>
    </row>
    <row r="203" spans="20:25" ht="15" customHeight="1" x14ac:dyDescent="0.2">
      <c r="T203" s="73" t="s">
        <v>96</v>
      </c>
      <c r="U203" s="74" t="s">
        <v>1945</v>
      </c>
      <c r="V203" s="75" t="s">
        <v>1862</v>
      </c>
      <c r="W203" s="77" t="s">
        <v>96</v>
      </c>
      <c r="X203" s="74" t="s">
        <v>1587</v>
      </c>
      <c r="Y203" s="76" t="s">
        <v>1588</v>
      </c>
    </row>
    <row r="204" spans="20:25" ht="15" customHeight="1" x14ac:dyDescent="0.2">
      <c r="T204" s="73" t="s">
        <v>1946</v>
      </c>
      <c r="U204" s="74" t="s">
        <v>1947</v>
      </c>
      <c r="V204" s="75" t="s">
        <v>1586</v>
      </c>
      <c r="W204" s="77" t="s">
        <v>1946</v>
      </c>
      <c r="X204" s="74" t="s">
        <v>1587</v>
      </c>
      <c r="Y204" s="76" t="s">
        <v>1588</v>
      </c>
    </row>
    <row r="205" spans="20:25" ht="15" customHeight="1" x14ac:dyDescent="0.2">
      <c r="T205" s="73" t="s">
        <v>302</v>
      </c>
      <c r="U205" s="74" t="s">
        <v>1948</v>
      </c>
      <c r="V205" s="75" t="s">
        <v>1586</v>
      </c>
      <c r="W205" s="77" t="s">
        <v>302</v>
      </c>
      <c r="X205" s="74" t="s">
        <v>1587</v>
      </c>
      <c r="Y205" s="76" t="s">
        <v>1588</v>
      </c>
    </row>
    <row r="206" spans="20:25" ht="15" customHeight="1" x14ac:dyDescent="0.2">
      <c r="T206" s="73" t="s">
        <v>1949</v>
      </c>
      <c r="U206" s="74" t="s">
        <v>1950</v>
      </c>
      <c r="V206" s="75" t="s">
        <v>1586</v>
      </c>
      <c r="W206" s="77" t="s">
        <v>1949</v>
      </c>
      <c r="X206" s="74" t="s">
        <v>1587</v>
      </c>
      <c r="Y206" s="76" t="s">
        <v>1588</v>
      </c>
    </row>
    <row r="207" spans="20:25" ht="15" customHeight="1" x14ac:dyDescent="0.2">
      <c r="T207" s="73" t="s">
        <v>1951</v>
      </c>
      <c r="U207" s="74" t="s">
        <v>1952</v>
      </c>
      <c r="V207" s="75" t="s">
        <v>1586</v>
      </c>
      <c r="W207" s="77" t="s">
        <v>1951</v>
      </c>
      <c r="X207" s="74" t="s">
        <v>1587</v>
      </c>
      <c r="Y207" s="76" t="s">
        <v>1588</v>
      </c>
    </row>
    <row r="208" spans="20:25" ht="15" customHeight="1" x14ac:dyDescent="0.2">
      <c r="T208" s="73" t="s">
        <v>1953</v>
      </c>
      <c r="U208" s="74" t="s">
        <v>1954</v>
      </c>
      <c r="V208" s="75" t="s">
        <v>1586</v>
      </c>
      <c r="W208" s="77" t="s">
        <v>1953</v>
      </c>
      <c r="X208" s="74" t="s">
        <v>1587</v>
      </c>
      <c r="Y208" s="76" t="s">
        <v>1588</v>
      </c>
    </row>
    <row r="209" spans="20:25" ht="15" customHeight="1" x14ac:dyDescent="0.2">
      <c r="T209" s="73" t="s">
        <v>1955</v>
      </c>
      <c r="U209" s="74" t="s">
        <v>1956</v>
      </c>
      <c r="V209" s="75" t="s">
        <v>1586</v>
      </c>
      <c r="W209" s="77" t="s">
        <v>1955</v>
      </c>
      <c r="X209" s="74" t="s">
        <v>1587</v>
      </c>
      <c r="Y209" s="76" t="s">
        <v>1588</v>
      </c>
    </row>
    <row r="210" spans="20:25" ht="15" customHeight="1" x14ac:dyDescent="0.2">
      <c r="T210" s="73" t="s">
        <v>1957</v>
      </c>
      <c r="U210" s="74" t="s">
        <v>1958</v>
      </c>
      <c r="V210" s="75" t="s">
        <v>1586</v>
      </c>
      <c r="W210" s="77" t="s">
        <v>1957</v>
      </c>
      <c r="X210" s="74" t="s">
        <v>1587</v>
      </c>
      <c r="Y210" s="76" t="s">
        <v>1588</v>
      </c>
    </row>
    <row r="211" spans="20:25" ht="15" customHeight="1" x14ac:dyDescent="0.2">
      <c r="T211" s="73" t="s">
        <v>1959</v>
      </c>
      <c r="U211" s="74" t="s">
        <v>1960</v>
      </c>
      <c r="V211" s="75" t="s">
        <v>1586</v>
      </c>
      <c r="W211" s="77" t="s">
        <v>1959</v>
      </c>
      <c r="X211" s="74" t="s">
        <v>1587</v>
      </c>
      <c r="Y211" s="76" t="s">
        <v>1588</v>
      </c>
    </row>
    <row r="212" spans="20:25" ht="15" customHeight="1" x14ac:dyDescent="0.2">
      <c r="T212" s="73" t="s">
        <v>1280</v>
      </c>
      <c r="U212" s="74" t="s">
        <v>1961</v>
      </c>
      <c r="V212" s="75" t="s">
        <v>1962</v>
      </c>
      <c r="W212" s="77" t="s">
        <v>1280</v>
      </c>
      <c r="X212" s="74" t="s">
        <v>1587</v>
      </c>
      <c r="Y212" s="76" t="s">
        <v>1588</v>
      </c>
    </row>
    <row r="213" spans="20:25" ht="15" customHeight="1" x14ac:dyDescent="0.2">
      <c r="T213" s="73" t="s">
        <v>1963</v>
      </c>
      <c r="U213" s="74" t="s">
        <v>1964</v>
      </c>
      <c r="V213" s="75" t="s">
        <v>1586</v>
      </c>
      <c r="W213" s="77" t="s">
        <v>1963</v>
      </c>
      <c r="X213" s="74" t="s">
        <v>1587</v>
      </c>
      <c r="Y213" s="76" t="s">
        <v>1588</v>
      </c>
    </row>
    <row r="214" spans="20:25" ht="15" customHeight="1" x14ac:dyDescent="0.2">
      <c r="T214" s="73" t="s">
        <v>1965</v>
      </c>
      <c r="U214" s="74" t="s">
        <v>1966</v>
      </c>
      <c r="V214" s="75" t="s">
        <v>1586</v>
      </c>
      <c r="W214" s="77" t="s">
        <v>1965</v>
      </c>
      <c r="X214" s="74" t="s">
        <v>1587</v>
      </c>
      <c r="Y214" s="76" t="s">
        <v>1588</v>
      </c>
    </row>
    <row r="215" spans="20:25" ht="15" customHeight="1" x14ac:dyDescent="0.2">
      <c r="T215" s="73" t="s">
        <v>1967</v>
      </c>
      <c r="U215" s="74" t="s">
        <v>1968</v>
      </c>
      <c r="V215" s="75" t="s">
        <v>1969</v>
      </c>
      <c r="W215" s="77" t="s">
        <v>1967</v>
      </c>
      <c r="X215" s="74" t="s">
        <v>1587</v>
      </c>
      <c r="Y215" s="76" t="s">
        <v>1588</v>
      </c>
    </row>
    <row r="216" spans="20:25" ht="15" customHeight="1" x14ac:dyDescent="0.2">
      <c r="T216" s="73" t="s">
        <v>1970</v>
      </c>
      <c r="U216" s="74" t="s">
        <v>1971</v>
      </c>
      <c r="V216" s="75" t="s">
        <v>1586</v>
      </c>
      <c r="W216" s="77" t="s">
        <v>1970</v>
      </c>
      <c r="X216" s="74" t="s">
        <v>1587</v>
      </c>
      <c r="Y216" s="76" t="s">
        <v>1588</v>
      </c>
    </row>
    <row r="217" spans="20:25" ht="15" customHeight="1" x14ac:dyDescent="0.2">
      <c r="T217" s="73" t="s">
        <v>1972</v>
      </c>
      <c r="U217" s="74" t="s">
        <v>1973</v>
      </c>
      <c r="V217" s="75" t="s">
        <v>1586</v>
      </c>
      <c r="W217" s="77" t="s">
        <v>1972</v>
      </c>
      <c r="X217" s="74" t="s">
        <v>1587</v>
      </c>
      <c r="Y217" s="76" t="s">
        <v>1588</v>
      </c>
    </row>
    <row r="218" spans="20:25" ht="15" customHeight="1" x14ac:dyDescent="0.2">
      <c r="T218" s="73" t="s">
        <v>1974</v>
      </c>
      <c r="U218" s="74" t="s">
        <v>1975</v>
      </c>
      <c r="V218" s="75" t="s">
        <v>1586</v>
      </c>
      <c r="W218" s="77" t="s">
        <v>1974</v>
      </c>
      <c r="X218" s="74" t="s">
        <v>1587</v>
      </c>
      <c r="Y218" s="76" t="s">
        <v>1588</v>
      </c>
    </row>
    <row r="219" spans="20:25" ht="15" customHeight="1" x14ac:dyDescent="0.2">
      <c r="T219" s="73" t="s">
        <v>1976</v>
      </c>
      <c r="U219" s="74" t="s">
        <v>1977</v>
      </c>
      <c r="V219" s="75" t="s">
        <v>1586</v>
      </c>
      <c r="W219" s="77" t="s">
        <v>1976</v>
      </c>
      <c r="X219" s="74" t="s">
        <v>1587</v>
      </c>
      <c r="Y219" s="76" t="s">
        <v>1588</v>
      </c>
    </row>
    <row r="220" spans="20:25" ht="15" customHeight="1" x14ac:dyDescent="0.2">
      <c r="T220" s="73" t="s">
        <v>1978</v>
      </c>
      <c r="U220" s="74" t="s">
        <v>1979</v>
      </c>
      <c r="V220" s="75" t="s">
        <v>1586</v>
      </c>
      <c r="W220" s="77" t="s">
        <v>1978</v>
      </c>
      <c r="X220" s="74" t="s">
        <v>1587</v>
      </c>
      <c r="Y220" s="76" t="s">
        <v>1588</v>
      </c>
    </row>
    <row r="221" spans="20:25" ht="15" customHeight="1" x14ac:dyDescent="0.2">
      <c r="T221" s="73" t="s">
        <v>1345</v>
      </c>
      <c r="U221" s="74" t="s">
        <v>1980</v>
      </c>
      <c r="V221" s="75" t="s">
        <v>1981</v>
      </c>
      <c r="W221" s="77" t="s">
        <v>1345</v>
      </c>
      <c r="X221" s="74" t="s">
        <v>1587</v>
      </c>
      <c r="Y221" s="76" t="s">
        <v>1588</v>
      </c>
    </row>
    <row r="222" spans="20:25" ht="15" customHeight="1" x14ac:dyDescent="0.2">
      <c r="T222" s="73" t="s">
        <v>1982</v>
      </c>
      <c r="U222" s="74" t="s">
        <v>1983</v>
      </c>
      <c r="V222" s="75" t="s">
        <v>1586</v>
      </c>
      <c r="W222" s="77" t="s">
        <v>1982</v>
      </c>
      <c r="X222" s="74" t="s">
        <v>1587</v>
      </c>
      <c r="Y222" s="76" t="s">
        <v>1588</v>
      </c>
    </row>
    <row r="223" spans="20:25" ht="15" customHeight="1" x14ac:dyDescent="0.2">
      <c r="T223" s="73" t="s">
        <v>1984</v>
      </c>
      <c r="U223" s="74" t="s">
        <v>1985</v>
      </c>
      <c r="V223" s="75" t="s">
        <v>1586</v>
      </c>
      <c r="W223" s="77" t="s">
        <v>1984</v>
      </c>
      <c r="X223" s="74" t="s">
        <v>1587</v>
      </c>
      <c r="Y223" s="76" t="s">
        <v>1588</v>
      </c>
    </row>
    <row r="224" spans="20:25" ht="15" customHeight="1" x14ac:dyDescent="0.2">
      <c r="T224" s="73" t="s">
        <v>1986</v>
      </c>
      <c r="U224" s="74" t="s">
        <v>1987</v>
      </c>
      <c r="V224" s="75" t="s">
        <v>1586</v>
      </c>
      <c r="W224" s="77" t="s">
        <v>1986</v>
      </c>
      <c r="X224" s="74" t="s">
        <v>1587</v>
      </c>
      <c r="Y224" s="76" t="s">
        <v>1588</v>
      </c>
    </row>
    <row r="225" spans="20:25" ht="15" customHeight="1" x14ac:dyDescent="0.2">
      <c r="T225" s="73" t="s">
        <v>1007</v>
      </c>
      <c r="U225" s="74" t="s">
        <v>1988</v>
      </c>
      <c r="V225" s="75" t="s">
        <v>1586</v>
      </c>
      <c r="W225" s="77" t="s">
        <v>1007</v>
      </c>
      <c r="X225" s="74" t="s">
        <v>1587</v>
      </c>
      <c r="Y225" s="76" t="s">
        <v>1588</v>
      </c>
    </row>
  </sheetData>
  <autoFilter ref="A3:P137" xr:uid="{00000000-0009-0000-0000-000006000000}"/>
  <mergeCells count="13">
    <mergeCell ref="N1:N2"/>
    <mergeCell ref="G1:G2"/>
    <mergeCell ref="H1:H2"/>
    <mergeCell ref="I1:J1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8"/>
  <sheetViews>
    <sheetView topLeftCell="A75" workbookViewId="0">
      <selection activeCell="G75" sqref="G75"/>
    </sheetView>
  </sheetViews>
  <sheetFormatPr defaultRowHeight="15" x14ac:dyDescent="0.25"/>
  <cols>
    <col min="7" max="7" width="13" style="80" customWidth="1"/>
    <col min="8" max="8" width="42.7109375" customWidth="1"/>
  </cols>
  <sheetData>
    <row r="1" spans="1:16" x14ac:dyDescent="0.25">
      <c r="A1" s="177" t="s">
        <v>0</v>
      </c>
      <c r="B1" s="177" t="s">
        <v>1</v>
      </c>
      <c r="C1" s="177" t="s">
        <v>2</v>
      </c>
      <c r="D1" s="175" t="s">
        <v>3</v>
      </c>
      <c r="E1" s="175" t="s">
        <v>4</v>
      </c>
      <c r="F1" s="175" t="s">
        <v>5</v>
      </c>
      <c r="G1" s="180" t="s">
        <v>6</v>
      </c>
      <c r="H1" s="182" t="s">
        <v>7</v>
      </c>
      <c r="I1" s="184" t="s">
        <v>8</v>
      </c>
      <c r="J1" s="185"/>
      <c r="K1" s="177" t="s">
        <v>9</v>
      </c>
      <c r="L1" s="177" t="s">
        <v>10</v>
      </c>
      <c r="M1" s="177" t="s">
        <v>1287</v>
      </c>
      <c r="N1" s="177" t="s">
        <v>1288</v>
      </c>
      <c r="O1" s="49" t="s">
        <v>1289</v>
      </c>
      <c r="P1" s="42"/>
    </row>
    <row r="2" spans="1:16" x14ac:dyDescent="0.25">
      <c r="A2" s="178"/>
      <c r="B2" s="178"/>
      <c r="C2" s="178"/>
      <c r="D2" s="179"/>
      <c r="E2" s="179"/>
      <c r="F2" s="176"/>
      <c r="G2" s="181"/>
      <c r="H2" s="183"/>
      <c r="I2" s="50" t="s">
        <v>13</v>
      </c>
      <c r="J2" s="51" t="s">
        <v>14</v>
      </c>
      <c r="K2" s="178"/>
      <c r="L2" s="178"/>
      <c r="M2" s="178"/>
      <c r="N2" s="178"/>
      <c r="O2" s="42" t="s">
        <v>1289</v>
      </c>
      <c r="P2" s="42"/>
    </row>
    <row r="3" spans="1:16" x14ac:dyDescent="0.25">
      <c r="A3" s="52"/>
      <c r="B3" s="52"/>
      <c r="C3" s="52">
        <v>19</v>
      </c>
      <c r="D3" s="53"/>
      <c r="E3" s="53"/>
      <c r="F3" s="53"/>
      <c r="G3" s="78" t="s">
        <v>15</v>
      </c>
      <c r="H3" s="54"/>
      <c r="I3" s="54"/>
      <c r="J3" s="54"/>
      <c r="K3" s="52"/>
      <c r="L3" s="52"/>
      <c r="M3" s="52"/>
      <c r="N3" s="52"/>
      <c r="O3" s="42" t="s">
        <v>16</v>
      </c>
      <c r="P3" s="42" t="s">
        <v>17</v>
      </c>
    </row>
    <row r="4" spans="1:16" x14ac:dyDescent="0.25">
      <c r="A4" s="42" t="s">
        <v>18</v>
      </c>
      <c r="B4" s="43">
        <v>45839</v>
      </c>
      <c r="C4" s="42">
        <f>C3+D4</f>
        <v>20</v>
      </c>
      <c r="D4" s="42">
        <v>1</v>
      </c>
      <c r="E4" s="42"/>
      <c r="F4" s="42"/>
      <c r="G4" s="79" t="s">
        <v>1351</v>
      </c>
      <c r="H4" s="42" t="s">
        <v>1350</v>
      </c>
      <c r="I4" s="42">
        <v>64277</v>
      </c>
      <c r="J4" s="42">
        <v>331</v>
      </c>
      <c r="K4" s="42" t="s">
        <v>21</v>
      </c>
      <c r="L4" s="42">
        <v>1</v>
      </c>
      <c r="M4" s="45">
        <v>31000</v>
      </c>
      <c r="N4" s="45">
        <f>L4*M4</f>
        <v>31000</v>
      </c>
      <c r="O4" s="46" t="s">
        <v>22</v>
      </c>
      <c r="P4" s="42">
        <v>1</v>
      </c>
    </row>
    <row r="5" spans="1:16" x14ac:dyDescent="0.25">
      <c r="A5" s="42" t="s">
        <v>18</v>
      </c>
      <c r="B5" s="43">
        <v>45846</v>
      </c>
      <c r="C5" s="42">
        <f t="shared" ref="C5:C68" si="0">C4+D5</f>
        <v>21</v>
      </c>
      <c r="D5" s="42">
        <v>1</v>
      </c>
      <c r="E5" s="42"/>
      <c r="F5" s="42"/>
      <c r="G5" s="79" t="s">
        <v>1997</v>
      </c>
      <c r="H5" s="42" t="s">
        <v>1352</v>
      </c>
      <c r="I5" s="42">
        <v>64277</v>
      </c>
      <c r="J5" s="42">
        <v>331</v>
      </c>
      <c r="K5" s="42" t="s">
        <v>21</v>
      </c>
      <c r="L5" s="42">
        <v>1</v>
      </c>
      <c r="M5" s="45">
        <v>923940</v>
      </c>
      <c r="N5" s="45">
        <f t="shared" ref="N5:N68" si="1">L5*M5</f>
        <v>923940</v>
      </c>
      <c r="O5" s="46" t="s">
        <v>22</v>
      </c>
      <c r="P5" s="42">
        <v>2</v>
      </c>
    </row>
    <row r="6" spans="1:16" x14ac:dyDescent="0.25">
      <c r="A6" s="42" t="s">
        <v>18</v>
      </c>
      <c r="B6" s="43">
        <v>45848</v>
      </c>
      <c r="C6" s="42">
        <f t="shared" si="0"/>
        <v>22</v>
      </c>
      <c r="D6" s="42">
        <v>1</v>
      </c>
      <c r="E6" s="42"/>
      <c r="F6" s="42"/>
      <c r="G6" s="79" t="s">
        <v>1998</v>
      </c>
      <c r="H6" s="42" t="s">
        <v>1353</v>
      </c>
      <c r="I6" s="42">
        <v>64277</v>
      </c>
      <c r="J6" s="42">
        <v>331</v>
      </c>
      <c r="K6" s="42" t="s">
        <v>21</v>
      </c>
      <c r="L6" s="42">
        <v>1</v>
      </c>
      <c r="M6" s="45">
        <v>6796800</v>
      </c>
      <c r="N6" s="45">
        <f t="shared" si="1"/>
        <v>6796800</v>
      </c>
      <c r="O6" s="46" t="s">
        <v>22</v>
      </c>
      <c r="P6" s="42">
        <v>3</v>
      </c>
    </row>
    <row r="7" spans="1:16" x14ac:dyDescent="0.25">
      <c r="A7" s="42" t="s">
        <v>18</v>
      </c>
      <c r="B7" s="43">
        <v>45851</v>
      </c>
      <c r="C7" s="42">
        <f t="shared" si="0"/>
        <v>23</v>
      </c>
      <c r="D7" s="42">
        <v>1</v>
      </c>
      <c r="E7" s="42"/>
      <c r="F7" s="42"/>
      <c r="G7" s="79" t="s">
        <v>1997</v>
      </c>
      <c r="H7" s="42" t="s">
        <v>1354</v>
      </c>
      <c r="I7" s="42">
        <v>64277</v>
      </c>
      <c r="J7" s="42">
        <v>331</v>
      </c>
      <c r="K7" s="42" t="s">
        <v>21</v>
      </c>
      <c r="L7" s="42">
        <v>1</v>
      </c>
      <c r="M7" s="45">
        <v>2370708</v>
      </c>
      <c r="N7" s="45">
        <f t="shared" si="1"/>
        <v>2370708</v>
      </c>
      <c r="O7" s="46" t="s">
        <v>22</v>
      </c>
      <c r="P7" s="42">
        <v>4</v>
      </c>
    </row>
    <row r="8" spans="1:16" x14ac:dyDescent="0.25">
      <c r="A8" s="42" t="s">
        <v>18</v>
      </c>
      <c r="B8" s="43">
        <v>45856</v>
      </c>
      <c r="C8" s="42">
        <f t="shared" si="0"/>
        <v>24</v>
      </c>
      <c r="D8" s="42">
        <v>1</v>
      </c>
      <c r="E8" s="42"/>
      <c r="F8" s="42"/>
      <c r="G8" s="79" t="s">
        <v>35</v>
      </c>
      <c r="H8" s="42" t="s">
        <v>1355</v>
      </c>
      <c r="I8" s="42">
        <v>64277</v>
      </c>
      <c r="J8" s="42">
        <v>331</v>
      </c>
      <c r="K8" s="42" t="s">
        <v>21</v>
      </c>
      <c r="L8" s="42">
        <v>1</v>
      </c>
      <c r="M8" s="45">
        <v>56000</v>
      </c>
      <c r="N8" s="45">
        <f t="shared" si="1"/>
        <v>56000</v>
      </c>
      <c r="O8" s="46" t="s">
        <v>22</v>
      </c>
      <c r="P8" s="42">
        <v>5</v>
      </c>
    </row>
    <row r="9" spans="1:16" x14ac:dyDescent="0.25">
      <c r="A9" s="42" t="s">
        <v>18</v>
      </c>
      <c r="B9" s="43">
        <v>45857</v>
      </c>
      <c r="C9" s="42">
        <f t="shared" si="0"/>
        <v>25</v>
      </c>
      <c r="D9" s="42">
        <v>1</v>
      </c>
      <c r="E9" s="42"/>
      <c r="F9" s="42"/>
      <c r="G9" s="79" t="s">
        <v>35</v>
      </c>
      <c r="H9" s="42" t="s">
        <v>1356</v>
      </c>
      <c r="I9" s="42">
        <v>64277</v>
      </c>
      <c r="J9" s="42">
        <v>331</v>
      </c>
      <c r="K9" s="42" t="s">
        <v>21</v>
      </c>
      <c r="L9" s="42">
        <v>1</v>
      </c>
      <c r="M9" s="45">
        <v>248000</v>
      </c>
      <c r="N9" s="45">
        <f t="shared" si="1"/>
        <v>248000</v>
      </c>
      <c r="O9" s="46" t="s">
        <v>22</v>
      </c>
      <c r="P9" s="42">
        <v>6</v>
      </c>
    </row>
    <row r="10" spans="1:16" x14ac:dyDescent="0.25">
      <c r="A10" s="42" t="s">
        <v>18</v>
      </c>
      <c r="B10" s="43">
        <v>45863</v>
      </c>
      <c r="C10" s="42">
        <f t="shared" si="0"/>
        <v>26</v>
      </c>
      <c r="D10" s="42">
        <v>1</v>
      </c>
      <c r="E10" s="42"/>
      <c r="F10" s="42"/>
      <c r="G10" s="79" t="s">
        <v>35</v>
      </c>
      <c r="H10" s="42" t="s">
        <v>1357</v>
      </c>
      <c r="I10" s="42">
        <v>64277</v>
      </c>
      <c r="J10" s="42">
        <v>331</v>
      </c>
      <c r="K10" s="42" t="s">
        <v>21</v>
      </c>
      <c r="L10" s="42">
        <v>1</v>
      </c>
      <c r="M10" s="45">
        <v>51000</v>
      </c>
      <c r="N10" s="45">
        <f t="shared" si="1"/>
        <v>51000</v>
      </c>
      <c r="O10" s="46" t="s">
        <v>22</v>
      </c>
      <c r="P10" s="42">
        <v>7</v>
      </c>
    </row>
    <row r="11" spans="1:16" x14ac:dyDescent="0.25">
      <c r="A11" s="42" t="s">
        <v>18</v>
      </c>
      <c r="B11" s="43">
        <v>45863</v>
      </c>
      <c r="C11" s="42">
        <f t="shared" si="0"/>
        <v>27</v>
      </c>
      <c r="D11" s="42">
        <v>1</v>
      </c>
      <c r="E11" s="42"/>
      <c r="F11" s="42"/>
      <c r="G11" s="79" t="s">
        <v>35</v>
      </c>
      <c r="H11" s="42" t="s">
        <v>1358</v>
      </c>
      <c r="I11" s="42">
        <v>64277</v>
      </c>
      <c r="J11" s="42">
        <v>331</v>
      </c>
      <c r="K11" s="42" t="s">
        <v>21</v>
      </c>
      <c r="L11" s="42">
        <v>1</v>
      </c>
      <c r="M11" s="45">
        <v>59000</v>
      </c>
      <c r="N11" s="45">
        <f t="shared" si="1"/>
        <v>59000</v>
      </c>
      <c r="O11" s="46" t="s">
        <v>22</v>
      </c>
      <c r="P11" s="42">
        <v>8</v>
      </c>
    </row>
    <row r="12" spans="1:16" x14ac:dyDescent="0.25">
      <c r="A12" s="42" t="s">
        <v>18</v>
      </c>
      <c r="B12" s="43">
        <v>45863</v>
      </c>
      <c r="C12" s="42">
        <f t="shared" si="0"/>
        <v>28</v>
      </c>
      <c r="D12" s="42">
        <v>1</v>
      </c>
      <c r="E12" s="42"/>
      <c r="F12" s="42"/>
      <c r="G12" s="79" t="s">
        <v>1658</v>
      </c>
      <c r="H12" s="42" t="s">
        <v>1359</v>
      </c>
      <c r="I12" s="42">
        <v>64277</v>
      </c>
      <c r="J12" s="42">
        <v>331</v>
      </c>
      <c r="K12" s="42" t="s">
        <v>21</v>
      </c>
      <c r="L12" s="42">
        <v>1</v>
      </c>
      <c r="M12" s="45">
        <v>1522800</v>
      </c>
      <c r="N12" s="45">
        <f t="shared" si="1"/>
        <v>1522800</v>
      </c>
      <c r="O12" s="46" t="s">
        <v>22</v>
      </c>
      <c r="P12" s="42">
        <v>9</v>
      </c>
    </row>
    <row r="13" spans="1:16" x14ac:dyDescent="0.25">
      <c r="A13" s="42" t="s">
        <v>18</v>
      </c>
      <c r="B13" s="43">
        <v>45869</v>
      </c>
      <c r="C13" s="42">
        <f t="shared" si="0"/>
        <v>29</v>
      </c>
      <c r="D13" s="42">
        <v>1</v>
      </c>
      <c r="E13" s="42"/>
      <c r="F13" s="42"/>
      <c r="G13" s="79" t="s">
        <v>158</v>
      </c>
      <c r="H13" s="42" t="s">
        <v>1360</v>
      </c>
      <c r="I13" s="42">
        <v>64277</v>
      </c>
      <c r="J13" s="42">
        <v>331</v>
      </c>
      <c r="K13" s="42" t="s">
        <v>21</v>
      </c>
      <c r="L13" s="42">
        <v>1</v>
      </c>
      <c r="M13" s="45">
        <v>3078000</v>
      </c>
      <c r="N13" s="45">
        <f t="shared" si="1"/>
        <v>3078000</v>
      </c>
      <c r="O13" s="46" t="s">
        <v>22</v>
      </c>
      <c r="P13" s="42">
        <v>10</v>
      </c>
    </row>
    <row r="14" spans="1:16" x14ac:dyDescent="0.25">
      <c r="A14" s="42" t="s">
        <v>18</v>
      </c>
      <c r="B14" s="43">
        <v>45871</v>
      </c>
      <c r="C14" s="42">
        <f t="shared" si="0"/>
        <v>30</v>
      </c>
      <c r="D14" s="42">
        <v>1</v>
      </c>
      <c r="E14" s="42"/>
      <c r="F14" s="42"/>
      <c r="G14" s="79" t="s">
        <v>1997</v>
      </c>
      <c r="H14" s="42" t="s">
        <v>1361</v>
      </c>
      <c r="I14" s="42">
        <v>64277</v>
      </c>
      <c r="J14" s="42">
        <v>331</v>
      </c>
      <c r="K14" s="42" t="s">
        <v>21</v>
      </c>
      <c r="L14" s="42">
        <v>1</v>
      </c>
      <c r="M14" s="45">
        <v>2193480</v>
      </c>
      <c r="N14" s="45">
        <f t="shared" si="1"/>
        <v>2193480</v>
      </c>
      <c r="O14" s="46" t="s">
        <v>22</v>
      </c>
      <c r="P14" s="42">
        <v>11</v>
      </c>
    </row>
    <row r="15" spans="1:16" x14ac:dyDescent="0.25">
      <c r="A15" s="42" t="s">
        <v>18</v>
      </c>
      <c r="B15" s="43">
        <v>45871</v>
      </c>
      <c r="C15" s="42">
        <f t="shared" si="0"/>
        <v>31</v>
      </c>
      <c r="D15" s="42">
        <v>1</v>
      </c>
      <c r="E15" s="42"/>
      <c r="F15" s="42"/>
      <c r="G15" s="79" t="s">
        <v>1351</v>
      </c>
      <c r="H15" s="42" t="s">
        <v>1362</v>
      </c>
      <c r="I15" s="42">
        <v>64277</v>
      </c>
      <c r="J15" s="42">
        <v>331</v>
      </c>
      <c r="K15" s="42" t="s">
        <v>21</v>
      </c>
      <c r="L15" s="42">
        <v>1</v>
      </c>
      <c r="M15" s="45">
        <v>184000</v>
      </c>
      <c r="N15" s="45">
        <f t="shared" si="1"/>
        <v>184000</v>
      </c>
      <c r="O15" s="46" t="s">
        <v>22</v>
      </c>
      <c r="P15" s="42">
        <v>12</v>
      </c>
    </row>
    <row r="16" spans="1:16" x14ac:dyDescent="0.25">
      <c r="A16" s="42" t="s">
        <v>18</v>
      </c>
      <c r="B16" s="43">
        <v>45873</v>
      </c>
      <c r="C16" s="42">
        <f t="shared" si="0"/>
        <v>32</v>
      </c>
      <c r="D16" s="42">
        <v>1</v>
      </c>
      <c r="E16" s="42"/>
      <c r="F16" s="42"/>
      <c r="G16" s="79" t="s">
        <v>1351</v>
      </c>
      <c r="H16" s="42" t="s">
        <v>1363</v>
      </c>
      <c r="I16" s="42">
        <v>64277</v>
      </c>
      <c r="J16" s="42">
        <v>331</v>
      </c>
      <c r="K16" s="42" t="s">
        <v>21</v>
      </c>
      <c r="L16" s="42">
        <v>1</v>
      </c>
      <c r="M16" s="45">
        <v>160000</v>
      </c>
      <c r="N16" s="45">
        <f t="shared" si="1"/>
        <v>160000</v>
      </c>
      <c r="O16" s="46" t="s">
        <v>22</v>
      </c>
      <c r="P16" s="42">
        <v>13</v>
      </c>
    </row>
    <row r="17" spans="1:16" x14ac:dyDescent="0.25">
      <c r="A17" s="42" t="s">
        <v>18</v>
      </c>
      <c r="B17" s="43">
        <v>45873</v>
      </c>
      <c r="C17" s="42">
        <f t="shared" si="0"/>
        <v>33</v>
      </c>
      <c r="D17" s="42">
        <v>1</v>
      </c>
      <c r="E17" s="42"/>
      <c r="F17" s="42"/>
      <c r="G17" s="79" t="s">
        <v>1351</v>
      </c>
      <c r="H17" s="42" t="s">
        <v>1364</v>
      </c>
      <c r="I17" s="42">
        <v>64277</v>
      </c>
      <c r="J17" s="42">
        <v>331</v>
      </c>
      <c r="K17" s="42" t="s">
        <v>21</v>
      </c>
      <c r="L17" s="42">
        <v>1</v>
      </c>
      <c r="M17" s="45">
        <v>149000</v>
      </c>
      <c r="N17" s="45">
        <f t="shared" si="1"/>
        <v>149000</v>
      </c>
      <c r="O17" s="46" t="s">
        <v>22</v>
      </c>
      <c r="P17" s="42">
        <v>14</v>
      </c>
    </row>
    <row r="18" spans="1:16" x14ac:dyDescent="0.25">
      <c r="A18" s="42" t="s">
        <v>18</v>
      </c>
      <c r="B18" s="43">
        <v>45878</v>
      </c>
      <c r="C18" s="42">
        <f t="shared" si="0"/>
        <v>34</v>
      </c>
      <c r="D18" s="42">
        <v>1</v>
      </c>
      <c r="E18" s="42"/>
      <c r="F18" s="42"/>
      <c r="G18" s="79" t="s">
        <v>1997</v>
      </c>
      <c r="H18" s="42" t="s">
        <v>1365</v>
      </c>
      <c r="I18" s="42">
        <v>64277</v>
      </c>
      <c r="J18" s="42">
        <v>331</v>
      </c>
      <c r="K18" s="42" t="s">
        <v>21</v>
      </c>
      <c r="L18" s="42">
        <v>1</v>
      </c>
      <c r="M18" s="45">
        <v>1362204</v>
      </c>
      <c r="N18" s="45">
        <f t="shared" si="1"/>
        <v>1362204</v>
      </c>
      <c r="O18" s="46" t="s">
        <v>22</v>
      </c>
      <c r="P18" s="42">
        <v>15</v>
      </c>
    </row>
    <row r="19" spans="1:16" x14ac:dyDescent="0.25">
      <c r="A19" s="42" t="s">
        <v>18</v>
      </c>
      <c r="B19" s="43">
        <v>45878</v>
      </c>
      <c r="C19" s="42">
        <f t="shared" si="0"/>
        <v>35</v>
      </c>
      <c r="D19" s="42">
        <v>1</v>
      </c>
      <c r="E19" s="42"/>
      <c r="F19" s="42"/>
      <c r="G19" s="79" t="s">
        <v>35</v>
      </c>
      <c r="H19" s="42" t="s">
        <v>1366</v>
      </c>
      <c r="I19" s="42">
        <v>64277</v>
      </c>
      <c r="J19" s="42">
        <v>331</v>
      </c>
      <c r="K19" s="42" t="s">
        <v>21</v>
      </c>
      <c r="L19" s="42">
        <v>1</v>
      </c>
      <c r="M19" s="45">
        <v>46000</v>
      </c>
      <c r="N19" s="45">
        <f t="shared" si="1"/>
        <v>46000</v>
      </c>
      <c r="O19" s="46" t="s">
        <v>22</v>
      </c>
      <c r="P19" s="42">
        <v>16</v>
      </c>
    </row>
    <row r="20" spans="1:16" x14ac:dyDescent="0.25">
      <c r="A20" s="42" t="s">
        <v>18</v>
      </c>
      <c r="B20" s="43">
        <v>45880</v>
      </c>
      <c r="C20" s="42">
        <f t="shared" si="0"/>
        <v>36</v>
      </c>
      <c r="D20" s="42">
        <v>1</v>
      </c>
      <c r="E20" s="42"/>
      <c r="F20" s="42"/>
      <c r="G20" s="79" t="s">
        <v>35</v>
      </c>
      <c r="H20" s="42" t="s">
        <v>1367</v>
      </c>
      <c r="I20" s="42">
        <v>64277</v>
      </c>
      <c r="J20" s="42">
        <v>331</v>
      </c>
      <c r="K20" s="42" t="s">
        <v>21</v>
      </c>
      <c r="L20" s="42">
        <v>1</v>
      </c>
      <c r="M20" s="45">
        <v>143000</v>
      </c>
      <c r="N20" s="45">
        <f t="shared" si="1"/>
        <v>143000</v>
      </c>
      <c r="O20" s="46" t="s">
        <v>22</v>
      </c>
      <c r="P20" s="42">
        <v>17</v>
      </c>
    </row>
    <row r="21" spans="1:16" x14ac:dyDescent="0.25">
      <c r="A21" s="42" t="s">
        <v>18</v>
      </c>
      <c r="B21" s="43">
        <v>45884</v>
      </c>
      <c r="C21" s="42">
        <f t="shared" si="0"/>
        <v>37</v>
      </c>
      <c r="D21" s="42">
        <v>1</v>
      </c>
      <c r="E21" s="42"/>
      <c r="F21" s="42"/>
      <c r="G21" s="79" t="s">
        <v>35</v>
      </c>
      <c r="H21" s="42" t="s">
        <v>1368</v>
      </c>
      <c r="I21" s="42">
        <v>64277</v>
      </c>
      <c r="J21" s="42">
        <v>331</v>
      </c>
      <c r="K21" s="42" t="s">
        <v>21</v>
      </c>
      <c r="L21" s="42">
        <v>1</v>
      </c>
      <c r="M21" s="45">
        <v>60000</v>
      </c>
      <c r="N21" s="45">
        <f t="shared" si="1"/>
        <v>60000</v>
      </c>
      <c r="O21" s="46" t="s">
        <v>22</v>
      </c>
      <c r="P21" s="42">
        <v>18</v>
      </c>
    </row>
    <row r="22" spans="1:16" x14ac:dyDescent="0.25">
      <c r="A22" s="42" t="s">
        <v>18</v>
      </c>
      <c r="B22" s="43">
        <v>45888</v>
      </c>
      <c r="C22" s="42">
        <f t="shared" si="0"/>
        <v>38</v>
      </c>
      <c r="D22" s="42">
        <v>1</v>
      </c>
      <c r="E22" s="42"/>
      <c r="F22" s="42"/>
      <c r="G22" s="79" t="s">
        <v>1999</v>
      </c>
      <c r="H22" s="42" t="s">
        <v>1369</v>
      </c>
      <c r="I22" s="42">
        <v>64276</v>
      </c>
      <c r="J22" s="42">
        <v>331</v>
      </c>
      <c r="K22" s="42" t="s">
        <v>21</v>
      </c>
      <c r="L22" s="42">
        <v>1</v>
      </c>
      <c r="M22" s="45">
        <v>5760000</v>
      </c>
      <c r="N22" s="45">
        <f t="shared" si="1"/>
        <v>5760000</v>
      </c>
      <c r="O22" s="46" t="s">
        <v>22</v>
      </c>
      <c r="P22" s="42">
        <v>19</v>
      </c>
    </row>
    <row r="23" spans="1:16" x14ac:dyDescent="0.25">
      <c r="A23" s="42" t="s">
        <v>18</v>
      </c>
      <c r="B23" s="43">
        <v>45899</v>
      </c>
      <c r="C23" s="42">
        <f t="shared" si="0"/>
        <v>39</v>
      </c>
      <c r="D23" s="42">
        <v>1</v>
      </c>
      <c r="E23" s="42"/>
      <c r="F23" s="42"/>
      <c r="G23" s="79" t="s">
        <v>158</v>
      </c>
      <c r="H23" s="42" t="s">
        <v>1370</v>
      </c>
      <c r="I23" s="42">
        <v>64277</v>
      </c>
      <c r="J23" s="42">
        <v>331</v>
      </c>
      <c r="K23" s="42" t="s">
        <v>21</v>
      </c>
      <c r="L23" s="42">
        <v>1</v>
      </c>
      <c r="M23" s="45">
        <v>3078000</v>
      </c>
      <c r="N23" s="45">
        <f t="shared" si="1"/>
        <v>3078000</v>
      </c>
      <c r="O23" s="46" t="s">
        <v>22</v>
      </c>
      <c r="P23" s="42">
        <v>20</v>
      </c>
    </row>
    <row r="24" spans="1:16" x14ac:dyDescent="0.25">
      <c r="A24" s="42" t="s">
        <v>18</v>
      </c>
      <c r="B24" s="43">
        <v>45907</v>
      </c>
      <c r="C24" s="42">
        <f t="shared" si="0"/>
        <v>40</v>
      </c>
      <c r="D24" s="42">
        <v>1</v>
      </c>
      <c r="E24" s="42"/>
      <c r="F24" s="42"/>
      <c r="G24" s="79" t="s">
        <v>1351</v>
      </c>
      <c r="H24" s="42" t="s">
        <v>1371</v>
      </c>
      <c r="I24" s="42">
        <v>64277</v>
      </c>
      <c r="J24" s="42">
        <v>331</v>
      </c>
      <c r="K24" s="42" t="s">
        <v>21</v>
      </c>
      <c r="L24" s="42">
        <v>1</v>
      </c>
      <c r="M24" s="45">
        <v>143000</v>
      </c>
      <c r="N24" s="45">
        <f t="shared" si="1"/>
        <v>143000</v>
      </c>
      <c r="O24" s="46" t="s">
        <v>22</v>
      </c>
      <c r="P24" s="42">
        <v>21</v>
      </c>
    </row>
    <row r="25" spans="1:16" x14ac:dyDescent="0.25">
      <c r="A25" s="42" t="s">
        <v>18</v>
      </c>
      <c r="B25" s="43">
        <v>45915</v>
      </c>
      <c r="C25" s="42">
        <f t="shared" si="0"/>
        <v>41</v>
      </c>
      <c r="D25" s="42">
        <v>1</v>
      </c>
      <c r="E25" s="42"/>
      <c r="F25" s="42"/>
      <c r="G25" s="79" t="s">
        <v>2000</v>
      </c>
      <c r="H25" s="42" t="s">
        <v>1372</v>
      </c>
      <c r="I25" s="42">
        <v>64276</v>
      </c>
      <c r="J25" s="42">
        <v>331</v>
      </c>
      <c r="K25" s="42" t="s">
        <v>21</v>
      </c>
      <c r="L25" s="42">
        <v>1</v>
      </c>
      <c r="M25" s="45">
        <v>5065200</v>
      </c>
      <c r="N25" s="45">
        <f t="shared" si="1"/>
        <v>5065200</v>
      </c>
      <c r="O25" s="46" t="s">
        <v>22</v>
      </c>
      <c r="P25" s="42">
        <v>22</v>
      </c>
    </row>
    <row r="26" spans="1:16" x14ac:dyDescent="0.25">
      <c r="A26" s="42" t="s">
        <v>18</v>
      </c>
      <c r="B26" s="43">
        <v>45917</v>
      </c>
      <c r="C26" s="42">
        <f t="shared" si="0"/>
        <v>42</v>
      </c>
      <c r="D26" s="42">
        <v>1</v>
      </c>
      <c r="E26" s="42"/>
      <c r="F26" s="42"/>
      <c r="G26" s="79" t="s">
        <v>2001</v>
      </c>
      <c r="H26" s="42" t="s">
        <v>1373</v>
      </c>
      <c r="I26" s="42">
        <v>64276</v>
      </c>
      <c r="J26" s="42">
        <v>331</v>
      </c>
      <c r="K26" s="42" t="s">
        <v>21</v>
      </c>
      <c r="L26" s="42">
        <v>1</v>
      </c>
      <c r="M26" s="45">
        <v>1482500</v>
      </c>
      <c r="N26" s="45">
        <f t="shared" si="1"/>
        <v>1482500</v>
      </c>
      <c r="O26" s="46" t="s">
        <v>22</v>
      </c>
      <c r="P26" s="42">
        <v>23</v>
      </c>
    </row>
    <row r="27" spans="1:16" x14ac:dyDescent="0.25">
      <c r="A27" s="42" t="s">
        <v>18</v>
      </c>
      <c r="B27" s="43">
        <v>45919</v>
      </c>
      <c r="C27" s="42">
        <f t="shared" si="0"/>
        <v>43</v>
      </c>
      <c r="D27" s="42">
        <v>1</v>
      </c>
      <c r="E27" s="42"/>
      <c r="F27" s="42"/>
      <c r="G27" s="79" t="s">
        <v>35</v>
      </c>
      <c r="H27" s="42" t="s">
        <v>1374</v>
      </c>
      <c r="I27" s="42">
        <v>64277</v>
      </c>
      <c r="J27" s="42">
        <v>331</v>
      </c>
      <c r="K27" s="42" t="s">
        <v>21</v>
      </c>
      <c r="L27" s="42">
        <v>1</v>
      </c>
      <c r="M27" s="45">
        <v>52000</v>
      </c>
      <c r="N27" s="45">
        <f t="shared" si="1"/>
        <v>52000</v>
      </c>
      <c r="O27" s="46" t="s">
        <v>22</v>
      </c>
      <c r="P27" s="42">
        <v>24</v>
      </c>
    </row>
    <row r="28" spans="1:16" x14ac:dyDescent="0.25">
      <c r="A28" s="42" t="s">
        <v>18</v>
      </c>
      <c r="B28" s="43">
        <v>45919</v>
      </c>
      <c r="C28" s="42">
        <f t="shared" si="0"/>
        <v>44</v>
      </c>
      <c r="D28" s="42">
        <v>1</v>
      </c>
      <c r="E28" s="42"/>
      <c r="F28" s="42"/>
      <c r="G28" s="79" t="s">
        <v>35</v>
      </c>
      <c r="H28" s="42" t="s">
        <v>1375</v>
      </c>
      <c r="I28" s="42">
        <v>64277</v>
      </c>
      <c r="J28" s="42">
        <v>331</v>
      </c>
      <c r="K28" s="42" t="s">
        <v>21</v>
      </c>
      <c r="L28" s="42">
        <v>1</v>
      </c>
      <c r="M28" s="45">
        <v>53000</v>
      </c>
      <c r="N28" s="45">
        <f t="shared" si="1"/>
        <v>53000</v>
      </c>
      <c r="O28" s="46" t="s">
        <v>22</v>
      </c>
      <c r="P28" s="42">
        <v>25</v>
      </c>
    </row>
    <row r="29" spans="1:16" x14ac:dyDescent="0.25">
      <c r="A29" s="42" t="s">
        <v>18</v>
      </c>
      <c r="B29" s="43">
        <v>45920</v>
      </c>
      <c r="C29" s="42">
        <f t="shared" si="0"/>
        <v>45</v>
      </c>
      <c r="D29" s="42">
        <v>1</v>
      </c>
      <c r="E29" s="42"/>
      <c r="F29" s="42"/>
      <c r="G29" s="79" t="s">
        <v>35</v>
      </c>
      <c r="H29" s="42" t="s">
        <v>1376</v>
      </c>
      <c r="I29" s="42">
        <v>64277</v>
      </c>
      <c r="J29" s="42">
        <v>331</v>
      </c>
      <c r="K29" s="42" t="s">
        <v>21</v>
      </c>
      <c r="L29" s="42">
        <v>1</v>
      </c>
      <c r="M29" s="45">
        <v>30000</v>
      </c>
      <c r="N29" s="45">
        <f t="shared" si="1"/>
        <v>30000</v>
      </c>
      <c r="O29" s="46" t="s">
        <v>22</v>
      </c>
      <c r="P29" s="42">
        <v>26</v>
      </c>
    </row>
    <row r="30" spans="1:16" x14ac:dyDescent="0.25">
      <c r="A30" s="42" t="s">
        <v>18</v>
      </c>
      <c r="B30" s="43">
        <v>45920</v>
      </c>
      <c r="C30" s="42">
        <f t="shared" si="0"/>
        <v>46</v>
      </c>
      <c r="D30" s="42">
        <v>1</v>
      </c>
      <c r="E30" s="42"/>
      <c r="F30" s="42"/>
      <c r="G30" s="79" t="s">
        <v>1351</v>
      </c>
      <c r="H30" s="42" t="s">
        <v>1377</v>
      </c>
      <c r="I30" s="42">
        <v>64277</v>
      </c>
      <c r="J30" s="42">
        <v>331</v>
      </c>
      <c r="K30" s="42" t="s">
        <v>21</v>
      </c>
      <c r="L30" s="42">
        <v>1</v>
      </c>
      <c r="M30" s="45">
        <v>141000</v>
      </c>
      <c r="N30" s="45">
        <f t="shared" si="1"/>
        <v>141000</v>
      </c>
      <c r="O30" s="46" t="s">
        <v>22</v>
      </c>
      <c r="P30" s="42">
        <v>27</v>
      </c>
    </row>
    <row r="31" spans="1:16" x14ac:dyDescent="0.25">
      <c r="A31" s="42" t="s">
        <v>18</v>
      </c>
      <c r="B31" s="43">
        <v>45925</v>
      </c>
      <c r="C31" s="42">
        <f t="shared" si="0"/>
        <v>47</v>
      </c>
      <c r="D31" s="42">
        <v>1</v>
      </c>
      <c r="E31" s="42"/>
      <c r="F31" s="42"/>
      <c r="G31" s="79" t="s">
        <v>35</v>
      </c>
      <c r="H31" s="42" t="s">
        <v>1378</v>
      </c>
      <c r="I31" s="42">
        <v>64277</v>
      </c>
      <c r="J31" s="42">
        <v>331</v>
      </c>
      <c r="K31" s="42" t="s">
        <v>21</v>
      </c>
      <c r="L31" s="42">
        <v>1</v>
      </c>
      <c r="M31" s="45">
        <v>118000</v>
      </c>
      <c r="N31" s="45">
        <f t="shared" si="1"/>
        <v>118000</v>
      </c>
      <c r="O31" s="46" t="s">
        <v>22</v>
      </c>
      <c r="P31" s="42">
        <v>28</v>
      </c>
    </row>
    <row r="32" spans="1:16" x14ac:dyDescent="0.25">
      <c r="A32" s="42" t="s">
        <v>18</v>
      </c>
      <c r="B32" s="43">
        <v>45925</v>
      </c>
      <c r="C32" s="42">
        <f t="shared" si="0"/>
        <v>48</v>
      </c>
      <c r="D32" s="42">
        <v>1</v>
      </c>
      <c r="E32" s="42"/>
      <c r="F32" s="42"/>
      <c r="G32" s="79" t="s">
        <v>2002</v>
      </c>
      <c r="H32" s="42" t="s">
        <v>1379</v>
      </c>
      <c r="I32" s="42">
        <v>64277</v>
      </c>
      <c r="J32" s="42">
        <v>331</v>
      </c>
      <c r="K32" s="42" t="s">
        <v>21</v>
      </c>
      <c r="L32" s="42">
        <v>1</v>
      </c>
      <c r="M32" s="45">
        <v>127000</v>
      </c>
      <c r="N32" s="45">
        <f t="shared" si="1"/>
        <v>127000</v>
      </c>
      <c r="O32" s="46" t="s">
        <v>22</v>
      </c>
      <c r="P32" s="42">
        <v>29</v>
      </c>
    </row>
    <row r="33" spans="1:16" x14ac:dyDescent="0.25">
      <c r="A33" s="42" t="s">
        <v>18</v>
      </c>
      <c r="B33" s="43">
        <v>45927</v>
      </c>
      <c r="C33" s="42">
        <f t="shared" si="0"/>
        <v>49</v>
      </c>
      <c r="D33" s="42">
        <v>1</v>
      </c>
      <c r="E33" s="42"/>
      <c r="F33" s="42"/>
      <c r="G33" s="79" t="s">
        <v>35</v>
      </c>
      <c r="H33" s="42" t="s">
        <v>1380</v>
      </c>
      <c r="I33" s="42">
        <v>64277</v>
      </c>
      <c r="J33" s="42">
        <v>331</v>
      </c>
      <c r="K33" s="42" t="s">
        <v>21</v>
      </c>
      <c r="L33" s="42">
        <v>1</v>
      </c>
      <c r="M33" s="45">
        <v>44000</v>
      </c>
      <c r="N33" s="45">
        <f t="shared" si="1"/>
        <v>44000</v>
      </c>
      <c r="O33" s="46" t="s">
        <v>22</v>
      </c>
      <c r="P33" s="42">
        <v>30</v>
      </c>
    </row>
    <row r="34" spans="1:16" x14ac:dyDescent="0.25">
      <c r="A34" s="42" t="s">
        <v>368</v>
      </c>
      <c r="B34" s="43">
        <v>45839</v>
      </c>
      <c r="C34" s="42">
        <f t="shared" si="0"/>
        <v>50</v>
      </c>
      <c r="D34" s="42">
        <v>1</v>
      </c>
      <c r="E34" s="42"/>
      <c r="F34" s="42"/>
      <c r="G34" s="79" t="s">
        <v>1351</v>
      </c>
      <c r="H34" s="42" t="s">
        <v>1381</v>
      </c>
      <c r="I34" s="42">
        <v>331</v>
      </c>
      <c r="J34" s="42">
        <v>1111</v>
      </c>
      <c r="K34" s="42" t="s">
        <v>21</v>
      </c>
      <c r="L34" s="42">
        <v>1</v>
      </c>
      <c r="M34" s="45">
        <v>31000</v>
      </c>
      <c r="N34" s="45">
        <f t="shared" si="1"/>
        <v>31000</v>
      </c>
      <c r="O34" s="46" t="s">
        <v>22</v>
      </c>
      <c r="P34" s="42">
        <v>31</v>
      </c>
    </row>
    <row r="35" spans="1:16" x14ac:dyDescent="0.25">
      <c r="A35" s="42" t="s">
        <v>368</v>
      </c>
      <c r="B35" s="43">
        <v>45846</v>
      </c>
      <c r="C35" s="42">
        <f t="shared" si="0"/>
        <v>51</v>
      </c>
      <c r="D35" s="42">
        <v>1</v>
      </c>
      <c r="E35" s="42"/>
      <c r="F35" s="42"/>
      <c r="G35" s="79" t="s">
        <v>1997</v>
      </c>
      <c r="H35" s="42" t="s">
        <v>1382</v>
      </c>
      <c r="I35" s="42">
        <v>331</v>
      </c>
      <c r="J35" s="42">
        <v>1111</v>
      </c>
      <c r="K35" s="42" t="s">
        <v>21</v>
      </c>
      <c r="L35" s="42">
        <v>1</v>
      </c>
      <c r="M35" s="45">
        <v>923940</v>
      </c>
      <c r="N35" s="45">
        <f t="shared" si="1"/>
        <v>923940</v>
      </c>
      <c r="O35" s="46" t="s">
        <v>22</v>
      </c>
      <c r="P35" s="42">
        <v>32</v>
      </c>
    </row>
    <row r="36" spans="1:16" x14ac:dyDescent="0.25">
      <c r="A36" s="42" t="s">
        <v>368</v>
      </c>
      <c r="B36" s="43">
        <v>45848</v>
      </c>
      <c r="C36" s="42">
        <f t="shared" si="0"/>
        <v>52</v>
      </c>
      <c r="D36" s="42">
        <v>1</v>
      </c>
      <c r="E36" s="42"/>
      <c r="F36" s="42"/>
      <c r="G36" s="79" t="s">
        <v>1998</v>
      </c>
      <c r="H36" s="42" t="s">
        <v>1383</v>
      </c>
      <c r="I36" s="42">
        <v>331</v>
      </c>
      <c r="J36" s="42">
        <v>1111</v>
      </c>
      <c r="K36" s="42" t="s">
        <v>21</v>
      </c>
      <c r="L36" s="42">
        <v>1</v>
      </c>
      <c r="M36" s="45">
        <v>6796800</v>
      </c>
      <c r="N36" s="45">
        <f t="shared" si="1"/>
        <v>6796800</v>
      </c>
      <c r="O36" s="46" t="s">
        <v>22</v>
      </c>
      <c r="P36" s="42">
        <v>33</v>
      </c>
    </row>
    <row r="37" spans="1:16" x14ac:dyDescent="0.25">
      <c r="A37" s="42" t="s">
        <v>368</v>
      </c>
      <c r="B37" s="43">
        <v>45851</v>
      </c>
      <c r="C37" s="42">
        <f t="shared" si="0"/>
        <v>53</v>
      </c>
      <c r="D37" s="42">
        <v>1</v>
      </c>
      <c r="E37" s="42"/>
      <c r="F37" s="42"/>
      <c r="G37" s="79" t="s">
        <v>1997</v>
      </c>
      <c r="H37" s="42" t="s">
        <v>1384</v>
      </c>
      <c r="I37" s="42">
        <v>331</v>
      </c>
      <c r="J37" s="42">
        <v>1111</v>
      </c>
      <c r="K37" s="42" t="s">
        <v>21</v>
      </c>
      <c r="L37" s="42">
        <v>1</v>
      </c>
      <c r="M37" s="45">
        <v>2370708</v>
      </c>
      <c r="N37" s="45">
        <f t="shared" si="1"/>
        <v>2370708</v>
      </c>
      <c r="O37" s="46" t="s">
        <v>22</v>
      </c>
      <c r="P37" s="42">
        <v>34</v>
      </c>
    </row>
    <row r="38" spans="1:16" x14ac:dyDescent="0.25">
      <c r="A38" s="42" t="s">
        <v>368</v>
      </c>
      <c r="B38" s="43">
        <v>45856</v>
      </c>
      <c r="C38" s="42">
        <f t="shared" si="0"/>
        <v>54</v>
      </c>
      <c r="D38" s="42">
        <v>1</v>
      </c>
      <c r="E38" s="42"/>
      <c r="F38" s="42"/>
      <c r="G38" s="79" t="s">
        <v>35</v>
      </c>
      <c r="H38" s="42" t="s">
        <v>1385</v>
      </c>
      <c r="I38" s="42">
        <v>331</v>
      </c>
      <c r="J38" s="42">
        <v>1111</v>
      </c>
      <c r="K38" s="42" t="s">
        <v>21</v>
      </c>
      <c r="L38" s="42">
        <v>1</v>
      </c>
      <c r="M38" s="45">
        <v>56000</v>
      </c>
      <c r="N38" s="45">
        <f t="shared" si="1"/>
        <v>56000</v>
      </c>
      <c r="O38" s="46" t="s">
        <v>22</v>
      </c>
      <c r="P38" s="42">
        <v>35</v>
      </c>
    </row>
    <row r="39" spans="1:16" x14ac:dyDescent="0.25">
      <c r="A39" s="42" t="s">
        <v>368</v>
      </c>
      <c r="B39" s="43">
        <v>45857</v>
      </c>
      <c r="C39" s="42">
        <f t="shared" si="0"/>
        <v>55</v>
      </c>
      <c r="D39" s="42">
        <v>1</v>
      </c>
      <c r="E39" s="42"/>
      <c r="F39" s="42"/>
      <c r="G39" s="79" t="s">
        <v>35</v>
      </c>
      <c r="H39" s="42" t="s">
        <v>1386</v>
      </c>
      <c r="I39" s="42">
        <v>331</v>
      </c>
      <c r="J39" s="42">
        <v>1111</v>
      </c>
      <c r="K39" s="42" t="s">
        <v>21</v>
      </c>
      <c r="L39" s="42">
        <v>1</v>
      </c>
      <c r="M39" s="45">
        <v>248000</v>
      </c>
      <c r="N39" s="45">
        <f t="shared" si="1"/>
        <v>248000</v>
      </c>
      <c r="O39" s="46" t="s">
        <v>22</v>
      </c>
      <c r="P39" s="42">
        <v>36</v>
      </c>
    </row>
    <row r="40" spans="1:16" x14ac:dyDescent="0.25">
      <c r="A40" s="42" t="s">
        <v>368</v>
      </c>
      <c r="B40" s="43">
        <v>45863</v>
      </c>
      <c r="C40" s="42">
        <f t="shared" si="0"/>
        <v>56</v>
      </c>
      <c r="D40" s="42">
        <v>1</v>
      </c>
      <c r="E40" s="42"/>
      <c r="F40" s="42"/>
      <c r="G40" s="79" t="s">
        <v>35</v>
      </c>
      <c r="H40" s="42" t="s">
        <v>1387</v>
      </c>
      <c r="I40" s="42">
        <v>331</v>
      </c>
      <c r="J40" s="42">
        <v>1111</v>
      </c>
      <c r="K40" s="42" t="s">
        <v>21</v>
      </c>
      <c r="L40" s="42">
        <v>1</v>
      </c>
      <c r="M40" s="45">
        <v>51000</v>
      </c>
      <c r="N40" s="45">
        <f t="shared" si="1"/>
        <v>51000</v>
      </c>
      <c r="O40" s="46" t="s">
        <v>22</v>
      </c>
      <c r="P40" s="42">
        <v>37</v>
      </c>
    </row>
    <row r="41" spans="1:16" x14ac:dyDescent="0.25">
      <c r="A41" s="42" t="s">
        <v>368</v>
      </c>
      <c r="B41" s="43">
        <v>45863</v>
      </c>
      <c r="C41" s="42">
        <f t="shared" si="0"/>
        <v>57</v>
      </c>
      <c r="D41" s="42">
        <v>1</v>
      </c>
      <c r="E41" s="42"/>
      <c r="F41" s="42"/>
      <c r="G41" s="79" t="s">
        <v>35</v>
      </c>
      <c r="H41" s="42" t="s">
        <v>1388</v>
      </c>
      <c r="I41" s="42">
        <v>331</v>
      </c>
      <c r="J41" s="42">
        <v>1111</v>
      </c>
      <c r="K41" s="42" t="s">
        <v>21</v>
      </c>
      <c r="L41" s="42">
        <v>1</v>
      </c>
      <c r="M41" s="45">
        <v>59000</v>
      </c>
      <c r="N41" s="45">
        <f t="shared" si="1"/>
        <v>59000</v>
      </c>
      <c r="O41" s="46" t="s">
        <v>22</v>
      </c>
      <c r="P41" s="42">
        <v>38</v>
      </c>
    </row>
    <row r="42" spans="1:16" x14ac:dyDescent="0.25">
      <c r="A42" s="42" t="s">
        <v>368</v>
      </c>
      <c r="B42" s="43">
        <v>45863</v>
      </c>
      <c r="C42" s="42">
        <f t="shared" si="0"/>
        <v>58</v>
      </c>
      <c r="D42" s="42">
        <v>1</v>
      </c>
      <c r="E42" s="42"/>
      <c r="F42" s="42"/>
      <c r="G42" s="79" t="s">
        <v>1658</v>
      </c>
      <c r="H42" s="42" t="s">
        <v>1389</v>
      </c>
      <c r="I42" s="42">
        <v>331</v>
      </c>
      <c r="J42" s="42">
        <v>1111</v>
      </c>
      <c r="K42" s="42" t="s">
        <v>21</v>
      </c>
      <c r="L42" s="42">
        <v>1</v>
      </c>
      <c r="M42" s="45">
        <v>1522800</v>
      </c>
      <c r="N42" s="45">
        <f t="shared" si="1"/>
        <v>1522800</v>
      </c>
      <c r="O42" s="46" t="s">
        <v>22</v>
      </c>
      <c r="P42" s="42">
        <v>39</v>
      </c>
    </row>
    <row r="43" spans="1:16" x14ac:dyDescent="0.25">
      <c r="A43" s="42" t="s">
        <v>368</v>
      </c>
      <c r="B43" s="43">
        <v>45869</v>
      </c>
      <c r="C43" s="42">
        <f t="shared" si="0"/>
        <v>59</v>
      </c>
      <c r="D43" s="42">
        <v>1</v>
      </c>
      <c r="E43" s="42"/>
      <c r="F43" s="42"/>
      <c r="G43" s="79" t="s">
        <v>158</v>
      </c>
      <c r="H43" s="42" t="s">
        <v>1390</v>
      </c>
      <c r="I43" s="42">
        <v>331</v>
      </c>
      <c r="J43" s="42">
        <v>1111</v>
      </c>
      <c r="K43" s="42" t="s">
        <v>21</v>
      </c>
      <c r="L43" s="42">
        <v>1</v>
      </c>
      <c r="M43" s="45">
        <v>3078000</v>
      </c>
      <c r="N43" s="45">
        <f t="shared" si="1"/>
        <v>3078000</v>
      </c>
      <c r="O43" s="46" t="s">
        <v>22</v>
      </c>
      <c r="P43" s="42">
        <v>40</v>
      </c>
    </row>
    <row r="44" spans="1:16" x14ac:dyDescent="0.25">
      <c r="A44" s="42" t="s">
        <v>368</v>
      </c>
      <c r="B44" s="43">
        <v>45871</v>
      </c>
      <c r="C44" s="42">
        <f t="shared" si="0"/>
        <v>60</v>
      </c>
      <c r="D44" s="42">
        <v>1</v>
      </c>
      <c r="E44" s="42"/>
      <c r="F44" s="42"/>
      <c r="G44" s="79" t="s">
        <v>1997</v>
      </c>
      <c r="H44" s="42" t="s">
        <v>1391</v>
      </c>
      <c r="I44" s="42">
        <v>331</v>
      </c>
      <c r="J44" s="42">
        <v>1111</v>
      </c>
      <c r="K44" s="42" t="s">
        <v>21</v>
      </c>
      <c r="L44" s="42">
        <v>1</v>
      </c>
      <c r="M44" s="45">
        <v>2193480</v>
      </c>
      <c r="N44" s="45">
        <f t="shared" si="1"/>
        <v>2193480</v>
      </c>
      <c r="O44" s="46" t="s">
        <v>22</v>
      </c>
      <c r="P44" s="42">
        <v>41</v>
      </c>
    </row>
    <row r="45" spans="1:16" x14ac:dyDescent="0.25">
      <c r="A45" s="42" t="s">
        <v>368</v>
      </c>
      <c r="B45" s="43">
        <v>45871</v>
      </c>
      <c r="C45" s="42">
        <f t="shared" si="0"/>
        <v>61</v>
      </c>
      <c r="D45" s="42">
        <v>1</v>
      </c>
      <c r="E45" s="42"/>
      <c r="F45" s="42"/>
      <c r="G45" s="79" t="s">
        <v>1351</v>
      </c>
      <c r="H45" s="42" t="s">
        <v>1392</v>
      </c>
      <c r="I45" s="42">
        <v>331</v>
      </c>
      <c r="J45" s="42">
        <v>1111</v>
      </c>
      <c r="K45" s="42" t="s">
        <v>21</v>
      </c>
      <c r="L45" s="42">
        <v>1</v>
      </c>
      <c r="M45" s="45">
        <v>184000</v>
      </c>
      <c r="N45" s="45">
        <f t="shared" si="1"/>
        <v>184000</v>
      </c>
      <c r="O45" s="46" t="s">
        <v>22</v>
      </c>
      <c r="P45" s="42">
        <v>42</v>
      </c>
    </row>
    <row r="46" spans="1:16" x14ac:dyDescent="0.25">
      <c r="A46" s="42" t="s">
        <v>368</v>
      </c>
      <c r="B46" s="43">
        <v>45873</v>
      </c>
      <c r="C46" s="42">
        <f t="shared" si="0"/>
        <v>62</v>
      </c>
      <c r="D46" s="42">
        <v>1</v>
      </c>
      <c r="E46" s="42"/>
      <c r="F46" s="42"/>
      <c r="G46" s="79" t="s">
        <v>1351</v>
      </c>
      <c r="H46" s="42" t="s">
        <v>1393</v>
      </c>
      <c r="I46" s="42">
        <v>331</v>
      </c>
      <c r="J46" s="42">
        <v>1111</v>
      </c>
      <c r="K46" s="42" t="s">
        <v>21</v>
      </c>
      <c r="L46" s="42">
        <v>1</v>
      </c>
      <c r="M46" s="45">
        <v>160000</v>
      </c>
      <c r="N46" s="45">
        <f t="shared" si="1"/>
        <v>160000</v>
      </c>
      <c r="O46" s="46" t="s">
        <v>22</v>
      </c>
      <c r="P46" s="42">
        <v>43</v>
      </c>
    </row>
    <row r="47" spans="1:16" x14ac:dyDescent="0.25">
      <c r="A47" s="42" t="s">
        <v>368</v>
      </c>
      <c r="B47" s="43">
        <v>45873</v>
      </c>
      <c r="C47" s="42">
        <f t="shared" si="0"/>
        <v>63</v>
      </c>
      <c r="D47" s="42">
        <v>1</v>
      </c>
      <c r="E47" s="42"/>
      <c r="F47" s="42"/>
      <c r="G47" s="79" t="s">
        <v>1351</v>
      </c>
      <c r="H47" s="42" t="s">
        <v>1394</v>
      </c>
      <c r="I47" s="42">
        <v>331</v>
      </c>
      <c r="J47" s="42">
        <v>1111</v>
      </c>
      <c r="K47" s="42" t="s">
        <v>21</v>
      </c>
      <c r="L47" s="42">
        <v>1</v>
      </c>
      <c r="M47" s="45">
        <v>149000</v>
      </c>
      <c r="N47" s="45">
        <f t="shared" si="1"/>
        <v>149000</v>
      </c>
      <c r="O47" s="46" t="s">
        <v>22</v>
      </c>
      <c r="P47" s="42">
        <v>44</v>
      </c>
    </row>
    <row r="48" spans="1:16" x14ac:dyDescent="0.25">
      <c r="A48" s="42" t="s">
        <v>368</v>
      </c>
      <c r="B48" s="43">
        <v>45878</v>
      </c>
      <c r="C48" s="42">
        <f t="shared" si="0"/>
        <v>64</v>
      </c>
      <c r="D48" s="42">
        <v>1</v>
      </c>
      <c r="E48" s="42"/>
      <c r="F48" s="42"/>
      <c r="G48" s="79" t="s">
        <v>1997</v>
      </c>
      <c r="H48" s="42" t="s">
        <v>1395</v>
      </c>
      <c r="I48" s="42">
        <v>331</v>
      </c>
      <c r="J48" s="42">
        <v>1111</v>
      </c>
      <c r="K48" s="42" t="s">
        <v>21</v>
      </c>
      <c r="L48" s="42">
        <v>1</v>
      </c>
      <c r="M48" s="45">
        <v>1362204</v>
      </c>
      <c r="N48" s="45">
        <f t="shared" si="1"/>
        <v>1362204</v>
      </c>
      <c r="O48" s="46" t="s">
        <v>22</v>
      </c>
      <c r="P48" s="42">
        <v>45</v>
      </c>
    </row>
    <row r="49" spans="1:16" x14ac:dyDescent="0.25">
      <c r="A49" s="42" t="s">
        <v>368</v>
      </c>
      <c r="B49" s="43">
        <v>45878</v>
      </c>
      <c r="C49" s="42">
        <f t="shared" si="0"/>
        <v>65</v>
      </c>
      <c r="D49" s="42">
        <v>1</v>
      </c>
      <c r="E49" s="42"/>
      <c r="F49" s="42"/>
      <c r="G49" s="79" t="s">
        <v>35</v>
      </c>
      <c r="H49" s="42" t="s">
        <v>1396</v>
      </c>
      <c r="I49" s="42">
        <v>331</v>
      </c>
      <c r="J49" s="42">
        <v>1111</v>
      </c>
      <c r="K49" s="42" t="s">
        <v>21</v>
      </c>
      <c r="L49" s="42">
        <v>1</v>
      </c>
      <c r="M49" s="45">
        <v>46000</v>
      </c>
      <c r="N49" s="45">
        <f t="shared" si="1"/>
        <v>46000</v>
      </c>
      <c r="O49" s="46" t="s">
        <v>22</v>
      </c>
      <c r="P49" s="42">
        <v>46</v>
      </c>
    </row>
    <row r="50" spans="1:16" x14ac:dyDescent="0.25">
      <c r="A50" s="42" t="s">
        <v>368</v>
      </c>
      <c r="B50" s="43">
        <v>45880</v>
      </c>
      <c r="C50" s="42">
        <f t="shared" si="0"/>
        <v>66</v>
      </c>
      <c r="D50" s="42">
        <v>1</v>
      </c>
      <c r="E50" s="42"/>
      <c r="F50" s="42"/>
      <c r="G50" s="79" t="s">
        <v>35</v>
      </c>
      <c r="H50" s="42" t="s">
        <v>1397</v>
      </c>
      <c r="I50" s="42">
        <v>331</v>
      </c>
      <c r="J50" s="42">
        <v>1111</v>
      </c>
      <c r="K50" s="42" t="s">
        <v>21</v>
      </c>
      <c r="L50" s="42">
        <v>1</v>
      </c>
      <c r="M50" s="45">
        <v>143000</v>
      </c>
      <c r="N50" s="45">
        <f t="shared" si="1"/>
        <v>143000</v>
      </c>
      <c r="O50" s="46" t="s">
        <v>22</v>
      </c>
      <c r="P50" s="42">
        <v>47</v>
      </c>
    </row>
    <row r="51" spans="1:16" x14ac:dyDescent="0.25">
      <c r="A51" s="42" t="s">
        <v>368</v>
      </c>
      <c r="B51" s="43">
        <v>45884</v>
      </c>
      <c r="C51" s="42">
        <f t="shared" si="0"/>
        <v>67</v>
      </c>
      <c r="D51" s="42">
        <v>1</v>
      </c>
      <c r="E51" s="42"/>
      <c r="F51" s="42"/>
      <c r="G51" s="79" t="s">
        <v>35</v>
      </c>
      <c r="H51" s="42" t="s">
        <v>1398</v>
      </c>
      <c r="I51" s="42">
        <v>331</v>
      </c>
      <c r="J51" s="42">
        <v>1111</v>
      </c>
      <c r="K51" s="42" t="s">
        <v>21</v>
      </c>
      <c r="L51" s="42">
        <v>1</v>
      </c>
      <c r="M51" s="45">
        <v>60000</v>
      </c>
      <c r="N51" s="45">
        <f t="shared" si="1"/>
        <v>60000</v>
      </c>
      <c r="O51" s="46" t="s">
        <v>22</v>
      </c>
      <c r="P51" s="42">
        <v>48</v>
      </c>
    </row>
    <row r="52" spans="1:16" x14ac:dyDescent="0.25">
      <c r="A52" s="42" t="s">
        <v>368</v>
      </c>
      <c r="B52" s="43">
        <v>45888</v>
      </c>
      <c r="C52" s="42">
        <f t="shared" si="0"/>
        <v>68</v>
      </c>
      <c r="D52" s="42">
        <v>1</v>
      </c>
      <c r="E52" s="42"/>
      <c r="F52" s="42"/>
      <c r="G52" s="79" t="s">
        <v>1999</v>
      </c>
      <c r="H52" s="42" t="s">
        <v>1399</v>
      </c>
      <c r="I52" s="42">
        <v>331</v>
      </c>
      <c r="J52" s="42">
        <v>1111</v>
      </c>
      <c r="K52" s="42" t="s">
        <v>21</v>
      </c>
      <c r="L52" s="42">
        <v>1</v>
      </c>
      <c r="M52" s="45">
        <v>5760000</v>
      </c>
      <c r="N52" s="45">
        <f t="shared" si="1"/>
        <v>5760000</v>
      </c>
      <c r="O52" s="46" t="s">
        <v>22</v>
      </c>
      <c r="P52" s="42">
        <v>49</v>
      </c>
    </row>
    <row r="53" spans="1:16" x14ac:dyDescent="0.25">
      <c r="A53" s="42" t="s">
        <v>368</v>
      </c>
      <c r="B53" s="43">
        <v>45899</v>
      </c>
      <c r="C53" s="42">
        <f t="shared" si="0"/>
        <v>69</v>
      </c>
      <c r="D53" s="42">
        <v>1</v>
      </c>
      <c r="E53" s="42"/>
      <c r="F53" s="42"/>
      <c r="G53" s="79" t="s">
        <v>158</v>
      </c>
      <c r="H53" s="42" t="s">
        <v>1400</v>
      </c>
      <c r="I53" s="42">
        <v>331</v>
      </c>
      <c r="J53" s="42">
        <v>1111</v>
      </c>
      <c r="K53" s="42" t="s">
        <v>21</v>
      </c>
      <c r="L53" s="42">
        <v>1</v>
      </c>
      <c r="M53" s="45">
        <v>3078000</v>
      </c>
      <c r="N53" s="45">
        <f t="shared" si="1"/>
        <v>3078000</v>
      </c>
      <c r="O53" s="46" t="s">
        <v>22</v>
      </c>
      <c r="P53" s="42">
        <v>50</v>
      </c>
    </row>
    <row r="54" spans="1:16" x14ac:dyDescent="0.25">
      <c r="A54" s="42" t="s">
        <v>368</v>
      </c>
      <c r="B54" s="43">
        <v>45907</v>
      </c>
      <c r="C54" s="42">
        <f t="shared" si="0"/>
        <v>70</v>
      </c>
      <c r="D54" s="42">
        <v>1</v>
      </c>
      <c r="E54" s="42"/>
      <c r="F54" s="42"/>
      <c r="G54" s="79" t="s">
        <v>1351</v>
      </c>
      <c r="H54" s="42" t="s">
        <v>1401</v>
      </c>
      <c r="I54" s="42">
        <v>331</v>
      </c>
      <c r="J54" s="42">
        <v>1111</v>
      </c>
      <c r="K54" s="42" t="s">
        <v>21</v>
      </c>
      <c r="L54" s="42">
        <v>1</v>
      </c>
      <c r="M54" s="45">
        <v>143000</v>
      </c>
      <c r="N54" s="45">
        <f t="shared" si="1"/>
        <v>143000</v>
      </c>
      <c r="O54" s="46" t="s">
        <v>22</v>
      </c>
      <c r="P54" s="42">
        <v>51</v>
      </c>
    </row>
    <row r="55" spans="1:16" x14ac:dyDescent="0.25">
      <c r="A55" s="42" t="s">
        <v>368</v>
      </c>
      <c r="B55" s="43">
        <v>45915</v>
      </c>
      <c r="C55" s="42">
        <f t="shared" si="0"/>
        <v>71</v>
      </c>
      <c r="D55" s="42">
        <v>1</v>
      </c>
      <c r="E55" s="42"/>
      <c r="F55" s="42"/>
      <c r="G55" s="79" t="s">
        <v>2000</v>
      </c>
      <c r="H55" s="42" t="s">
        <v>1402</v>
      </c>
      <c r="I55" s="42">
        <v>331</v>
      </c>
      <c r="J55" s="42">
        <v>1111</v>
      </c>
      <c r="K55" s="42" t="s">
        <v>21</v>
      </c>
      <c r="L55" s="42">
        <v>1</v>
      </c>
      <c r="M55" s="45">
        <v>5065200</v>
      </c>
      <c r="N55" s="45">
        <f t="shared" si="1"/>
        <v>5065200</v>
      </c>
      <c r="O55" s="46" t="s">
        <v>22</v>
      </c>
      <c r="P55" s="42">
        <v>52</v>
      </c>
    </row>
    <row r="56" spans="1:16" x14ac:dyDescent="0.25">
      <c r="A56" s="42" t="s">
        <v>368</v>
      </c>
      <c r="B56" s="43">
        <v>45917</v>
      </c>
      <c r="C56" s="42">
        <f t="shared" si="0"/>
        <v>72</v>
      </c>
      <c r="D56" s="42">
        <v>1</v>
      </c>
      <c r="E56" s="42"/>
      <c r="F56" s="42"/>
      <c r="G56" s="79" t="s">
        <v>2001</v>
      </c>
      <c r="H56" s="42" t="s">
        <v>1403</v>
      </c>
      <c r="I56" s="42">
        <v>331</v>
      </c>
      <c r="J56" s="42">
        <v>1111</v>
      </c>
      <c r="K56" s="42" t="s">
        <v>21</v>
      </c>
      <c r="L56" s="42">
        <v>1</v>
      </c>
      <c r="M56" s="45">
        <v>1482500</v>
      </c>
      <c r="N56" s="45">
        <f t="shared" si="1"/>
        <v>1482500</v>
      </c>
      <c r="O56" s="46" t="s">
        <v>22</v>
      </c>
      <c r="P56" s="42">
        <v>53</v>
      </c>
    </row>
    <row r="57" spans="1:16" x14ac:dyDescent="0.25">
      <c r="A57" s="42" t="s">
        <v>368</v>
      </c>
      <c r="B57" s="43">
        <v>45919</v>
      </c>
      <c r="C57" s="42">
        <f t="shared" si="0"/>
        <v>73</v>
      </c>
      <c r="D57" s="42">
        <v>1</v>
      </c>
      <c r="E57" s="42"/>
      <c r="F57" s="42"/>
      <c r="G57" s="79" t="s">
        <v>35</v>
      </c>
      <c r="H57" s="42" t="s">
        <v>1404</v>
      </c>
      <c r="I57" s="42">
        <v>331</v>
      </c>
      <c r="J57" s="42">
        <v>1111</v>
      </c>
      <c r="K57" s="42" t="s">
        <v>21</v>
      </c>
      <c r="L57" s="42">
        <v>1</v>
      </c>
      <c r="M57" s="45">
        <v>52000</v>
      </c>
      <c r="N57" s="45">
        <f t="shared" si="1"/>
        <v>52000</v>
      </c>
      <c r="O57" s="46" t="s">
        <v>22</v>
      </c>
      <c r="P57" s="42">
        <v>54</v>
      </c>
    </row>
    <row r="58" spans="1:16" x14ac:dyDescent="0.25">
      <c r="A58" s="42" t="s">
        <v>368</v>
      </c>
      <c r="B58" s="43">
        <v>45919</v>
      </c>
      <c r="C58" s="42">
        <f t="shared" si="0"/>
        <v>74</v>
      </c>
      <c r="D58" s="42">
        <v>1</v>
      </c>
      <c r="E58" s="42"/>
      <c r="F58" s="42"/>
      <c r="G58" s="79" t="s">
        <v>35</v>
      </c>
      <c r="H58" s="42" t="s">
        <v>1405</v>
      </c>
      <c r="I58" s="42">
        <v>331</v>
      </c>
      <c r="J58" s="42">
        <v>1111</v>
      </c>
      <c r="K58" s="42" t="s">
        <v>21</v>
      </c>
      <c r="L58" s="42">
        <v>1</v>
      </c>
      <c r="M58" s="45">
        <v>53000</v>
      </c>
      <c r="N58" s="45">
        <f t="shared" si="1"/>
        <v>53000</v>
      </c>
      <c r="O58" s="46" t="s">
        <v>22</v>
      </c>
      <c r="P58" s="42">
        <v>55</v>
      </c>
    </row>
    <row r="59" spans="1:16" x14ac:dyDescent="0.25">
      <c r="A59" s="42" t="s">
        <v>368</v>
      </c>
      <c r="B59" s="43">
        <v>45920</v>
      </c>
      <c r="C59" s="42">
        <f t="shared" si="0"/>
        <v>75</v>
      </c>
      <c r="D59" s="42">
        <v>1</v>
      </c>
      <c r="E59" s="42"/>
      <c r="F59" s="42"/>
      <c r="G59" s="79" t="s">
        <v>35</v>
      </c>
      <c r="H59" s="42" t="s">
        <v>1406</v>
      </c>
      <c r="I59" s="42">
        <v>331</v>
      </c>
      <c r="J59" s="42">
        <v>1111</v>
      </c>
      <c r="K59" s="42" t="s">
        <v>21</v>
      </c>
      <c r="L59" s="42">
        <v>1</v>
      </c>
      <c r="M59" s="45">
        <v>30000</v>
      </c>
      <c r="N59" s="45">
        <f t="shared" si="1"/>
        <v>30000</v>
      </c>
      <c r="O59" s="46" t="s">
        <v>22</v>
      </c>
      <c r="P59" s="42">
        <v>56</v>
      </c>
    </row>
    <row r="60" spans="1:16" x14ac:dyDescent="0.25">
      <c r="A60" s="42" t="s">
        <v>368</v>
      </c>
      <c r="B60" s="43">
        <v>45920</v>
      </c>
      <c r="C60" s="42">
        <f t="shared" si="0"/>
        <v>76</v>
      </c>
      <c r="D60" s="42">
        <v>1</v>
      </c>
      <c r="E60" s="42"/>
      <c r="F60" s="42"/>
      <c r="G60" s="79" t="s">
        <v>1351</v>
      </c>
      <c r="H60" s="42" t="s">
        <v>1407</v>
      </c>
      <c r="I60" s="42">
        <v>331</v>
      </c>
      <c r="J60" s="42">
        <v>1111</v>
      </c>
      <c r="K60" s="42" t="s">
        <v>21</v>
      </c>
      <c r="L60" s="42">
        <v>1</v>
      </c>
      <c r="M60" s="45">
        <v>141000</v>
      </c>
      <c r="N60" s="45">
        <f t="shared" si="1"/>
        <v>141000</v>
      </c>
      <c r="O60" s="46" t="s">
        <v>22</v>
      </c>
      <c r="P60" s="42">
        <v>57</v>
      </c>
    </row>
    <row r="61" spans="1:16" x14ac:dyDescent="0.25">
      <c r="A61" s="42" t="s">
        <v>368</v>
      </c>
      <c r="B61" s="43">
        <v>45925</v>
      </c>
      <c r="C61" s="42">
        <f t="shared" si="0"/>
        <v>77</v>
      </c>
      <c r="D61" s="42">
        <v>1</v>
      </c>
      <c r="E61" s="42"/>
      <c r="F61" s="42"/>
      <c r="G61" s="79" t="s">
        <v>35</v>
      </c>
      <c r="H61" s="42" t="s">
        <v>1408</v>
      </c>
      <c r="I61" s="42">
        <v>331</v>
      </c>
      <c r="J61" s="42">
        <v>1111</v>
      </c>
      <c r="K61" s="42" t="s">
        <v>21</v>
      </c>
      <c r="L61" s="42">
        <v>1</v>
      </c>
      <c r="M61" s="45">
        <v>118000</v>
      </c>
      <c r="N61" s="45">
        <f t="shared" si="1"/>
        <v>118000</v>
      </c>
      <c r="O61" s="46" t="s">
        <v>22</v>
      </c>
      <c r="P61" s="42">
        <v>58</v>
      </c>
    </row>
    <row r="62" spans="1:16" x14ac:dyDescent="0.25">
      <c r="A62" s="42" t="s">
        <v>368</v>
      </c>
      <c r="B62" s="43">
        <v>45925</v>
      </c>
      <c r="C62" s="42">
        <f t="shared" si="0"/>
        <v>78</v>
      </c>
      <c r="D62" s="42">
        <v>1</v>
      </c>
      <c r="E62" s="42"/>
      <c r="F62" s="42"/>
      <c r="G62" s="79" t="s">
        <v>2002</v>
      </c>
      <c r="H62" s="42" t="s">
        <v>1409</v>
      </c>
      <c r="I62" s="42">
        <v>331</v>
      </c>
      <c r="J62" s="42">
        <v>1111</v>
      </c>
      <c r="K62" s="42" t="s">
        <v>21</v>
      </c>
      <c r="L62" s="42">
        <v>1</v>
      </c>
      <c r="M62" s="45">
        <v>127000</v>
      </c>
      <c r="N62" s="45">
        <f t="shared" si="1"/>
        <v>127000</v>
      </c>
      <c r="O62" s="46" t="s">
        <v>22</v>
      </c>
      <c r="P62" s="42">
        <v>59</v>
      </c>
    </row>
    <row r="63" spans="1:16" x14ac:dyDescent="0.25">
      <c r="A63" s="42" t="s">
        <v>368</v>
      </c>
      <c r="B63" s="43">
        <v>45927</v>
      </c>
      <c r="C63" s="42">
        <f t="shared" si="0"/>
        <v>79</v>
      </c>
      <c r="D63" s="42">
        <v>1</v>
      </c>
      <c r="E63" s="42"/>
      <c r="F63" s="42"/>
      <c r="G63" s="79" t="s">
        <v>35</v>
      </c>
      <c r="H63" s="42" t="s">
        <v>1410</v>
      </c>
      <c r="I63" s="42">
        <v>331</v>
      </c>
      <c r="J63" s="42">
        <v>1111</v>
      </c>
      <c r="K63" s="42" t="s">
        <v>21</v>
      </c>
      <c r="L63" s="42">
        <v>1</v>
      </c>
      <c r="M63" s="45">
        <v>44000</v>
      </c>
      <c r="N63" s="45">
        <f t="shared" si="1"/>
        <v>44000</v>
      </c>
      <c r="O63" s="46" t="s">
        <v>22</v>
      </c>
      <c r="P63" s="42">
        <v>60</v>
      </c>
    </row>
    <row r="64" spans="1:16" x14ac:dyDescent="0.25">
      <c r="A64" s="42" t="s">
        <v>18</v>
      </c>
      <c r="B64" s="43" t="s">
        <v>2042</v>
      </c>
      <c r="C64" s="42">
        <f t="shared" si="0"/>
        <v>80</v>
      </c>
      <c r="D64" s="42">
        <v>1</v>
      </c>
      <c r="E64" s="42"/>
      <c r="F64" s="42"/>
      <c r="G64" s="79" t="s">
        <v>632</v>
      </c>
      <c r="H64" s="42" t="s">
        <v>2006</v>
      </c>
      <c r="I64" s="42">
        <v>131</v>
      </c>
      <c r="J64" s="42">
        <v>5113</v>
      </c>
      <c r="K64" s="42" t="s">
        <v>21</v>
      </c>
      <c r="L64" s="42">
        <v>1</v>
      </c>
      <c r="M64" s="45">
        <v>10752688</v>
      </c>
      <c r="N64" s="45">
        <f t="shared" si="1"/>
        <v>10752688</v>
      </c>
      <c r="O64" s="46" t="s">
        <v>2070</v>
      </c>
      <c r="P64" s="42">
        <v>61</v>
      </c>
    </row>
    <row r="65" spans="1:16" x14ac:dyDescent="0.25">
      <c r="A65" s="42" t="s">
        <v>18</v>
      </c>
      <c r="B65" s="43" t="s">
        <v>2042</v>
      </c>
      <c r="C65" s="42">
        <f>C64+D65</f>
        <v>81</v>
      </c>
      <c r="D65" s="42">
        <v>1</v>
      </c>
      <c r="E65" s="42"/>
      <c r="F65" s="42"/>
      <c r="G65" s="79" t="s">
        <v>2003</v>
      </c>
      <c r="H65" s="42" t="s">
        <v>2007</v>
      </c>
      <c r="I65" s="42">
        <v>131</v>
      </c>
      <c r="J65" s="42">
        <v>5113</v>
      </c>
      <c r="K65" s="42" t="s">
        <v>21</v>
      </c>
      <c r="L65" s="42">
        <v>1</v>
      </c>
      <c r="M65" s="45">
        <v>10752688</v>
      </c>
      <c r="N65" s="45">
        <f t="shared" si="1"/>
        <v>10752688</v>
      </c>
      <c r="O65" s="46" t="s">
        <v>998</v>
      </c>
      <c r="P65" s="42">
        <v>62</v>
      </c>
    </row>
    <row r="66" spans="1:16" x14ac:dyDescent="0.25">
      <c r="A66" s="42" t="s">
        <v>18</v>
      </c>
      <c r="B66" s="43" t="s">
        <v>2042</v>
      </c>
      <c r="C66" s="42">
        <f t="shared" si="0"/>
        <v>82</v>
      </c>
      <c r="D66" s="42">
        <v>1</v>
      </c>
      <c r="E66" s="42"/>
      <c r="F66" s="42"/>
      <c r="G66" s="79" t="s">
        <v>751</v>
      </c>
      <c r="H66" s="42" t="s">
        <v>2008</v>
      </c>
      <c r="I66" s="42">
        <v>131</v>
      </c>
      <c r="J66" s="42">
        <v>5113</v>
      </c>
      <c r="K66" s="42" t="s">
        <v>21</v>
      </c>
      <c r="L66" s="42">
        <v>1</v>
      </c>
      <c r="M66" s="45">
        <v>10752688</v>
      </c>
      <c r="N66" s="45">
        <f t="shared" si="1"/>
        <v>10752688</v>
      </c>
      <c r="O66" s="46" t="s">
        <v>998</v>
      </c>
      <c r="P66" s="42">
        <v>63</v>
      </c>
    </row>
    <row r="67" spans="1:16" x14ac:dyDescent="0.25">
      <c r="A67" s="42" t="s">
        <v>18</v>
      </c>
      <c r="B67" s="43" t="s">
        <v>2042</v>
      </c>
      <c r="C67" s="42">
        <f t="shared" si="0"/>
        <v>83</v>
      </c>
      <c r="D67" s="42">
        <v>1</v>
      </c>
      <c r="E67" s="42"/>
      <c r="F67" s="42"/>
      <c r="G67" s="79" t="s">
        <v>756</v>
      </c>
      <c r="H67" s="42" t="s">
        <v>2009</v>
      </c>
      <c r="I67" s="42">
        <v>131</v>
      </c>
      <c r="J67" s="42">
        <v>5113</v>
      </c>
      <c r="K67" s="42" t="s">
        <v>21</v>
      </c>
      <c r="L67" s="42">
        <v>1</v>
      </c>
      <c r="M67" s="45">
        <v>10752688</v>
      </c>
      <c r="N67" s="45">
        <f t="shared" si="1"/>
        <v>10752688</v>
      </c>
      <c r="O67" s="46" t="s">
        <v>998</v>
      </c>
      <c r="P67" s="42">
        <v>64</v>
      </c>
    </row>
    <row r="68" spans="1:16" x14ac:dyDescent="0.25">
      <c r="A68" s="42" t="s">
        <v>18</v>
      </c>
      <c r="B68" s="43" t="s">
        <v>2042</v>
      </c>
      <c r="C68" s="42">
        <f t="shared" si="0"/>
        <v>84</v>
      </c>
      <c r="D68" s="42">
        <v>1</v>
      </c>
      <c r="E68" s="42"/>
      <c r="F68" s="42"/>
      <c r="G68" s="79" t="s">
        <v>1077</v>
      </c>
      <c r="H68" s="42" t="s">
        <v>2010</v>
      </c>
      <c r="I68" s="42">
        <v>131</v>
      </c>
      <c r="J68" s="42">
        <v>5113</v>
      </c>
      <c r="K68" s="42" t="s">
        <v>21</v>
      </c>
      <c r="L68" s="42">
        <v>1</v>
      </c>
      <c r="M68" s="45">
        <v>20430107</v>
      </c>
      <c r="N68" s="45">
        <f t="shared" si="1"/>
        <v>20430107</v>
      </c>
      <c r="O68" s="46" t="s">
        <v>998</v>
      </c>
      <c r="P68" s="42">
        <v>65</v>
      </c>
    </row>
    <row r="69" spans="1:16" x14ac:dyDescent="0.25">
      <c r="A69" s="42" t="s">
        <v>18</v>
      </c>
      <c r="B69" s="43" t="s">
        <v>2043</v>
      </c>
      <c r="C69" s="42">
        <f t="shared" ref="C69:C132" si="2">C68+D69</f>
        <v>85</v>
      </c>
      <c r="D69" s="42">
        <v>1</v>
      </c>
      <c r="E69" s="42"/>
      <c r="F69" s="42"/>
      <c r="G69" s="79" t="s">
        <v>1540</v>
      </c>
      <c r="H69" s="42" t="s">
        <v>2011</v>
      </c>
      <c r="I69" s="42">
        <v>131</v>
      </c>
      <c r="J69" s="42">
        <v>5113</v>
      </c>
      <c r="K69" s="42" t="s">
        <v>21</v>
      </c>
      <c r="L69" s="42">
        <v>1</v>
      </c>
      <c r="M69" s="45">
        <v>10753000</v>
      </c>
      <c r="N69" s="45">
        <f t="shared" ref="N69:N132" si="3">L69*M69</f>
        <v>10753000</v>
      </c>
      <c r="O69" s="46" t="s">
        <v>22</v>
      </c>
      <c r="P69" s="42">
        <v>66</v>
      </c>
    </row>
    <row r="70" spans="1:16" x14ac:dyDescent="0.25">
      <c r="A70" s="42" t="s">
        <v>18</v>
      </c>
      <c r="B70" s="43" t="s">
        <v>2043</v>
      </c>
      <c r="C70" s="42">
        <f t="shared" si="2"/>
        <v>86</v>
      </c>
      <c r="D70" s="42">
        <v>1</v>
      </c>
      <c r="E70" s="42"/>
      <c r="F70" s="42"/>
      <c r="G70" s="79" t="s">
        <v>839</v>
      </c>
      <c r="H70" s="42" t="s">
        <v>2012</v>
      </c>
      <c r="I70" s="42">
        <v>131</v>
      </c>
      <c r="J70" s="42">
        <v>5113</v>
      </c>
      <c r="K70" s="42" t="s">
        <v>21</v>
      </c>
      <c r="L70" s="42">
        <v>1</v>
      </c>
      <c r="M70" s="45">
        <v>10752688</v>
      </c>
      <c r="N70" s="45">
        <f t="shared" si="3"/>
        <v>10752688</v>
      </c>
      <c r="O70" s="46" t="s">
        <v>22</v>
      </c>
      <c r="P70" s="42">
        <v>67</v>
      </c>
    </row>
    <row r="71" spans="1:16" x14ac:dyDescent="0.25">
      <c r="A71" s="42" t="s">
        <v>18</v>
      </c>
      <c r="B71" s="43" t="s">
        <v>2043</v>
      </c>
      <c r="C71" s="42">
        <f t="shared" si="2"/>
        <v>87</v>
      </c>
      <c r="D71" s="42">
        <v>1</v>
      </c>
      <c r="E71" s="42"/>
      <c r="F71" s="42"/>
      <c r="G71" s="79" t="s">
        <v>839</v>
      </c>
      <c r="H71" s="42" t="s">
        <v>2013</v>
      </c>
      <c r="I71" s="42">
        <v>131</v>
      </c>
      <c r="J71" s="42">
        <v>5113</v>
      </c>
      <c r="K71" s="42" t="s">
        <v>21</v>
      </c>
      <c r="L71" s="42">
        <v>1</v>
      </c>
      <c r="M71" s="45">
        <v>107527</v>
      </c>
      <c r="N71" s="45">
        <f t="shared" si="3"/>
        <v>107527</v>
      </c>
      <c r="O71" s="46" t="s">
        <v>22</v>
      </c>
      <c r="P71" s="42">
        <v>68</v>
      </c>
    </row>
    <row r="72" spans="1:16" x14ac:dyDescent="0.25">
      <c r="A72" s="42" t="s">
        <v>18</v>
      </c>
      <c r="B72" s="43" t="s">
        <v>1533</v>
      </c>
      <c r="C72" s="42">
        <f t="shared" si="2"/>
        <v>88</v>
      </c>
      <c r="D72" s="42">
        <v>1</v>
      </c>
      <c r="E72" s="42"/>
      <c r="F72" s="42"/>
      <c r="G72" s="79" t="s">
        <v>976</v>
      </c>
      <c r="H72" s="42" t="s">
        <v>2014</v>
      </c>
      <c r="I72" s="42">
        <v>131</v>
      </c>
      <c r="J72" s="42">
        <v>5113</v>
      </c>
      <c r="K72" s="42" t="s">
        <v>21</v>
      </c>
      <c r="L72" s="42">
        <v>1</v>
      </c>
      <c r="M72" s="45">
        <v>10752688</v>
      </c>
      <c r="N72" s="45">
        <f t="shared" si="3"/>
        <v>10752688</v>
      </c>
      <c r="O72" s="46" t="s">
        <v>22</v>
      </c>
      <c r="P72" s="42">
        <v>69</v>
      </c>
    </row>
    <row r="73" spans="1:16" x14ac:dyDescent="0.25">
      <c r="A73" s="42" t="s">
        <v>18</v>
      </c>
      <c r="B73" s="43" t="s">
        <v>1533</v>
      </c>
      <c r="C73" s="42">
        <f t="shared" si="2"/>
        <v>89</v>
      </c>
      <c r="D73" s="42">
        <v>1</v>
      </c>
      <c r="E73" s="42"/>
      <c r="F73" s="42"/>
      <c r="G73" s="79" t="s">
        <v>632</v>
      </c>
      <c r="H73" s="42" t="s">
        <v>2015</v>
      </c>
      <c r="I73" s="42">
        <v>131</v>
      </c>
      <c r="J73" s="42">
        <v>5113</v>
      </c>
      <c r="K73" s="42" t="s">
        <v>21</v>
      </c>
      <c r="L73" s="42">
        <v>1</v>
      </c>
      <c r="M73" s="45">
        <v>10752688</v>
      </c>
      <c r="N73" s="45">
        <f t="shared" si="3"/>
        <v>10752688</v>
      </c>
      <c r="O73" s="46" t="s">
        <v>22</v>
      </c>
      <c r="P73" s="42">
        <v>70</v>
      </c>
    </row>
    <row r="74" spans="1:16" x14ac:dyDescent="0.25">
      <c r="A74" s="42" t="s">
        <v>18</v>
      </c>
      <c r="B74" s="43" t="s">
        <v>2044</v>
      </c>
      <c r="C74" s="42">
        <f t="shared" si="2"/>
        <v>90</v>
      </c>
      <c r="D74" s="42">
        <v>1</v>
      </c>
      <c r="E74" s="42"/>
      <c r="F74" s="42"/>
      <c r="G74" s="79" t="s">
        <v>2004</v>
      </c>
      <c r="H74" s="42" t="s">
        <v>2016</v>
      </c>
      <c r="I74" s="42">
        <v>131</v>
      </c>
      <c r="J74" s="42">
        <v>5113</v>
      </c>
      <c r="K74" s="42" t="s">
        <v>21</v>
      </c>
      <c r="L74" s="42">
        <v>1</v>
      </c>
      <c r="M74" s="45">
        <v>11612903</v>
      </c>
      <c r="N74" s="45">
        <f t="shared" si="3"/>
        <v>11612903</v>
      </c>
      <c r="O74" s="46" t="s">
        <v>22</v>
      </c>
      <c r="P74" s="42">
        <v>71</v>
      </c>
    </row>
    <row r="75" spans="1:16" x14ac:dyDescent="0.25">
      <c r="A75" s="42" t="s">
        <v>18</v>
      </c>
      <c r="B75" s="43" t="s">
        <v>2044</v>
      </c>
      <c r="C75" s="42">
        <f t="shared" si="2"/>
        <v>91</v>
      </c>
      <c r="D75" s="42">
        <v>1</v>
      </c>
      <c r="E75" s="42"/>
      <c r="F75" s="42"/>
      <c r="G75" s="79" t="s">
        <v>2004</v>
      </c>
      <c r="H75" s="42" t="s">
        <v>2017</v>
      </c>
      <c r="I75" s="42">
        <v>131</v>
      </c>
      <c r="J75" s="42">
        <v>5113</v>
      </c>
      <c r="K75" s="42" t="s">
        <v>21</v>
      </c>
      <c r="L75" s="42">
        <v>1</v>
      </c>
      <c r="M75" s="45">
        <v>116129</v>
      </c>
      <c r="N75" s="45">
        <f t="shared" si="3"/>
        <v>116129</v>
      </c>
      <c r="O75" s="46" t="s">
        <v>22</v>
      </c>
      <c r="P75" s="42">
        <v>72</v>
      </c>
    </row>
    <row r="76" spans="1:16" x14ac:dyDescent="0.25">
      <c r="A76" s="42" t="s">
        <v>18</v>
      </c>
      <c r="B76" s="43" t="s">
        <v>2045</v>
      </c>
      <c r="C76" s="42">
        <f t="shared" si="2"/>
        <v>92</v>
      </c>
      <c r="D76" s="42">
        <v>1</v>
      </c>
      <c r="E76" s="42"/>
      <c r="F76" s="42"/>
      <c r="G76" s="79" t="s">
        <v>632</v>
      </c>
      <c r="H76" s="42" t="s">
        <v>2018</v>
      </c>
      <c r="I76" s="42">
        <v>131</v>
      </c>
      <c r="J76" s="42">
        <v>5113</v>
      </c>
      <c r="K76" s="42" t="s">
        <v>21</v>
      </c>
      <c r="L76" s="42">
        <v>1</v>
      </c>
      <c r="M76" s="45">
        <v>-10752688</v>
      </c>
      <c r="N76" s="45">
        <f t="shared" si="3"/>
        <v>-10752688</v>
      </c>
      <c r="O76" s="46" t="s">
        <v>2070</v>
      </c>
      <c r="P76" s="42">
        <v>73</v>
      </c>
    </row>
    <row r="77" spans="1:16" x14ac:dyDescent="0.25">
      <c r="A77" s="42" t="s">
        <v>18</v>
      </c>
      <c r="B77" s="43" t="s">
        <v>2046</v>
      </c>
      <c r="C77" s="42">
        <f t="shared" si="2"/>
        <v>93</v>
      </c>
      <c r="D77" s="42">
        <v>1</v>
      </c>
      <c r="E77" s="42"/>
      <c r="F77" s="42"/>
      <c r="G77" s="79" t="s">
        <v>976</v>
      </c>
      <c r="H77" s="42" t="s">
        <v>2019</v>
      </c>
      <c r="I77" s="42">
        <v>131</v>
      </c>
      <c r="J77" s="42">
        <v>5113</v>
      </c>
      <c r="K77" s="42" t="s">
        <v>21</v>
      </c>
      <c r="L77" s="42">
        <v>1</v>
      </c>
      <c r="M77" s="45">
        <v>21505376</v>
      </c>
      <c r="N77" s="45">
        <f t="shared" si="3"/>
        <v>21505376</v>
      </c>
      <c r="O77" s="46" t="s">
        <v>22</v>
      </c>
      <c r="P77" s="42">
        <v>74</v>
      </c>
    </row>
    <row r="78" spans="1:16" x14ac:dyDescent="0.25">
      <c r="A78" s="42" t="s">
        <v>18</v>
      </c>
      <c r="B78" s="43" t="s">
        <v>1415</v>
      </c>
      <c r="C78" s="42">
        <f t="shared" si="2"/>
        <v>94</v>
      </c>
      <c r="D78" s="42">
        <v>1</v>
      </c>
      <c r="E78" s="42"/>
      <c r="F78" s="42"/>
      <c r="G78" s="79" t="s">
        <v>1068</v>
      </c>
      <c r="H78" s="42" t="s">
        <v>2020</v>
      </c>
      <c r="I78" s="42">
        <v>131</v>
      </c>
      <c r="J78" s="42">
        <v>5113</v>
      </c>
      <c r="K78" s="42" t="s">
        <v>21</v>
      </c>
      <c r="L78" s="42">
        <v>1</v>
      </c>
      <c r="M78" s="45">
        <v>10752688</v>
      </c>
      <c r="N78" s="45">
        <f t="shared" si="3"/>
        <v>10752688</v>
      </c>
      <c r="O78" s="46" t="s">
        <v>22</v>
      </c>
      <c r="P78" s="42">
        <v>75</v>
      </c>
    </row>
    <row r="79" spans="1:16" x14ac:dyDescent="0.25">
      <c r="A79" s="42" t="s">
        <v>18</v>
      </c>
      <c r="B79" s="43" t="s">
        <v>1415</v>
      </c>
      <c r="C79" s="42">
        <f t="shared" si="2"/>
        <v>95</v>
      </c>
      <c r="D79" s="42">
        <v>1</v>
      </c>
      <c r="E79" s="42"/>
      <c r="F79" s="42"/>
      <c r="G79" s="79" t="s">
        <v>1068</v>
      </c>
      <c r="H79" s="42" t="s">
        <v>2021</v>
      </c>
      <c r="I79" s="42">
        <v>131</v>
      </c>
      <c r="J79" s="42">
        <v>5113</v>
      </c>
      <c r="K79" s="42" t="s">
        <v>21</v>
      </c>
      <c r="L79" s="42">
        <v>1</v>
      </c>
      <c r="M79" s="45">
        <v>107527</v>
      </c>
      <c r="N79" s="45">
        <f t="shared" si="3"/>
        <v>107527</v>
      </c>
      <c r="O79" s="46" t="s">
        <v>22</v>
      </c>
      <c r="P79" s="42">
        <v>76</v>
      </c>
    </row>
    <row r="80" spans="1:16" x14ac:dyDescent="0.25">
      <c r="A80" s="42" t="s">
        <v>18</v>
      </c>
      <c r="B80" s="43" t="s">
        <v>2047</v>
      </c>
      <c r="C80" s="42">
        <f t="shared" si="2"/>
        <v>96</v>
      </c>
      <c r="D80" s="42">
        <v>1</v>
      </c>
      <c r="E80" s="42"/>
      <c r="F80" s="42"/>
      <c r="G80" s="79" t="s">
        <v>1437</v>
      </c>
      <c r="H80" s="42" t="s">
        <v>2022</v>
      </c>
      <c r="I80" s="42">
        <v>131</v>
      </c>
      <c r="J80" s="42">
        <v>5113</v>
      </c>
      <c r="K80" s="42" t="s">
        <v>21</v>
      </c>
      <c r="L80" s="42">
        <v>1</v>
      </c>
      <c r="M80" s="45">
        <v>10752688</v>
      </c>
      <c r="N80" s="45">
        <f t="shared" si="3"/>
        <v>10752688</v>
      </c>
      <c r="O80" s="46" t="s">
        <v>22</v>
      </c>
      <c r="P80" s="42">
        <v>77</v>
      </c>
    </row>
    <row r="81" spans="1:16" x14ac:dyDescent="0.25">
      <c r="A81" s="42" t="s">
        <v>18</v>
      </c>
      <c r="B81" s="43" t="s">
        <v>2047</v>
      </c>
      <c r="C81" s="42">
        <f t="shared" si="2"/>
        <v>97</v>
      </c>
      <c r="D81" s="42">
        <v>1</v>
      </c>
      <c r="E81" s="42"/>
      <c r="F81" s="42"/>
      <c r="G81" s="79" t="s">
        <v>1437</v>
      </c>
      <c r="H81" s="42" t="s">
        <v>2023</v>
      </c>
      <c r="I81" s="42">
        <v>131</v>
      </c>
      <c r="J81" s="42">
        <v>5113</v>
      </c>
      <c r="K81" s="42" t="s">
        <v>21</v>
      </c>
      <c r="L81" s="42">
        <v>1</v>
      </c>
      <c r="M81" s="45">
        <v>107527</v>
      </c>
      <c r="N81" s="45">
        <f t="shared" si="3"/>
        <v>107527</v>
      </c>
      <c r="O81" s="46" t="s">
        <v>22</v>
      </c>
      <c r="P81" s="42">
        <v>78</v>
      </c>
    </row>
    <row r="82" spans="1:16" x14ac:dyDescent="0.25">
      <c r="A82" s="42" t="s">
        <v>18</v>
      </c>
      <c r="B82" s="43" t="s">
        <v>2048</v>
      </c>
      <c r="C82" s="42">
        <f t="shared" si="2"/>
        <v>98</v>
      </c>
      <c r="D82" s="42">
        <v>1</v>
      </c>
      <c r="E82" s="42"/>
      <c r="F82" s="42"/>
      <c r="G82" s="79" t="s">
        <v>2005</v>
      </c>
      <c r="H82" s="42" t="s">
        <v>2024</v>
      </c>
      <c r="I82" s="42">
        <v>131</v>
      </c>
      <c r="J82" s="42">
        <v>5113</v>
      </c>
      <c r="K82" s="42" t="s">
        <v>21</v>
      </c>
      <c r="L82" s="42">
        <v>1</v>
      </c>
      <c r="M82" s="45">
        <v>10752688</v>
      </c>
      <c r="N82" s="45">
        <f t="shared" si="3"/>
        <v>10752688</v>
      </c>
      <c r="O82" s="46" t="s">
        <v>22</v>
      </c>
      <c r="P82" s="42">
        <v>79</v>
      </c>
    </row>
    <row r="83" spans="1:16" x14ac:dyDescent="0.25">
      <c r="A83" s="42" t="s">
        <v>18</v>
      </c>
      <c r="B83" s="43" t="s">
        <v>2048</v>
      </c>
      <c r="C83" s="42">
        <f t="shared" si="2"/>
        <v>99</v>
      </c>
      <c r="D83" s="42">
        <v>1</v>
      </c>
      <c r="E83" s="42"/>
      <c r="F83" s="42"/>
      <c r="G83" s="79" t="s">
        <v>2005</v>
      </c>
      <c r="H83" s="42" t="s">
        <v>2025</v>
      </c>
      <c r="I83" s="42">
        <v>131</v>
      </c>
      <c r="J83" s="42">
        <v>5113</v>
      </c>
      <c r="K83" s="42" t="s">
        <v>21</v>
      </c>
      <c r="L83" s="42">
        <v>1</v>
      </c>
      <c r="M83" s="45">
        <v>107527</v>
      </c>
      <c r="N83" s="45">
        <f t="shared" si="3"/>
        <v>107527</v>
      </c>
      <c r="O83" s="46" t="s">
        <v>22</v>
      </c>
      <c r="P83" s="42">
        <v>80</v>
      </c>
    </row>
    <row r="84" spans="1:16" x14ac:dyDescent="0.25">
      <c r="A84" s="42" t="s">
        <v>18</v>
      </c>
      <c r="B84" s="43" t="s">
        <v>2048</v>
      </c>
      <c r="C84" s="42">
        <f t="shared" si="2"/>
        <v>100</v>
      </c>
      <c r="D84" s="42">
        <v>1</v>
      </c>
      <c r="E84" s="42"/>
      <c r="F84" s="42"/>
      <c r="G84" s="79" t="s">
        <v>756</v>
      </c>
      <c r="H84" s="42" t="s">
        <v>2026</v>
      </c>
      <c r="I84" s="42">
        <v>131</v>
      </c>
      <c r="J84" s="42">
        <v>5113</v>
      </c>
      <c r="K84" s="42" t="s">
        <v>21</v>
      </c>
      <c r="L84" s="42">
        <v>1</v>
      </c>
      <c r="M84" s="45">
        <v>10752688</v>
      </c>
      <c r="N84" s="45">
        <f t="shared" si="3"/>
        <v>10752688</v>
      </c>
      <c r="O84" s="46" t="s">
        <v>22</v>
      </c>
      <c r="P84" s="42">
        <v>81</v>
      </c>
    </row>
    <row r="85" spans="1:16" x14ac:dyDescent="0.25">
      <c r="A85" s="42" t="s">
        <v>18</v>
      </c>
      <c r="B85" s="43" t="s">
        <v>2048</v>
      </c>
      <c r="C85" s="42">
        <f t="shared" si="2"/>
        <v>101</v>
      </c>
      <c r="D85" s="42">
        <v>1</v>
      </c>
      <c r="E85" s="42"/>
      <c r="F85" s="42"/>
      <c r="G85" s="79" t="s">
        <v>756</v>
      </c>
      <c r="H85" s="42" t="s">
        <v>2027</v>
      </c>
      <c r="I85" s="42">
        <v>131</v>
      </c>
      <c r="J85" s="42">
        <v>5113</v>
      </c>
      <c r="K85" s="42" t="s">
        <v>21</v>
      </c>
      <c r="L85" s="42">
        <v>1</v>
      </c>
      <c r="M85" s="45">
        <v>107527</v>
      </c>
      <c r="N85" s="45">
        <f t="shared" si="3"/>
        <v>107527</v>
      </c>
      <c r="O85" s="46" t="s">
        <v>22</v>
      </c>
      <c r="P85" s="42">
        <v>82</v>
      </c>
    </row>
    <row r="86" spans="1:16" x14ac:dyDescent="0.25">
      <c r="A86" s="42" t="s">
        <v>18</v>
      </c>
      <c r="B86" s="43" t="s">
        <v>1421</v>
      </c>
      <c r="C86" s="42">
        <f t="shared" si="2"/>
        <v>102</v>
      </c>
      <c r="D86" s="42">
        <v>1</v>
      </c>
      <c r="E86" s="42"/>
      <c r="F86" s="42"/>
      <c r="G86" s="79" t="s">
        <v>756</v>
      </c>
      <c r="H86" s="42" t="s">
        <v>2028</v>
      </c>
      <c r="I86" s="42">
        <v>131</v>
      </c>
      <c r="J86" s="42">
        <v>5113</v>
      </c>
      <c r="K86" s="42" t="s">
        <v>21</v>
      </c>
      <c r="L86" s="42">
        <v>1</v>
      </c>
      <c r="M86" s="45">
        <v>10752688</v>
      </c>
      <c r="N86" s="45">
        <f t="shared" si="3"/>
        <v>10752688</v>
      </c>
      <c r="O86" s="46" t="s">
        <v>22</v>
      </c>
      <c r="P86" s="42">
        <v>83</v>
      </c>
    </row>
    <row r="87" spans="1:16" x14ac:dyDescent="0.25">
      <c r="A87" s="42" t="s">
        <v>18</v>
      </c>
      <c r="B87" s="43" t="s">
        <v>1421</v>
      </c>
      <c r="C87" s="42">
        <f t="shared" si="2"/>
        <v>103</v>
      </c>
      <c r="D87" s="42">
        <v>1</v>
      </c>
      <c r="E87" s="42"/>
      <c r="F87" s="42"/>
      <c r="G87" s="79" t="s">
        <v>756</v>
      </c>
      <c r="H87" s="42" t="s">
        <v>2029</v>
      </c>
      <c r="I87" s="42">
        <v>131</v>
      </c>
      <c r="J87" s="42">
        <v>5113</v>
      </c>
      <c r="K87" s="42" t="s">
        <v>21</v>
      </c>
      <c r="L87" s="42">
        <v>1</v>
      </c>
      <c r="M87" s="45">
        <v>107527</v>
      </c>
      <c r="N87" s="45">
        <f t="shared" si="3"/>
        <v>107527</v>
      </c>
      <c r="O87" s="46" t="s">
        <v>22</v>
      </c>
      <c r="P87" s="42">
        <v>84</v>
      </c>
    </row>
    <row r="88" spans="1:16" x14ac:dyDescent="0.25">
      <c r="A88" s="42" t="s">
        <v>18</v>
      </c>
      <c r="B88" s="43" t="s">
        <v>2049</v>
      </c>
      <c r="C88" s="42">
        <f t="shared" si="2"/>
        <v>104</v>
      </c>
      <c r="D88" s="42">
        <v>1</v>
      </c>
      <c r="E88" s="42"/>
      <c r="F88" s="42"/>
      <c r="G88" s="79" t="s">
        <v>1539</v>
      </c>
      <c r="H88" s="42" t="s">
        <v>2030</v>
      </c>
      <c r="I88" s="42">
        <v>131</v>
      </c>
      <c r="J88" s="42">
        <v>5113</v>
      </c>
      <c r="K88" s="42" t="s">
        <v>21</v>
      </c>
      <c r="L88" s="42">
        <v>1</v>
      </c>
      <c r="M88" s="45">
        <v>10752688</v>
      </c>
      <c r="N88" s="45">
        <f t="shared" si="3"/>
        <v>10752688</v>
      </c>
      <c r="O88" s="46" t="s">
        <v>22</v>
      </c>
      <c r="P88" s="42">
        <v>85</v>
      </c>
    </row>
    <row r="89" spans="1:16" x14ac:dyDescent="0.25">
      <c r="A89" s="42" t="s">
        <v>18</v>
      </c>
      <c r="B89" s="43" t="s">
        <v>2049</v>
      </c>
      <c r="C89" s="42">
        <f t="shared" si="2"/>
        <v>105</v>
      </c>
      <c r="D89" s="42">
        <v>1</v>
      </c>
      <c r="E89" s="42"/>
      <c r="F89" s="42"/>
      <c r="G89" s="79" t="s">
        <v>1539</v>
      </c>
      <c r="H89" s="42" t="s">
        <v>2031</v>
      </c>
      <c r="I89" s="42">
        <v>131</v>
      </c>
      <c r="J89" s="42">
        <v>5113</v>
      </c>
      <c r="K89" s="42" t="s">
        <v>21</v>
      </c>
      <c r="L89" s="42">
        <v>1</v>
      </c>
      <c r="M89" s="45">
        <v>107527</v>
      </c>
      <c r="N89" s="45">
        <f t="shared" si="3"/>
        <v>107527</v>
      </c>
      <c r="O89" s="46" t="s">
        <v>22</v>
      </c>
      <c r="P89" s="42">
        <v>86</v>
      </c>
    </row>
    <row r="90" spans="1:16" x14ac:dyDescent="0.25">
      <c r="A90" s="42" t="s">
        <v>18</v>
      </c>
      <c r="B90" s="43" t="s">
        <v>2050</v>
      </c>
      <c r="C90" s="42">
        <f t="shared" si="2"/>
        <v>106</v>
      </c>
      <c r="D90" s="42">
        <v>1</v>
      </c>
      <c r="E90" s="42"/>
      <c r="F90" s="42"/>
      <c r="G90" s="79" t="s">
        <v>756</v>
      </c>
      <c r="H90" s="42" t="s">
        <v>2032</v>
      </c>
      <c r="I90" s="42">
        <v>131</v>
      </c>
      <c r="J90" s="42">
        <v>5113</v>
      </c>
      <c r="K90" s="42" t="s">
        <v>21</v>
      </c>
      <c r="L90" s="42">
        <v>1</v>
      </c>
      <c r="M90" s="45">
        <v>10752688</v>
      </c>
      <c r="N90" s="45">
        <f t="shared" si="3"/>
        <v>10752688</v>
      </c>
      <c r="O90" s="46" t="s">
        <v>22</v>
      </c>
      <c r="P90" s="42">
        <v>87</v>
      </c>
    </row>
    <row r="91" spans="1:16" x14ac:dyDescent="0.25">
      <c r="A91" s="42" t="s">
        <v>18</v>
      </c>
      <c r="B91" s="43" t="s">
        <v>2050</v>
      </c>
      <c r="C91" s="42">
        <f t="shared" si="2"/>
        <v>107</v>
      </c>
      <c r="D91" s="42">
        <v>1</v>
      </c>
      <c r="E91" s="42"/>
      <c r="F91" s="42"/>
      <c r="G91" s="79" t="s">
        <v>756</v>
      </c>
      <c r="H91" s="42" t="s">
        <v>2033</v>
      </c>
      <c r="I91" s="42">
        <v>131</v>
      </c>
      <c r="J91" s="42">
        <v>5113</v>
      </c>
      <c r="K91" s="42" t="s">
        <v>21</v>
      </c>
      <c r="L91" s="42">
        <v>1</v>
      </c>
      <c r="M91" s="45">
        <v>107527</v>
      </c>
      <c r="N91" s="45">
        <f t="shared" si="3"/>
        <v>107527</v>
      </c>
      <c r="O91" s="46" t="s">
        <v>22</v>
      </c>
      <c r="P91" s="42">
        <v>88</v>
      </c>
    </row>
    <row r="92" spans="1:16" x14ac:dyDescent="0.25">
      <c r="A92" s="42" t="s">
        <v>18</v>
      </c>
      <c r="B92" s="43" t="s">
        <v>2050</v>
      </c>
      <c r="C92" s="42">
        <f t="shared" si="2"/>
        <v>108</v>
      </c>
      <c r="D92" s="42">
        <v>1</v>
      </c>
      <c r="E92" s="42"/>
      <c r="F92" s="42"/>
      <c r="G92" s="79" t="s">
        <v>1015</v>
      </c>
      <c r="H92" s="42" t="s">
        <v>2034</v>
      </c>
      <c r="I92" s="42">
        <v>131</v>
      </c>
      <c r="J92" s="42">
        <v>5113</v>
      </c>
      <c r="K92" s="42" t="s">
        <v>21</v>
      </c>
      <c r="L92" s="42">
        <v>1</v>
      </c>
      <c r="M92" s="45">
        <v>10752688</v>
      </c>
      <c r="N92" s="45">
        <f t="shared" si="3"/>
        <v>10752688</v>
      </c>
      <c r="O92" s="46" t="s">
        <v>22</v>
      </c>
      <c r="P92" s="42">
        <v>89</v>
      </c>
    </row>
    <row r="93" spans="1:16" x14ac:dyDescent="0.25">
      <c r="A93" s="42" t="s">
        <v>18</v>
      </c>
      <c r="B93" s="43" t="s">
        <v>2050</v>
      </c>
      <c r="C93" s="42">
        <f t="shared" si="2"/>
        <v>109</v>
      </c>
      <c r="D93" s="42">
        <v>1</v>
      </c>
      <c r="E93" s="42"/>
      <c r="F93" s="42"/>
      <c r="G93" s="79" t="s">
        <v>1015</v>
      </c>
      <c r="H93" s="42" t="s">
        <v>2035</v>
      </c>
      <c r="I93" s="42">
        <v>131</v>
      </c>
      <c r="J93" s="42">
        <v>5113</v>
      </c>
      <c r="K93" s="42" t="s">
        <v>21</v>
      </c>
      <c r="L93" s="42">
        <v>1</v>
      </c>
      <c r="M93" s="45">
        <v>107527</v>
      </c>
      <c r="N93" s="45">
        <f t="shared" si="3"/>
        <v>107527</v>
      </c>
      <c r="O93" s="46" t="s">
        <v>22</v>
      </c>
      <c r="P93" s="42">
        <v>90</v>
      </c>
    </row>
    <row r="94" spans="1:16" x14ac:dyDescent="0.25">
      <c r="A94" s="42" t="s">
        <v>18</v>
      </c>
      <c r="B94" s="43" t="s">
        <v>2051</v>
      </c>
      <c r="C94" s="42">
        <f t="shared" si="2"/>
        <v>110</v>
      </c>
      <c r="D94" s="42">
        <v>1</v>
      </c>
      <c r="E94" s="42"/>
      <c r="F94" s="42"/>
      <c r="G94" s="79" t="s">
        <v>1141</v>
      </c>
      <c r="H94" s="42" t="s">
        <v>2036</v>
      </c>
      <c r="I94" s="42">
        <v>131</v>
      </c>
      <c r="J94" s="42">
        <v>5113</v>
      </c>
      <c r="K94" s="42" t="s">
        <v>21</v>
      </c>
      <c r="L94" s="42">
        <v>1</v>
      </c>
      <c r="M94" s="45">
        <v>10752688</v>
      </c>
      <c r="N94" s="45">
        <f t="shared" si="3"/>
        <v>10752688</v>
      </c>
      <c r="O94" s="46" t="s">
        <v>22</v>
      </c>
      <c r="P94" s="42">
        <v>91</v>
      </c>
    </row>
    <row r="95" spans="1:16" x14ac:dyDescent="0.25">
      <c r="A95" s="42" t="s">
        <v>18</v>
      </c>
      <c r="B95" s="43" t="s">
        <v>2051</v>
      </c>
      <c r="C95" s="42">
        <f t="shared" si="2"/>
        <v>111</v>
      </c>
      <c r="D95" s="42">
        <v>1</v>
      </c>
      <c r="E95" s="42"/>
      <c r="F95" s="42"/>
      <c r="G95" s="79" t="s">
        <v>1141</v>
      </c>
      <c r="H95" s="42" t="s">
        <v>2037</v>
      </c>
      <c r="I95" s="42">
        <v>131</v>
      </c>
      <c r="J95" s="42">
        <v>5113</v>
      </c>
      <c r="K95" s="42" t="s">
        <v>21</v>
      </c>
      <c r="L95" s="42">
        <v>1</v>
      </c>
      <c r="M95" s="45">
        <v>107527</v>
      </c>
      <c r="N95" s="45">
        <f t="shared" si="3"/>
        <v>107527</v>
      </c>
      <c r="O95" s="46" t="s">
        <v>22</v>
      </c>
      <c r="P95" s="42">
        <v>92</v>
      </c>
    </row>
    <row r="96" spans="1:16" x14ac:dyDescent="0.25">
      <c r="A96" s="42" t="s">
        <v>18</v>
      </c>
      <c r="B96" s="43" t="s">
        <v>2051</v>
      </c>
      <c r="C96" s="42">
        <f t="shared" si="2"/>
        <v>112</v>
      </c>
      <c r="D96" s="42">
        <v>1</v>
      </c>
      <c r="E96" s="42"/>
      <c r="F96" s="42"/>
      <c r="G96" s="79" t="s">
        <v>756</v>
      </c>
      <c r="H96" s="42" t="s">
        <v>2038</v>
      </c>
      <c r="I96" s="42">
        <v>131</v>
      </c>
      <c r="J96" s="42">
        <v>5113</v>
      </c>
      <c r="K96" s="42" t="s">
        <v>21</v>
      </c>
      <c r="L96" s="42">
        <v>1</v>
      </c>
      <c r="M96" s="45">
        <v>10752688</v>
      </c>
      <c r="N96" s="45">
        <f t="shared" si="3"/>
        <v>10752688</v>
      </c>
      <c r="O96" s="46" t="s">
        <v>22</v>
      </c>
      <c r="P96" s="42">
        <v>93</v>
      </c>
    </row>
    <row r="97" spans="1:16" x14ac:dyDescent="0.25">
      <c r="A97" s="42" t="s">
        <v>18</v>
      </c>
      <c r="B97" s="43" t="s">
        <v>2051</v>
      </c>
      <c r="C97" s="42">
        <f t="shared" si="2"/>
        <v>113</v>
      </c>
      <c r="D97" s="42">
        <v>1</v>
      </c>
      <c r="E97" s="42"/>
      <c r="F97" s="42"/>
      <c r="G97" s="79" t="s">
        <v>756</v>
      </c>
      <c r="H97" s="42" t="s">
        <v>2039</v>
      </c>
      <c r="I97" s="42">
        <v>131</v>
      </c>
      <c r="J97" s="42">
        <v>5113</v>
      </c>
      <c r="K97" s="42" t="s">
        <v>21</v>
      </c>
      <c r="L97" s="42">
        <v>1</v>
      </c>
      <c r="M97" s="45">
        <v>107527</v>
      </c>
      <c r="N97" s="45">
        <f t="shared" si="3"/>
        <v>107527</v>
      </c>
      <c r="O97" s="46" t="s">
        <v>22</v>
      </c>
      <c r="P97" s="42">
        <v>94</v>
      </c>
    </row>
    <row r="98" spans="1:16" x14ac:dyDescent="0.25">
      <c r="A98" s="42" t="s">
        <v>18</v>
      </c>
      <c r="B98" s="43" t="s">
        <v>1425</v>
      </c>
      <c r="C98" s="42">
        <f t="shared" si="2"/>
        <v>114</v>
      </c>
      <c r="D98" s="42">
        <v>1</v>
      </c>
      <c r="E98" s="42"/>
      <c r="F98" s="42"/>
      <c r="G98" s="79" t="s">
        <v>607</v>
      </c>
      <c r="H98" s="42" t="s">
        <v>2040</v>
      </c>
      <c r="I98" s="42">
        <v>131</v>
      </c>
      <c r="J98" s="42">
        <v>5113</v>
      </c>
      <c r="K98" s="42" t="s">
        <v>21</v>
      </c>
      <c r="L98" s="42">
        <v>1</v>
      </c>
      <c r="M98" s="45">
        <v>10752688</v>
      </c>
      <c r="N98" s="45">
        <f t="shared" si="3"/>
        <v>10752688</v>
      </c>
      <c r="O98" s="46" t="s">
        <v>22</v>
      </c>
      <c r="P98" s="42">
        <v>95</v>
      </c>
    </row>
    <row r="99" spans="1:16" x14ac:dyDescent="0.25">
      <c r="A99" s="42" t="s">
        <v>18</v>
      </c>
      <c r="B99" s="43" t="s">
        <v>1425</v>
      </c>
      <c r="C99" s="42">
        <f t="shared" si="2"/>
        <v>115</v>
      </c>
      <c r="D99" s="42">
        <v>1</v>
      </c>
      <c r="E99" s="42"/>
      <c r="F99" s="42"/>
      <c r="G99" s="79" t="s">
        <v>607</v>
      </c>
      <c r="H99" s="42" t="s">
        <v>2041</v>
      </c>
      <c r="I99" s="42">
        <v>131</v>
      </c>
      <c r="J99" s="42">
        <v>5113</v>
      </c>
      <c r="K99" s="42" t="s">
        <v>21</v>
      </c>
      <c r="L99" s="42">
        <v>1</v>
      </c>
      <c r="M99" s="45">
        <v>107527</v>
      </c>
      <c r="N99" s="45">
        <f t="shared" si="3"/>
        <v>107527</v>
      </c>
      <c r="O99" s="46" t="s">
        <v>22</v>
      </c>
      <c r="P99" s="42">
        <v>96</v>
      </c>
    </row>
    <row r="100" spans="1:16" x14ac:dyDescent="0.25">
      <c r="A100" s="46" t="s">
        <v>18</v>
      </c>
      <c r="B100" s="47">
        <v>45869</v>
      </c>
      <c r="C100" s="42">
        <f t="shared" si="2"/>
        <v>116</v>
      </c>
      <c r="D100" s="42">
        <v>1</v>
      </c>
      <c r="E100" s="46"/>
      <c r="F100" s="46"/>
      <c r="G100" s="79" t="s">
        <v>252</v>
      </c>
      <c r="H100" s="46" t="s">
        <v>147</v>
      </c>
      <c r="I100" s="46">
        <v>64271</v>
      </c>
      <c r="J100" s="46">
        <v>3383</v>
      </c>
      <c r="K100" s="46" t="s">
        <v>21</v>
      </c>
      <c r="L100" s="46">
        <v>1</v>
      </c>
      <c r="M100" s="48">
        <v>690300</v>
      </c>
      <c r="N100" s="45">
        <f t="shared" si="3"/>
        <v>690300</v>
      </c>
      <c r="O100" s="46" t="s">
        <v>22</v>
      </c>
      <c r="P100" s="42">
        <v>97</v>
      </c>
    </row>
    <row r="101" spans="1:16" x14ac:dyDescent="0.25">
      <c r="A101" s="46" t="s">
        <v>18</v>
      </c>
      <c r="B101" s="47">
        <v>45900</v>
      </c>
      <c r="C101" s="42">
        <f t="shared" si="2"/>
        <v>117</v>
      </c>
      <c r="D101" s="42">
        <v>1</v>
      </c>
      <c r="E101" s="46"/>
      <c r="F101" s="46"/>
      <c r="G101" s="79" t="s">
        <v>252</v>
      </c>
      <c r="H101" s="46" t="s">
        <v>280</v>
      </c>
      <c r="I101" s="46">
        <v>64271</v>
      </c>
      <c r="J101" s="46">
        <v>3383</v>
      </c>
      <c r="K101" s="46" t="s">
        <v>21</v>
      </c>
      <c r="L101" s="46">
        <v>1</v>
      </c>
      <c r="M101" s="48">
        <v>690300</v>
      </c>
      <c r="N101" s="45">
        <f t="shared" si="3"/>
        <v>690300</v>
      </c>
      <c r="O101" s="46" t="s">
        <v>22</v>
      </c>
      <c r="P101" s="42">
        <v>98</v>
      </c>
    </row>
    <row r="102" spans="1:16" x14ac:dyDescent="0.25">
      <c r="A102" s="46" t="s">
        <v>18</v>
      </c>
      <c r="B102" s="47">
        <v>45930</v>
      </c>
      <c r="C102" s="42">
        <f t="shared" si="2"/>
        <v>118</v>
      </c>
      <c r="D102" s="42">
        <v>1</v>
      </c>
      <c r="E102" s="46"/>
      <c r="F102" s="46"/>
      <c r="G102" s="79" t="s">
        <v>252</v>
      </c>
      <c r="H102" s="46" t="s">
        <v>367</v>
      </c>
      <c r="I102" s="46">
        <v>64271</v>
      </c>
      <c r="J102" s="46">
        <v>3383</v>
      </c>
      <c r="K102" s="46" t="s">
        <v>21</v>
      </c>
      <c r="L102" s="46">
        <v>1</v>
      </c>
      <c r="M102" s="48">
        <v>690300</v>
      </c>
      <c r="N102" s="45">
        <f t="shared" si="3"/>
        <v>690300</v>
      </c>
      <c r="O102" s="46" t="s">
        <v>22</v>
      </c>
      <c r="P102" s="42">
        <v>99</v>
      </c>
    </row>
    <row r="103" spans="1:16" x14ac:dyDescent="0.25">
      <c r="A103" s="42" t="s">
        <v>33</v>
      </c>
      <c r="B103" s="43">
        <v>45845</v>
      </c>
      <c r="C103" s="42">
        <f t="shared" si="2"/>
        <v>119</v>
      </c>
      <c r="D103" s="42">
        <v>1</v>
      </c>
      <c r="E103" s="42"/>
      <c r="F103" s="42"/>
      <c r="G103" s="79" t="s">
        <v>751</v>
      </c>
      <c r="H103" s="42" t="s">
        <v>2052</v>
      </c>
      <c r="I103" s="42">
        <v>112111</v>
      </c>
      <c r="J103" s="42">
        <v>131</v>
      </c>
      <c r="K103" s="42" t="s">
        <v>21</v>
      </c>
      <c r="L103" s="42">
        <v>1</v>
      </c>
      <c r="M103" s="45">
        <v>10752688</v>
      </c>
      <c r="N103" s="45">
        <f t="shared" si="3"/>
        <v>10752688</v>
      </c>
      <c r="O103" s="46" t="s">
        <v>22</v>
      </c>
      <c r="P103" s="42">
        <v>100</v>
      </c>
    </row>
    <row r="104" spans="1:16" x14ac:dyDescent="0.25">
      <c r="A104" s="42" t="s">
        <v>33</v>
      </c>
      <c r="B104" s="43">
        <v>45846</v>
      </c>
      <c r="C104" s="42">
        <f t="shared" si="2"/>
        <v>120</v>
      </c>
      <c r="D104" s="42">
        <v>1</v>
      </c>
      <c r="E104" s="42"/>
      <c r="F104" s="42"/>
      <c r="G104" s="79" t="s">
        <v>1235</v>
      </c>
      <c r="H104" s="42" t="s">
        <v>2053</v>
      </c>
      <c r="I104" s="42">
        <v>112111</v>
      </c>
      <c r="J104" s="42">
        <v>3388</v>
      </c>
      <c r="K104" s="42" t="s">
        <v>21</v>
      </c>
      <c r="L104" s="42">
        <v>1</v>
      </c>
      <c r="M104" s="45">
        <v>10000000</v>
      </c>
      <c r="N104" s="45">
        <f t="shared" si="3"/>
        <v>10000000</v>
      </c>
      <c r="O104" s="46" t="s">
        <v>22</v>
      </c>
      <c r="P104" s="42">
        <v>101</v>
      </c>
    </row>
    <row r="105" spans="1:16" x14ac:dyDescent="0.25">
      <c r="A105" s="42" t="s">
        <v>89</v>
      </c>
      <c r="B105" s="43">
        <v>45846</v>
      </c>
      <c r="C105" s="42">
        <f t="shared" si="2"/>
        <v>121</v>
      </c>
      <c r="D105" s="42">
        <v>1</v>
      </c>
      <c r="E105" s="42"/>
      <c r="F105" s="42"/>
      <c r="G105" s="79" t="s">
        <v>1235</v>
      </c>
      <c r="H105" s="42" t="s">
        <v>2054</v>
      </c>
      <c r="I105" s="42">
        <v>3388</v>
      </c>
      <c r="J105" s="42">
        <v>112111</v>
      </c>
      <c r="K105" s="42" t="s">
        <v>21</v>
      </c>
      <c r="L105" s="42">
        <v>1</v>
      </c>
      <c r="M105" s="45">
        <v>10000000</v>
      </c>
      <c r="N105" s="45">
        <f t="shared" si="3"/>
        <v>10000000</v>
      </c>
      <c r="O105" s="46" t="s">
        <v>22</v>
      </c>
      <c r="P105" s="42">
        <v>102</v>
      </c>
    </row>
    <row r="106" spans="1:16" x14ac:dyDescent="0.25">
      <c r="A106" s="42" t="s">
        <v>33</v>
      </c>
      <c r="B106" s="43">
        <v>45857</v>
      </c>
      <c r="C106" s="42">
        <f t="shared" si="2"/>
        <v>122</v>
      </c>
      <c r="D106" s="42">
        <v>1</v>
      </c>
      <c r="E106" s="42"/>
      <c r="F106" s="42"/>
      <c r="G106" s="79" t="s">
        <v>2003</v>
      </c>
      <c r="H106" s="42" t="s">
        <v>2069</v>
      </c>
      <c r="I106" s="42">
        <v>112111</v>
      </c>
      <c r="J106" s="42">
        <v>131</v>
      </c>
      <c r="K106" s="42" t="s">
        <v>21</v>
      </c>
      <c r="L106" s="42">
        <v>1</v>
      </c>
      <c r="M106" s="45">
        <v>10752688</v>
      </c>
      <c r="N106" s="45">
        <f t="shared" si="3"/>
        <v>10752688</v>
      </c>
      <c r="O106" s="46" t="s">
        <v>22</v>
      </c>
      <c r="P106" s="42">
        <v>103</v>
      </c>
    </row>
    <row r="107" spans="1:16" x14ac:dyDescent="0.25">
      <c r="A107" s="42" t="s">
        <v>33</v>
      </c>
      <c r="B107" s="43">
        <v>45857</v>
      </c>
      <c r="C107" s="42">
        <f t="shared" si="2"/>
        <v>123</v>
      </c>
      <c r="D107" s="42">
        <v>1</v>
      </c>
      <c r="E107" s="42"/>
      <c r="F107" s="42"/>
      <c r="G107" s="79" t="s">
        <v>1077</v>
      </c>
      <c r="H107" s="42" t="s">
        <v>2055</v>
      </c>
      <c r="I107" s="42">
        <v>112111</v>
      </c>
      <c r="J107" s="42">
        <v>131</v>
      </c>
      <c r="K107" s="42" t="s">
        <v>21</v>
      </c>
      <c r="L107" s="42">
        <v>1</v>
      </c>
      <c r="M107" s="45">
        <v>20430107</v>
      </c>
      <c r="N107" s="45">
        <f t="shared" si="3"/>
        <v>20430107</v>
      </c>
      <c r="O107" s="46" t="s">
        <v>22</v>
      </c>
      <c r="P107" s="42">
        <v>104</v>
      </c>
    </row>
    <row r="108" spans="1:16" x14ac:dyDescent="0.25">
      <c r="A108" s="42" t="s">
        <v>33</v>
      </c>
      <c r="B108" s="43">
        <v>45861</v>
      </c>
      <c r="C108" s="42">
        <f t="shared" si="2"/>
        <v>124</v>
      </c>
      <c r="D108" s="42">
        <v>1</v>
      </c>
      <c r="E108" s="42"/>
      <c r="F108" s="42"/>
      <c r="G108" s="79" t="s">
        <v>1235</v>
      </c>
      <c r="H108" s="42" t="s">
        <v>2053</v>
      </c>
      <c r="I108" s="42">
        <v>112111</v>
      </c>
      <c r="J108" s="42">
        <v>131</v>
      </c>
      <c r="K108" s="42" t="s">
        <v>21</v>
      </c>
      <c r="L108" s="42">
        <v>1</v>
      </c>
      <c r="M108" s="45">
        <v>9000000</v>
      </c>
      <c r="N108" s="45">
        <f t="shared" si="3"/>
        <v>9000000</v>
      </c>
      <c r="O108" s="46" t="s">
        <v>22</v>
      </c>
      <c r="P108" s="42">
        <v>105</v>
      </c>
    </row>
    <row r="109" spans="1:16" x14ac:dyDescent="0.25">
      <c r="A109" s="42" t="s">
        <v>89</v>
      </c>
      <c r="B109" s="43">
        <v>45862</v>
      </c>
      <c r="C109" s="42">
        <f t="shared" si="2"/>
        <v>125</v>
      </c>
      <c r="D109" s="42">
        <v>1</v>
      </c>
      <c r="E109" s="42"/>
      <c r="F109" s="42"/>
      <c r="G109" s="79" t="s">
        <v>2057</v>
      </c>
      <c r="H109" s="42" t="s">
        <v>2056</v>
      </c>
      <c r="I109" s="42">
        <v>333821</v>
      </c>
      <c r="J109" s="42">
        <v>112111</v>
      </c>
      <c r="K109" s="42" t="s">
        <v>21</v>
      </c>
      <c r="L109" s="42">
        <v>1</v>
      </c>
      <c r="M109" s="45">
        <v>526875</v>
      </c>
      <c r="N109" s="45">
        <f t="shared" si="3"/>
        <v>526875</v>
      </c>
      <c r="O109" s="46" t="s">
        <v>22</v>
      </c>
      <c r="P109" s="42">
        <v>106</v>
      </c>
    </row>
    <row r="110" spans="1:16" x14ac:dyDescent="0.25">
      <c r="A110" s="42" t="s">
        <v>89</v>
      </c>
      <c r="B110" s="43">
        <v>45862</v>
      </c>
      <c r="C110" s="42">
        <f t="shared" si="2"/>
        <v>126</v>
      </c>
      <c r="D110" s="42">
        <v>1</v>
      </c>
      <c r="E110" s="42"/>
      <c r="F110" s="42"/>
      <c r="G110" s="79" t="s">
        <v>2057</v>
      </c>
      <c r="H110" s="42" t="s">
        <v>2056</v>
      </c>
      <c r="I110" s="42">
        <v>333821</v>
      </c>
      <c r="J110" s="42">
        <v>112111</v>
      </c>
      <c r="K110" s="42" t="s">
        <v>21</v>
      </c>
      <c r="L110" s="42">
        <v>1</v>
      </c>
      <c r="M110" s="45">
        <v>645151</v>
      </c>
      <c r="N110" s="45">
        <f t="shared" si="3"/>
        <v>645151</v>
      </c>
      <c r="O110" s="46" t="s">
        <v>22</v>
      </c>
      <c r="P110" s="42">
        <v>107</v>
      </c>
    </row>
    <row r="111" spans="1:16" x14ac:dyDescent="0.25">
      <c r="A111" s="42" t="s">
        <v>33</v>
      </c>
      <c r="B111" s="43">
        <v>45870</v>
      </c>
      <c r="C111" s="42">
        <f t="shared" si="2"/>
        <v>127</v>
      </c>
      <c r="D111" s="42">
        <v>1</v>
      </c>
      <c r="E111" s="42"/>
      <c r="F111" s="42"/>
      <c r="G111" s="79" t="s">
        <v>128</v>
      </c>
      <c r="H111" s="42" t="s">
        <v>129</v>
      </c>
      <c r="I111" s="42">
        <v>112111</v>
      </c>
      <c r="J111" s="42">
        <v>5154</v>
      </c>
      <c r="K111" s="42" t="s">
        <v>21</v>
      </c>
      <c r="L111" s="42">
        <v>1</v>
      </c>
      <c r="M111" s="44">
        <v>346</v>
      </c>
      <c r="N111" s="45">
        <f t="shared" si="3"/>
        <v>346</v>
      </c>
      <c r="O111" s="46" t="s">
        <v>22</v>
      </c>
      <c r="P111" s="42">
        <v>108</v>
      </c>
    </row>
    <row r="112" spans="1:16" x14ac:dyDescent="0.25">
      <c r="A112" s="42" t="s">
        <v>33</v>
      </c>
      <c r="B112" s="43">
        <v>45875</v>
      </c>
      <c r="C112" s="42">
        <f t="shared" si="2"/>
        <v>128</v>
      </c>
      <c r="D112" s="42">
        <v>1</v>
      </c>
      <c r="E112" s="42"/>
      <c r="F112" s="42"/>
      <c r="G112" s="79" t="s">
        <v>756</v>
      </c>
      <c r="H112" s="42" t="s">
        <v>2071</v>
      </c>
      <c r="I112" s="42">
        <v>112111</v>
      </c>
      <c r="J112" s="42">
        <v>131</v>
      </c>
      <c r="K112" s="42" t="s">
        <v>21</v>
      </c>
      <c r="L112" s="42">
        <v>1</v>
      </c>
      <c r="M112" s="45">
        <v>10752688</v>
      </c>
      <c r="N112" s="45">
        <f t="shared" si="3"/>
        <v>10752688</v>
      </c>
      <c r="O112" s="46" t="s">
        <v>22</v>
      </c>
      <c r="P112" s="42">
        <v>109</v>
      </c>
    </row>
    <row r="113" spans="1:16" x14ac:dyDescent="0.25">
      <c r="A113" s="42" t="s">
        <v>33</v>
      </c>
      <c r="B113" s="43">
        <v>45877</v>
      </c>
      <c r="C113" s="42">
        <f t="shared" si="2"/>
        <v>129</v>
      </c>
      <c r="D113" s="42">
        <v>1</v>
      </c>
      <c r="E113" s="42"/>
      <c r="F113" s="42"/>
      <c r="G113" s="79" t="s">
        <v>632</v>
      </c>
      <c r="H113" s="42" t="s">
        <v>2059</v>
      </c>
      <c r="I113" s="42">
        <v>112111</v>
      </c>
      <c r="J113" s="42">
        <v>131</v>
      </c>
      <c r="K113" s="42" t="s">
        <v>21</v>
      </c>
      <c r="L113" s="42">
        <v>1</v>
      </c>
      <c r="M113" s="45">
        <v>10752688</v>
      </c>
      <c r="N113" s="45">
        <f t="shared" si="3"/>
        <v>10752688</v>
      </c>
      <c r="O113" s="46" t="s">
        <v>22</v>
      </c>
      <c r="P113" s="42">
        <v>110</v>
      </c>
    </row>
    <row r="114" spans="1:16" x14ac:dyDescent="0.25">
      <c r="A114" s="42" t="s">
        <v>89</v>
      </c>
      <c r="B114" s="43">
        <v>45882</v>
      </c>
      <c r="C114" s="42">
        <f t="shared" si="2"/>
        <v>130</v>
      </c>
      <c r="D114" s="42">
        <v>1</v>
      </c>
      <c r="E114" s="42"/>
      <c r="F114" s="42"/>
      <c r="G114" s="79" t="s">
        <v>252</v>
      </c>
      <c r="H114" s="46" t="s">
        <v>604</v>
      </c>
      <c r="I114" s="46">
        <v>3383</v>
      </c>
      <c r="J114" s="42">
        <v>112111</v>
      </c>
      <c r="K114" s="42" t="s">
        <v>21</v>
      </c>
      <c r="L114" s="42">
        <v>1</v>
      </c>
      <c r="M114" s="45">
        <v>690300</v>
      </c>
      <c r="N114" s="45">
        <f t="shared" si="3"/>
        <v>690300</v>
      </c>
      <c r="O114" s="46" t="s">
        <v>22</v>
      </c>
      <c r="P114" s="42">
        <v>111</v>
      </c>
    </row>
    <row r="115" spans="1:16" x14ac:dyDescent="0.25">
      <c r="A115" s="42" t="s">
        <v>33</v>
      </c>
      <c r="B115" s="43">
        <v>45888</v>
      </c>
      <c r="C115" s="42">
        <f t="shared" si="2"/>
        <v>131</v>
      </c>
      <c r="D115" s="42">
        <v>1</v>
      </c>
      <c r="E115" s="42"/>
      <c r="F115" s="42"/>
      <c r="G115" s="79" t="s">
        <v>976</v>
      </c>
      <c r="H115" s="42" t="s">
        <v>2060</v>
      </c>
      <c r="I115" s="42">
        <v>112111</v>
      </c>
      <c r="J115" s="42">
        <v>131</v>
      </c>
      <c r="K115" s="42" t="s">
        <v>21</v>
      </c>
      <c r="L115" s="42">
        <v>1</v>
      </c>
      <c r="M115" s="45">
        <v>10752688</v>
      </c>
      <c r="N115" s="45">
        <f t="shared" si="3"/>
        <v>10752688</v>
      </c>
      <c r="O115" s="46" t="s">
        <v>22</v>
      </c>
      <c r="P115" s="42">
        <v>112</v>
      </c>
    </row>
    <row r="116" spans="1:16" x14ac:dyDescent="0.25">
      <c r="A116" s="42" t="s">
        <v>33</v>
      </c>
      <c r="B116" s="43">
        <v>45889</v>
      </c>
      <c r="C116" s="42">
        <f t="shared" si="2"/>
        <v>132</v>
      </c>
      <c r="D116" s="42">
        <v>1</v>
      </c>
      <c r="E116" s="42"/>
      <c r="F116" s="42"/>
      <c r="G116" s="79" t="s">
        <v>839</v>
      </c>
      <c r="H116" s="42" t="s">
        <v>2061</v>
      </c>
      <c r="I116" s="42">
        <v>112111</v>
      </c>
      <c r="J116" s="42">
        <v>131</v>
      </c>
      <c r="K116" s="42" t="s">
        <v>21</v>
      </c>
      <c r="L116" s="42">
        <v>1</v>
      </c>
      <c r="M116" s="45">
        <v>10645161</v>
      </c>
      <c r="N116" s="45">
        <f t="shared" si="3"/>
        <v>10645161</v>
      </c>
      <c r="O116" s="46" t="s">
        <v>22</v>
      </c>
      <c r="P116" s="42">
        <v>113</v>
      </c>
    </row>
    <row r="117" spans="1:16" x14ac:dyDescent="0.25">
      <c r="A117" s="42" t="s">
        <v>33</v>
      </c>
      <c r="B117" s="43">
        <v>45894</v>
      </c>
      <c r="C117" s="42">
        <f t="shared" si="2"/>
        <v>133</v>
      </c>
      <c r="D117" s="42">
        <v>1</v>
      </c>
      <c r="E117" s="42"/>
      <c r="F117" s="42"/>
      <c r="G117" s="79" t="s">
        <v>976</v>
      </c>
      <c r="H117" s="42" t="s">
        <v>2062</v>
      </c>
      <c r="I117" s="42">
        <v>112111</v>
      </c>
      <c r="J117" s="42">
        <v>131</v>
      </c>
      <c r="K117" s="42" t="s">
        <v>21</v>
      </c>
      <c r="L117" s="42">
        <v>1</v>
      </c>
      <c r="M117" s="45">
        <v>21505376</v>
      </c>
      <c r="N117" s="45">
        <f t="shared" si="3"/>
        <v>21505376</v>
      </c>
      <c r="O117" s="46" t="s">
        <v>22</v>
      </c>
      <c r="P117" s="42">
        <v>114</v>
      </c>
    </row>
    <row r="118" spans="1:16" x14ac:dyDescent="0.25">
      <c r="A118" s="42" t="s">
        <v>89</v>
      </c>
      <c r="B118" s="43">
        <v>45896</v>
      </c>
      <c r="C118" s="42">
        <f t="shared" si="2"/>
        <v>134</v>
      </c>
      <c r="D118" s="42">
        <v>1</v>
      </c>
      <c r="E118" s="42"/>
      <c r="F118" s="42"/>
      <c r="G118" s="79" t="s">
        <v>252</v>
      </c>
      <c r="H118" s="46" t="s">
        <v>281</v>
      </c>
      <c r="I118" s="46">
        <v>3383</v>
      </c>
      <c r="J118" s="42">
        <v>112111</v>
      </c>
      <c r="K118" s="42" t="s">
        <v>21</v>
      </c>
      <c r="L118" s="42">
        <v>1</v>
      </c>
      <c r="M118" s="45">
        <v>690300</v>
      </c>
      <c r="N118" s="45">
        <f t="shared" si="3"/>
        <v>690300</v>
      </c>
      <c r="O118" s="46" t="s">
        <v>22</v>
      </c>
      <c r="P118" s="42">
        <v>115</v>
      </c>
    </row>
    <row r="119" spans="1:16" x14ac:dyDescent="0.25">
      <c r="A119" s="42" t="s">
        <v>89</v>
      </c>
      <c r="B119" s="43">
        <v>45899</v>
      </c>
      <c r="C119" s="42">
        <f t="shared" si="2"/>
        <v>135</v>
      </c>
      <c r="D119" s="42">
        <v>1</v>
      </c>
      <c r="E119" s="42"/>
      <c r="F119" s="42"/>
      <c r="G119" s="79" t="s">
        <v>2058</v>
      </c>
      <c r="H119" s="42" t="s">
        <v>1008</v>
      </c>
      <c r="I119" s="42">
        <v>1111</v>
      </c>
      <c r="J119" s="42">
        <v>112111</v>
      </c>
      <c r="K119" s="46" t="s">
        <v>21</v>
      </c>
      <c r="L119" s="46">
        <v>1</v>
      </c>
      <c r="M119" s="45">
        <v>80000000</v>
      </c>
      <c r="N119" s="45">
        <f t="shared" si="3"/>
        <v>80000000</v>
      </c>
      <c r="O119" s="46" t="s">
        <v>22</v>
      </c>
      <c r="P119" s="42">
        <v>116</v>
      </c>
    </row>
    <row r="120" spans="1:16" x14ac:dyDescent="0.25">
      <c r="A120" s="42" t="s">
        <v>33</v>
      </c>
      <c r="B120" s="43">
        <v>45901</v>
      </c>
      <c r="C120" s="42">
        <f t="shared" si="2"/>
        <v>136</v>
      </c>
      <c r="D120" s="42">
        <v>1</v>
      </c>
      <c r="E120" s="42"/>
      <c r="F120" s="42"/>
      <c r="G120" s="79" t="s">
        <v>128</v>
      </c>
      <c r="H120" s="42" t="s">
        <v>129</v>
      </c>
      <c r="I120" s="42">
        <v>112111</v>
      </c>
      <c r="J120" s="42">
        <v>5154</v>
      </c>
      <c r="K120" s="42" t="s">
        <v>21</v>
      </c>
      <c r="L120" s="42">
        <v>1</v>
      </c>
      <c r="M120" s="44">
        <v>869</v>
      </c>
      <c r="N120" s="45">
        <f t="shared" si="3"/>
        <v>869</v>
      </c>
      <c r="O120" s="46" t="s">
        <v>22</v>
      </c>
      <c r="P120" s="42">
        <v>117</v>
      </c>
    </row>
    <row r="121" spans="1:16" x14ac:dyDescent="0.25">
      <c r="A121" s="42" t="s">
        <v>33</v>
      </c>
      <c r="B121" s="43">
        <v>45904</v>
      </c>
      <c r="C121" s="42">
        <f t="shared" si="2"/>
        <v>137</v>
      </c>
      <c r="D121" s="42">
        <v>1</v>
      </c>
      <c r="E121" s="42"/>
      <c r="F121" s="42"/>
      <c r="G121" s="79" t="s">
        <v>1068</v>
      </c>
      <c r="H121" s="42" t="s">
        <v>2063</v>
      </c>
      <c r="I121" s="42">
        <v>112111</v>
      </c>
      <c r="J121" s="42">
        <v>131</v>
      </c>
      <c r="K121" s="42" t="s">
        <v>21</v>
      </c>
      <c r="L121" s="42">
        <v>1</v>
      </c>
      <c r="M121" s="45">
        <v>10645161</v>
      </c>
      <c r="N121" s="45">
        <f t="shared" si="3"/>
        <v>10645161</v>
      </c>
      <c r="O121" s="46" t="s">
        <v>22</v>
      </c>
      <c r="P121" s="42">
        <v>118</v>
      </c>
    </row>
    <row r="122" spans="1:16" x14ac:dyDescent="0.25">
      <c r="A122" s="42" t="s">
        <v>89</v>
      </c>
      <c r="B122" s="43">
        <v>45906</v>
      </c>
      <c r="C122" s="42">
        <f t="shared" si="2"/>
        <v>138</v>
      </c>
      <c r="D122" s="42">
        <v>1</v>
      </c>
      <c r="E122" s="42"/>
      <c r="F122" s="42"/>
      <c r="G122" s="79" t="s">
        <v>2058</v>
      </c>
      <c r="H122" s="42" t="s">
        <v>1008</v>
      </c>
      <c r="I122" s="42">
        <v>1111</v>
      </c>
      <c r="J122" s="42">
        <v>112111</v>
      </c>
      <c r="K122" s="46" t="s">
        <v>21</v>
      </c>
      <c r="L122" s="46">
        <v>1</v>
      </c>
      <c r="M122" s="45">
        <v>20000000</v>
      </c>
      <c r="N122" s="45">
        <f t="shared" si="3"/>
        <v>20000000</v>
      </c>
      <c r="O122" s="46" t="s">
        <v>22</v>
      </c>
      <c r="P122" s="42">
        <v>119</v>
      </c>
    </row>
    <row r="123" spans="1:16" x14ac:dyDescent="0.25">
      <c r="A123" s="42" t="s">
        <v>89</v>
      </c>
      <c r="B123" s="43">
        <v>45906</v>
      </c>
      <c r="C123" s="42">
        <f t="shared" si="2"/>
        <v>139</v>
      </c>
      <c r="D123" s="42">
        <v>1</v>
      </c>
      <c r="E123" s="42"/>
      <c r="F123" s="42"/>
      <c r="G123" s="79" t="s">
        <v>2058</v>
      </c>
      <c r="H123" s="42" t="s">
        <v>1008</v>
      </c>
      <c r="I123" s="42">
        <v>1111</v>
      </c>
      <c r="J123" s="42">
        <v>112111</v>
      </c>
      <c r="K123" s="46" t="s">
        <v>21</v>
      </c>
      <c r="L123" s="46">
        <v>1</v>
      </c>
      <c r="M123" s="45">
        <v>20000000</v>
      </c>
      <c r="N123" s="45">
        <f t="shared" si="3"/>
        <v>20000000</v>
      </c>
      <c r="O123" s="46" t="s">
        <v>22</v>
      </c>
      <c r="P123" s="42">
        <v>120</v>
      </c>
    </row>
    <row r="124" spans="1:16" x14ac:dyDescent="0.25">
      <c r="A124" s="42" t="s">
        <v>89</v>
      </c>
      <c r="B124" s="43">
        <v>45908</v>
      </c>
      <c r="C124" s="42">
        <f t="shared" si="2"/>
        <v>140</v>
      </c>
      <c r="D124" s="42">
        <v>1</v>
      </c>
      <c r="E124" s="42"/>
      <c r="F124" s="42"/>
      <c r="G124" s="79" t="s">
        <v>2058</v>
      </c>
      <c r="H124" s="42" t="s">
        <v>1008</v>
      </c>
      <c r="I124" s="42">
        <v>1111</v>
      </c>
      <c r="J124" s="42">
        <v>112111</v>
      </c>
      <c r="K124" s="46" t="s">
        <v>21</v>
      </c>
      <c r="L124" s="46">
        <v>1</v>
      </c>
      <c r="M124" s="45">
        <v>20000000</v>
      </c>
      <c r="N124" s="45">
        <f t="shared" si="3"/>
        <v>20000000</v>
      </c>
      <c r="O124" s="46" t="s">
        <v>22</v>
      </c>
      <c r="P124" s="42">
        <v>121</v>
      </c>
    </row>
    <row r="125" spans="1:16" x14ac:dyDescent="0.25">
      <c r="A125" s="42" t="s">
        <v>33</v>
      </c>
      <c r="B125" s="43">
        <v>45908</v>
      </c>
      <c r="C125" s="42">
        <f t="shared" si="2"/>
        <v>141</v>
      </c>
      <c r="D125" s="42">
        <v>1</v>
      </c>
      <c r="E125" s="42"/>
      <c r="F125" s="42"/>
      <c r="G125" s="79" t="s">
        <v>2004</v>
      </c>
      <c r="H125" s="42" t="s">
        <v>2064</v>
      </c>
      <c r="I125" s="42">
        <v>112111</v>
      </c>
      <c r="J125" s="42">
        <v>131</v>
      </c>
      <c r="K125" s="42" t="s">
        <v>21</v>
      </c>
      <c r="L125" s="42">
        <v>1</v>
      </c>
      <c r="M125" s="45">
        <v>11496774</v>
      </c>
      <c r="N125" s="45">
        <f t="shared" si="3"/>
        <v>11496774</v>
      </c>
      <c r="O125" s="46" t="s">
        <v>22</v>
      </c>
      <c r="P125" s="42">
        <v>122</v>
      </c>
    </row>
    <row r="126" spans="1:16" x14ac:dyDescent="0.25">
      <c r="A126" s="42" t="s">
        <v>89</v>
      </c>
      <c r="B126" s="43">
        <v>45909</v>
      </c>
      <c r="C126" s="42">
        <f t="shared" si="2"/>
        <v>142</v>
      </c>
      <c r="D126" s="42">
        <v>1</v>
      </c>
      <c r="E126" s="42"/>
      <c r="F126" s="42"/>
      <c r="G126" s="79" t="s">
        <v>2058</v>
      </c>
      <c r="H126" s="42" t="s">
        <v>1008</v>
      </c>
      <c r="I126" s="42">
        <v>1111</v>
      </c>
      <c r="J126" s="42">
        <v>112111</v>
      </c>
      <c r="K126" s="46" t="s">
        <v>21</v>
      </c>
      <c r="L126" s="46">
        <v>1</v>
      </c>
      <c r="M126" s="45">
        <v>10000000</v>
      </c>
      <c r="N126" s="45">
        <f t="shared" si="3"/>
        <v>10000000</v>
      </c>
      <c r="O126" s="46" t="s">
        <v>22</v>
      </c>
      <c r="P126" s="42">
        <v>123</v>
      </c>
    </row>
    <row r="127" spans="1:16" x14ac:dyDescent="0.25">
      <c r="A127" s="42" t="s">
        <v>89</v>
      </c>
      <c r="B127" s="43">
        <v>45910</v>
      </c>
      <c r="C127" s="42">
        <f t="shared" si="2"/>
        <v>143</v>
      </c>
      <c r="D127" s="42">
        <v>1</v>
      </c>
      <c r="E127" s="42"/>
      <c r="F127" s="42"/>
      <c r="G127" s="79" t="s">
        <v>2058</v>
      </c>
      <c r="H127" s="42" t="s">
        <v>1008</v>
      </c>
      <c r="I127" s="42">
        <v>1111</v>
      </c>
      <c r="J127" s="42">
        <v>112111</v>
      </c>
      <c r="K127" s="46" t="s">
        <v>21</v>
      </c>
      <c r="L127" s="46">
        <v>1</v>
      </c>
      <c r="M127" s="45">
        <v>10000000</v>
      </c>
      <c r="N127" s="45">
        <f t="shared" si="3"/>
        <v>10000000</v>
      </c>
      <c r="O127" s="46" t="s">
        <v>22</v>
      </c>
      <c r="P127" s="42">
        <v>124</v>
      </c>
    </row>
    <row r="128" spans="1:16" x14ac:dyDescent="0.25">
      <c r="A128" s="42" t="s">
        <v>89</v>
      </c>
      <c r="B128" s="43">
        <v>45910</v>
      </c>
      <c r="C128" s="42">
        <f t="shared" si="2"/>
        <v>144</v>
      </c>
      <c r="D128" s="42">
        <v>1</v>
      </c>
      <c r="E128" s="42"/>
      <c r="F128" s="42"/>
      <c r="G128" s="79" t="s">
        <v>2057</v>
      </c>
      <c r="H128" s="42" t="s">
        <v>2056</v>
      </c>
      <c r="I128" s="42">
        <v>333821</v>
      </c>
      <c r="J128" s="42">
        <v>112111</v>
      </c>
      <c r="K128" s="42" t="s">
        <v>21</v>
      </c>
      <c r="L128" s="42">
        <v>1</v>
      </c>
      <c r="M128" s="44">
        <v>161</v>
      </c>
      <c r="N128" s="45">
        <f t="shared" si="3"/>
        <v>161</v>
      </c>
      <c r="O128" s="46" t="s">
        <v>22</v>
      </c>
      <c r="P128" s="42">
        <v>125</v>
      </c>
    </row>
    <row r="129" spans="1:16" x14ac:dyDescent="0.25">
      <c r="A129" s="42" t="s">
        <v>33</v>
      </c>
      <c r="B129" s="43">
        <v>45915</v>
      </c>
      <c r="C129" s="42">
        <f t="shared" si="2"/>
        <v>145</v>
      </c>
      <c r="D129" s="42">
        <v>1</v>
      </c>
      <c r="E129" s="42"/>
      <c r="F129" s="42"/>
      <c r="G129" s="79" t="s">
        <v>756</v>
      </c>
      <c r="H129" s="42" t="s">
        <v>2065</v>
      </c>
      <c r="I129" s="42">
        <v>112111</v>
      </c>
      <c r="J129" s="42">
        <v>131</v>
      </c>
      <c r="K129" s="42" t="s">
        <v>21</v>
      </c>
      <c r="L129" s="42">
        <v>1</v>
      </c>
      <c r="M129" s="45">
        <v>10645161</v>
      </c>
      <c r="N129" s="45">
        <f t="shared" si="3"/>
        <v>10645161</v>
      </c>
      <c r="O129" s="46" t="s">
        <v>22</v>
      </c>
      <c r="P129" s="42">
        <v>126</v>
      </c>
    </row>
    <row r="130" spans="1:16" x14ac:dyDescent="0.25">
      <c r="A130" s="42" t="s">
        <v>33</v>
      </c>
      <c r="B130" s="43">
        <v>45916</v>
      </c>
      <c r="C130" s="42">
        <f t="shared" si="2"/>
        <v>146</v>
      </c>
      <c r="D130" s="42">
        <v>1</v>
      </c>
      <c r="E130" s="42"/>
      <c r="F130" s="42"/>
      <c r="G130" s="79" t="s">
        <v>1015</v>
      </c>
      <c r="H130" s="42" t="s">
        <v>2068</v>
      </c>
      <c r="I130" s="42">
        <v>112111</v>
      </c>
      <c r="J130" s="42">
        <v>131</v>
      </c>
      <c r="K130" s="42" t="s">
        <v>21</v>
      </c>
      <c r="L130" s="42">
        <v>1</v>
      </c>
      <c r="M130" s="45">
        <v>10645161</v>
      </c>
      <c r="N130" s="45">
        <f t="shared" si="3"/>
        <v>10645161</v>
      </c>
      <c r="O130" s="46" t="s">
        <v>22</v>
      </c>
      <c r="P130" s="42">
        <v>127</v>
      </c>
    </row>
    <row r="131" spans="1:16" x14ac:dyDescent="0.25">
      <c r="A131" s="42" t="s">
        <v>33</v>
      </c>
      <c r="B131" s="43">
        <v>45916</v>
      </c>
      <c r="C131" s="42">
        <f t="shared" si="2"/>
        <v>147</v>
      </c>
      <c r="D131" s="42">
        <v>1</v>
      </c>
      <c r="E131" s="42"/>
      <c r="F131" s="42"/>
      <c r="G131" s="79" t="s">
        <v>756</v>
      </c>
      <c r="H131" s="42" t="s">
        <v>2066</v>
      </c>
      <c r="I131" s="42">
        <v>112111</v>
      </c>
      <c r="J131" s="42">
        <v>131</v>
      </c>
      <c r="K131" s="42" t="s">
        <v>21</v>
      </c>
      <c r="L131" s="42">
        <v>1</v>
      </c>
      <c r="M131" s="45">
        <v>10645161</v>
      </c>
      <c r="N131" s="45">
        <f t="shared" si="3"/>
        <v>10645161</v>
      </c>
      <c r="O131" s="46" t="s">
        <v>22</v>
      </c>
      <c r="P131" s="42">
        <v>128</v>
      </c>
    </row>
    <row r="132" spans="1:16" x14ac:dyDescent="0.25">
      <c r="A132" s="42" t="s">
        <v>33</v>
      </c>
      <c r="B132" s="43">
        <v>45923</v>
      </c>
      <c r="C132" s="42">
        <f t="shared" si="2"/>
        <v>148</v>
      </c>
      <c r="D132" s="42">
        <v>1</v>
      </c>
      <c r="E132" s="42"/>
      <c r="F132" s="42"/>
      <c r="G132" s="79" t="s">
        <v>1235</v>
      </c>
      <c r="H132" s="42" t="s">
        <v>2053</v>
      </c>
      <c r="I132" s="42">
        <v>112111</v>
      </c>
      <c r="J132" s="42">
        <v>3388</v>
      </c>
      <c r="K132" s="42" t="s">
        <v>21</v>
      </c>
      <c r="L132" s="42">
        <v>1</v>
      </c>
      <c r="M132" s="45">
        <v>10000000</v>
      </c>
      <c r="N132" s="45">
        <f t="shared" si="3"/>
        <v>10000000</v>
      </c>
      <c r="O132" s="46" t="s">
        <v>22</v>
      </c>
      <c r="P132" s="42">
        <v>129</v>
      </c>
    </row>
    <row r="133" spans="1:16" x14ac:dyDescent="0.25">
      <c r="A133" s="46" t="s">
        <v>89</v>
      </c>
      <c r="B133" s="43">
        <v>45924</v>
      </c>
      <c r="C133" s="42">
        <f t="shared" ref="C133:C138" si="4">C132+D133</f>
        <v>149</v>
      </c>
      <c r="D133" s="42">
        <v>1</v>
      </c>
      <c r="E133" s="46"/>
      <c r="F133" s="46"/>
      <c r="G133" s="79" t="s">
        <v>2058</v>
      </c>
      <c r="H133" s="42" t="s">
        <v>1008</v>
      </c>
      <c r="I133" s="42">
        <v>1111</v>
      </c>
      <c r="J133" s="42">
        <v>112111</v>
      </c>
      <c r="K133" s="46" t="s">
        <v>21</v>
      </c>
      <c r="L133" s="46">
        <v>1</v>
      </c>
      <c r="M133" s="45">
        <v>2000000</v>
      </c>
      <c r="N133" s="45">
        <f t="shared" ref="N133:N138" si="5">L133*M133</f>
        <v>2000000</v>
      </c>
      <c r="O133" s="46" t="s">
        <v>22</v>
      </c>
      <c r="P133" s="42">
        <v>130</v>
      </c>
    </row>
    <row r="134" spans="1:16" x14ac:dyDescent="0.25">
      <c r="A134" s="46" t="s">
        <v>89</v>
      </c>
      <c r="B134" s="43">
        <v>45925</v>
      </c>
      <c r="C134" s="42">
        <f t="shared" si="4"/>
        <v>150</v>
      </c>
      <c r="D134" s="42">
        <v>1</v>
      </c>
      <c r="E134" s="46"/>
      <c r="F134" s="46"/>
      <c r="G134" s="79" t="s">
        <v>1235</v>
      </c>
      <c r="H134" s="42" t="s">
        <v>2054</v>
      </c>
      <c r="I134" s="42">
        <v>3388</v>
      </c>
      <c r="J134" s="42">
        <v>112111</v>
      </c>
      <c r="K134" s="42" t="s">
        <v>21</v>
      </c>
      <c r="L134" s="42">
        <v>1</v>
      </c>
      <c r="M134" s="45">
        <v>10000000</v>
      </c>
      <c r="N134" s="45">
        <f t="shared" si="5"/>
        <v>10000000</v>
      </c>
      <c r="O134" s="46" t="s">
        <v>22</v>
      </c>
      <c r="P134" s="42">
        <v>131</v>
      </c>
    </row>
    <row r="135" spans="1:16" x14ac:dyDescent="0.25">
      <c r="A135" s="46" t="s">
        <v>89</v>
      </c>
      <c r="B135" s="43">
        <v>45926</v>
      </c>
      <c r="C135" s="42">
        <f t="shared" si="4"/>
        <v>151</v>
      </c>
      <c r="D135" s="42">
        <v>1</v>
      </c>
      <c r="E135" s="46"/>
      <c r="F135" s="46"/>
      <c r="G135" s="79" t="s">
        <v>2058</v>
      </c>
      <c r="H135" s="42" t="s">
        <v>1008</v>
      </c>
      <c r="I135" s="42">
        <v>1111</v>
      </c>
      <c r="J135" s="42">
        <v>112111</v>
      </c>
      <c r="K135" s="46" t="s">
        <v>21</v>
      </c>
      <c r="L135" s="46">
        <v>1</v>
      </c>
      <c r="M135" s="45">
        <v>10000000</v>
      </c>
      <c r="N135" s="45">
        <f t="shared" si="5"/>
        <v>10000000</v>
      </c>
      <c r="O135" s="46" t="s">
        <v>22</v>
      </c>
      <c r="P135" s="42">
        <v>132</v>
      </c>
    </row>
    <row r="136" spans="1:16" x14ac:dyDescent="0.25">
      <c r="A136" s="42" t="s">
        <v>89</v>
      </c>
      <c r="B136" s="43">
        <v>45927</v>
      </c>
      <c r="C136" s="42">
        <f t="shared" si="4"/>
        <v>152</v>
      </c>
      <c r="D136" s="42">
        <v>1</v>
      </c>
      <c r="E136" s="42"/>
      <c r="F136" s="42"/>
      <c r="G136" s="79" t="s">
        <v>252</v>
      </c>
      <c r="H136" s="46" t="s">
        <v>686</v>
      </c>
      <c r="I136" s="46">
        <v>3383</v>
      </c>
      <c r="J136" s="42">
        <v>112111</v>
      </c>
      <c r="K136" s="42" t="s">
        <v>21</v>
      </c>
      <c r="L136" s="42">
        <v>1</v>
      </c>
      <c r="M136" s="45">
        <v>690300</v>
      </c>
      <c r="N136" s="45">
        <f t="shared" si="5"/>
        <v>690300</v>
      </c>
      <c r="O136" s="46" t="s">
        <v>22</v>
      </c>
      <c r="P136" s="42">
        <v>133</v>
      </c>
    </row>
    <row r="137" spans="1:16" x14ac:dyDescent="0.25">
      <c r="A137" s="42" t="s">
        <v>33</v>
      </c>
      <c r="B137" s="43">
        <v>45927</v>
      </c>
      <c r="C137" s="42">
        <f t="shared" si="4"/>
        <v>153</v>
      </c>
      <c r="D137" s="42">
        <v>1</v>
      </c>
      <c r="E137" s="42"/>
      <c r="F137" s="42"/>
      <c r="G137" s="79" t="s">
        <v>1141</v>
      </c>
      <c r="H137" s="42" t="s">
        <v>2067</v>
      </c>
      <c r="I137" s="42">
        <v>112111</v>
      </c>
      <c r="J137" s="42">
        <v>131</v>
      </c>
      <c r="K137" s="42" t="s">
        <v>21</v>
      </c>
      <c r="L137" s="42">
        <v>1</v>
      </c>
      <c r="M137" s="45">
        <v>10645161</v>
      </c>
      <c r="N137" s="45">
        <f t="shared" si="5"/>
        <v>10645161</v>
      </c>
      <c r="O137" s="46" t="s">
        <v>22</v>
      </c>
      <c r="P137" s="42">
        <v>134</v>
      </c>
    </row>
    <row r="138" spans="1:16" x14ac:dyDescent="0.25">
      <c r="A138" s="42" t="s">
        <v>33</v>
      </c>
      <c r="B138" s="43">
        <v>45931</v>
      </c>
      <c r="C138" s="42">
        <f t="shared" si="4"/>
        <v>154</v>
      </c>
      <c r="D138" s="42">
        <v>1</v>
      </c>
      <c r="E138" s="42"/>
      <c r="F138" s="42"/>
      <c r="G138" s="79" t="s">
        <v>128</v>
      </c>
      <c r="H138" s="42" t="s">
        <v>129</v>
      </c>
      <c r="I138" s="42">
        <v>112111</v>
      </c>
      <c r="J138" s="42">
        <v>5154</v>
      </c>
      <c r="K138" s="42" t="s">
        <v>21</v>
      </c>
      <c r="L138" s="42">
        <v>1</v>
      </c>
      <c r="M138" s="44">
        <v>262</v>
      </c>
      <c r="N138" s="45">
        <f t="shared" si="5"/>
        <v>262</v>
      </c>
      <c r="O138" s="46" t="s">
        <v>22</v>
      </c>
      <c r="P138" s="42">
        <v>135</v>
      </c>
    </row>
  </sheetData>
  <autoFilter ref="A3:P138" xr:uid="{00000000-0009-0000-0000-000007000000}"/>
  <mergeCells count="13">
    <mergeCell ref="N1:N2"/>
    <mergeCell ref="G1:G2"/>
    <mergeCell ref="H1:H2"/>
    <mergeCell ref="I1:J1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P140"/>
  <sheetViews>
    <sheetView topLeftCell="A3" workbookViewId="0">
      <selection activeCell="A117" sqref="A117"/>
    </sheetView>
  </sheetViews>
  <sheetFormatPr defaultRowHeight="15" customHeight="1" x14ac:dyDescent="0.2"/>
  <cols>
    <col min="1" max="1" width="9.140625" style="24"/>
    <col min="2" max="2" width="10.7109375" style="83" bestFit="1" customWidth="1"/>
    <col min="3" max="6" width="9.140625" style="24"/>
    <col min="7" max="7" width="13.140625" style="37" bestFit="1" customWidth="1"/>
    <col min="8" max="8" width="47.5703125" style="24" customWidth="1"/>
    <col min="9" max="12" width="9.140625" style="24"/>
    <col min="13" max="14" width="13.28515625" style="82" bestFit="1" customWidth="1"/>
    <col min="15" max="15" width="11.28515625" style="24" bestFit="1" customWidth="1"/>
    <col min="16" max="16384" width="9.140625" style="24"/>
  </cols>
  <sheetData>
    <row r="1" spans="1:16" ht="15" customHeight="1" thickBot="1" x14ac:dyDescent="0.25">
      <c r="A1" s="177" t="s">
        <v>0</v>
      </c>
      <c r="B1" s="188" t="s">
        <v>1</v>
      </c>
      <c r="C1" s="177" t="s">
        <v>2</v>
      </c>
      <c r="D1" s="175" t="s">
        <v>3</v>
      </c>
      <c r="E1" s="175" t="s">
        <v>4</v>
      </c>
      <c r="F1" s="175" t="s">
        <v>5</v>
      </c>
      <c r="G1" s="180" t="s">
        <v>6</v>
      </c>
      <c r="H1" s="182" t="s">
        <v>7</v>
      </c>
      <c r="I1" s="184" t="s">
        <v>8</v>
      </c>
      <c r="J1" s="185"/>
      <c r="K1" s="177" t="s">
        <v>9</v>
      </c>
      <c r="L1" s="177" t="s">
        <v>10</v>
      </c>
      <c r="M1" s="186" t="s">
        <v>1287</v>
      </c>
      <c r="N1" s="186" t="s">
        <v>1288</v>
      </c>
      <c r="O1" s="49" t="s">
        <v>1289</v>
      </c>
      <c r="P1" s="42"/>
    </row>
    <row r="2" spans="1:16" ht="15" customHeight="1" thickBot="1" x14ac:dyDescent="0.25">
      <c r="A2" s="178"/>
      <c r="B2" s="189"/>
      <c r="C2" s="178"/>
      <c r="D2" s="179"/>
      <c r="E2" s="179"/>
      <c r="F2" s="176"/>
      <c r="G2" s="181"/>
      <c r="H2" s="183"/>
      <c r="I2" s="50" t="s">
        <v>13</v>
      </c>
      <c r="J2" s="51" t="s">
        <v>14</v>
      </c>
      <c r="K2" s="178"/>
      <c r="L2" s="178"/>
      <c r="M2" s="187"/>
      <c r="N2" s="187"/>
      <c r="O2" s="42" t="s">
        <v>1289</v>
      </c>
      <c r="P2" s="42"/>
    </row>
    <row r="3" spans="1:16" ht="15" customHeight="1" x14ac:dyDescent="0.2">
      <c r="A3" s="52"/>
      <c r="B3" s="87"/>
      <c r="C3" s="52">
        <v>93</v>
      </c>
      <c r="D3" s="53"/>
      <c r="E3" s="53"/>
      <c r="F3" s="53"/>
      <c r="G3" s="78" t="s">
        <v>15</v>
      </c>
      <c r="H3" s="54"/>
      <c r="I3" s="54"/>
      <c r="J3" s="54"/>
      <c r="K3" s="52"/>
      <c r="L3" s="52"/>
      <c r="M3" s="81"/>
      <c r="N3" s="81"/>
      <c r="O3" s="42" t="s">
        <v>16</v>
      </c>
      <c r="P3" s="42" t="s">
        <v>17</v>
      </c>
    </row>
    <row r="4" spans="1:16" ht="15" hidden="1" customHeight="1" x14ac:dyDescent="0.2">
      <c r="A4" s="24" t="s">
        <v>18</v>
      </c>
      <c r="B4" s="83" t="s">
        <v>2042</v>
      </c>
      <c r="C4" s="24">
        <v>192</v>
      </c>
      <c r="G4" s="37" t="s">
        <v>55</v>
      </c>
      <c r="H4" s="24" t="s">
        <v>2084</v>
      </c>
      <c r="I4" s="24">
        <v>131</v>
      </c>
      <c r="J4" s="24">
        <v>5113</v>
      </c>
      <c r="K4" s="24" t="s">
        <v>21</v>
      </c>
      <c r="L4" s="24">
        <v>1</v>
      </c>
      <c r="M4" s="82">
        <v>11290323</v>
      </c>
      <c r="N4" s="82">
        <f t="shared" ref="N4:N35" si="0">M4*L4</f>
        <v>11290323</v>
      </c>
      <c r="O4" s="24" t="s">
        <v>22</v>
      </c>
      <c r="P4" s="24">
        <v>1</v>
      </c>
    </row>
    <row r="5" spans="1:16" ht="15" hidden="1" customHeight="1" x14ac:dyDescent="0.2">
      <c r="A5" s="24" t="s">
        <v>18</v>
      </c>
      <c r="B5" s="83" t="s">
        <v>2072</v>
      </c>
      <c r="C5" s="24">
        <v>199</v>
      </c>
      <c r="G5" s="37" t="s">
        <v>2079</v>
      </c>
      <c r="H5" s="24" t="s">
        <v>2085</v>
      </c>
      <c r="I5" s="24">
        <v>131</v>
      </c>
      <c r="J5" s="24">
        <v>5113</v>
      </c>
      <c r="K5" s="24" t="s">
        <v>21</v>
      </c>
      <c r="L5" s="24">
        <v>1</v>
      </c>
      <c r="M5" s="82">
        <v>11290323</v>
      </c>
      <c r="N5" s="82">
        <f t="shared" si="0"/>
        <v>11290323</v>
      </c>
      <c r="O5" s="24" t="s">
        <v>22</v>
      </c>
      <c r="P5" s="24">
        <v>2</v>
      </c>
    </row>
    <row r="6" spans="1:16" ht="15" hidden="1" customHeight="1" x14ac:dyDescent="0.2">
      <c r="A6" s="24" t="s">
        <v>18</v>
      </c>
      <c r="B6" s="83" t="s">
        <v>2073</v>
      </c>
      <c r="C6" s="24">
        <v>204</v>
      </c>
      <c r="G6" s="37" t="s">
        <v>96</v>
      </c>
      <c r="H6" s="24" t="s">
        <v>2086</v>
      </c>
      <c r="I6" s="24">
        <v>131</v>
      </c>
      <c r="J6" s="24">
        <v>5113</v>
      </c>
      <c r="K6" s="24" t="s">
        <v>21</v>
      </c>
      <c r="L6" s="24">
        <v>1</v>
      </c>
      <c r="M6" s="82">
        <v>11290323</v>
      </c>
      <c r="N6" s="82">
        <f t="shared" si="0"/>
        <v>11290323</v>
      </c>
      <c r="O6" s="24" t="s">
        <v>22</v>
      </c>
      <c r="P6" s="24">
        <v>3</v>
      </c>
    </row>
    <row r="7" spans="1:16" ht="15" hidden="1" customHeight="1" x14ac:dyDescent="0.2">
      <c r="A7" s="24" t="s">
        <v>18</v>
      </c>
      <c r="B7" s="83" t="s">
        <v>2073</v>
      </c>
      <c r="C7" s="24">
        <v>205</v>
      </c>
      <c r="G7" s="37" t="s">
        <v>96</v>
      </c>
      <c r="H7" s="24" t="s">
        <v>2087</v>
      </c>
      <c r="I7" s="24">
        <v>131</v>
      </c>
      <c r="J7" s="24">
        <v>5113</v>
      </c>
      <c r="K7" s="24" t="s">
        <v>21</v>
      </c>
      <c r="L7" s="24">
        <v>1</v>
      </c>
      <c r="M7" s="82">
        <v>11290323</v>
      </c>
      <c r="N7" s="82">
        <f t="shared" si="0"/>
        <v>11290323</v>
      </c>
      <c r="O7" s="24" t="s">
        <v>22</v>
      </c>
      <c r="P7" s="24">
        <v>4</v>
      </c>
    </row>
    <row r="8" spans="1:16" ht="15" hidden="1" customHeight="1" x14ac:dyDescent="0.2">
      <c r="A8" s="24" t="s">
        <v>18</v>
      </c>
      <c r="B8" s="83" t="s">
        <v>2073</v>
      </c>
      <c r="C8" s="24">
        <v>206</v>
      </c>
      <c r="G8" s="37" t="s">
        <v>1136</v>
      </c>
      <c r="H8" s="24" t="s">
        <v>2088</v>
      </c>
      <c r="I8" s="24">
        <v>131</v>
      </c>
      <c r="J8" s="24">
        <v>5113</v>
      </c>
      <c r="K8" s="24" t="s">
        <v>21</v>
      </c>
      <c r="L8" s="24">
        <v>1</v>
      </c>
      <c r="M8" s="82">
        <v>11290322</v>
      </c>
      <c r="N8" s="82">
        <f t="shared" si="0"/>
        <v>11290322</v>
      </c>
      <c r="O8" s="24" t="s">
        <v>22</v>
      </c>
      <c r="P8" s="24">
        <v>5</v>
      </c>
    </row>
    <row r="9" spans="1:16" ht="15" hidden="1" customHeight="1" x14ac:dyDescent="0.2">
      <c r="A9" s="24" t="s">
        <v>18</v>
      </c>
      <c r="B9" s="83" t="s">
        <v>2043</v>
      </c>
      <c r="C9" s="24">
        <v>219</v>
      </c>
      <c r="G9" s="37" t="s">
        <v>2080</v>
      </c>
      <c r="H9" s="24" t="s">
        <v>2089</v>
      </c>
      <c r="I9" s="24">
        <v>131</v>
      </c>
      <c r="J9" s="24">
        <v>5113</v>
      </c>
      <c r="K9" s="24" t="s">
        <v>21</v>
      </c>
      <c r="L9" s="24">
        <v>1</v>
      </c>
      <c r="M9" s="82">
        <v>15591398</v>
      </c>
      <c r="N9" s="82">
        <f t="shared" si="0"/>
        <v>15591398</v>
      </c>
      <c r="O9" s="24" t="s">
        <v>22</v>
      </c>
      <c r="P9" s="24">
        <v>6</v>
      </c>
    </row>
    <row r="10" spans="1:16" ht="15" hidden="1" customHeight="1" x14ac:dyDescent="0.2">
      <c r="A10" s="24" t="s">
        <v>18</v>
      </c>
      <c r="B10" s="83" t="s">
        <v>2043</v>
      </c>
      <c r="C10" s="24">
        <v>220</v>
      </c>
      <c r="G10" s="37" t="s">
        <v>632</v>
      </c>
      <c r="H10" s="24" t="s">
        <v>2090</v>
      </c>
      <c r="I10" s="24">
        <v>131</v>
      </c>
      <c r="J10" s="24">
        <v>5113</v>
      </c>
      <c r="K10" s="24" t="s">
        <v>21</v>
      </c>
      <c r="L10" s="24">
        <v>1</v>
      </c>
      <c r="M10" s="82">
        <v>13440860</v>
      </c>
      <c r="N10" s="82">
        <f t="shared" si="0"/>
        <v>13440860</v>
      </c>
      <c r="O10" s="24" t="s">
        <v>22</v>
      </c>
      <c r="P10" s="24">
        <v>7</v>
      </c>
    </row>
    <row r="11" spans="1:16" ht="15" hidden="1" customHeight="1" x14ac:dyDescent="0.2">
      <c r="A11" s="24" t="s">
        <v>18</v>
      </c>
      <c r="B11" s="83" t="s">
        <v>2074</v>
      </c>
      <c r="C11" s="24">
        <v>223</v>
      </c>
      <c r="G11" s="37" t="s">
        <v>96</v>
      </c>
      <c r="H11" s="24" t="s">
        <v>2091</v>
      </c>
      <c r="I11" s="24">
        <v>131</v>
      </c>
      <c r="J11" s="24">
        <v>5113</v>
      </c>
      <c r="K11" s="24" t="s">
        <v>21</v>
      </c>
      <c r="L11" s="24">
        <v>1</v>
      </c>
      <c r="M11" s="82">
        <v>11290323</v>
      </c>
      <c r="N11" s="82">
        <f t="shared" si="0"/>
        <v>11290323</v>
      </c>
      <c r="O11" s="24" t="s">
        <v>22</v>
      </c>
      <c r="P11" s="24">
        <v>8</v>
      </c>
    </row>
    <row r="12" spans="1:16" ht="15" hidden="1" customHeight="1" x14ac:dyDescent="0.2">
      <c r="A12" s="24" t="s">
        <v>18</v>
      </c>
      <c r="B12" s="83" t="s">
        <v>1412</v>
      </c>
      <c r="C12" s="24">
        <v>171</v>
      </c>
      <c r="G12" s="37" t="s">
        <v>756</v>
      </c>
      <c r="H12" s="24" t="s">
        <v>2092</v>
      </c>
      <c r="I12" s="24">
        <v>131</v>
      </c>
      <c r="J12" s="24">
        <v>5113</v>
      </c>
      <c r="K12" s="24" t="s">
        <v>21</v>
      </c>
      <c r="L12" s="24">
        <v>1</v>
      </c>
      <c r="M12" s="82">
        <v>11290323</v>
      </c>
      <c r="N12" s="82">
        <f t="shared" si="0"/>
        <v>11290323</v>
      </c>
      <c r="O12" s="24" t="s">
        <v>22</v>
      </c>
      <c r="P12" s="24">
        <v>9</v>
      </c>
    </row>
    <row r="13" spans="1:16" ht="15" hidden="1" customHeight="1" x14ac:dyDescent="0.2">
      <c r="A13" s="24" t="s">
        <v>18</v>
      </c>
      <c r="B13" s="83" t="s">
        <v>1412</v>
      </c>
      <c r="C13" s="24">
        <v>172</v>
      </c>
      <c r="G13" s="37" t="s">
        <v>756</v>
      </c>
      <c r="H13" s="24" t="s">
        <v>2093</v>
      </c>
      <c r="I13" s="24">
        <v>333821</v>
      </c>
      <c r="J13" s="24">
        <v>131</v>
      </c>
      <c r="K13" s="24" t="s">
        <v>21</v>
      </c>
      <c r="L13" s="24">
        <v>1</v>
      </c>
      <c r="M13" s="82">
        <v>112903</v>
      </c>
      <c r="N13" s="82">
        <f t="shared" si="0"/>
        <v>112903</v>
      </c>
      <c r="O13" s="24" t="s">
        <v>22</v>
      </c>
      <c r="P13" s="24">
        <v>10</v>
      </c>
    </row>
    <row r="14" spans="1:16" ht="15" hidden="1" customHeight="1" x14ac:dyDescent="0.2">
      <c r="A14" s="24" t="s">
        <v>18</v>
      </c>
      <c r="B14" s="83" t="s">
        <v>2075</v>
      </c>
      <c r="C14" s="24">
        <v>175</v>
      </c>
      <c r="G14" s="37" t="s">
        <v>2079</v>
      </c>
      <c r="H14" s="24" t="s">
        <v>2094</v>
      </c>
      <c r="I14" s="24">
        <v>131</v>
      </c>
      <c r="J14" s="24">
        <v>5113</v>
      </c>
      <c r="K14" s="24" t="s">
        <v>21</v>
      </c>
      <c r="L14" s="24">
        <v>1</v>
      </c>
      <c r="M14" s="82">
        <v>2688172</v>
      </c>
      <c r="N14" s="82">
        <f t="shared" si="0"/>
        <v>2688172</v>
      </c>
      <c r="O14" s="24" t="s">
        <v>22</v>
      </c>
      <c r="P14" s="24">
        <v>11</v>
      </c>
    </row>
    <row r="15" spans="1:16" ht="15" hidden="1" customHeight="1" x14ac:dyDescent="0.2">
      <c r="A15" s="24" t="s">
        <v>18</v>
      </c>
      <c r="B15" s="83" t="s">
        <v>1534</v>
      </c>
      <c r="C15" s="24">
        <v>202</v>
      </c>
      <c r="G15" s="37" t="s">
        <v>627</v>
      </c>
      <c r="H15" s="24" t="s">
        <v>2216</v>
      </c>
      <c r="I15" s="24">
        <v>131</v>
      </c>
      <c r="J15" s="24">
        <v>5113</v>
      </c>
      <c r="K15" s="24" t="s">
        <v>21</v>
      </c>
      <c r="L15" s="24">
        <v>1</v>
      </c>
      <c r="M15" s="82">
        <v>11290322</v>
      </c>
      <c r="N15" s="82">
        <f t="shared" si="0"/>
        <v>11290322</v>
      </c>
      <c r="O15" s="24" t="s">
        <v>22</v>
      </c>
      <c r="P15" s="24">
        <v>12</v>
      </c>
    </row>
    <row r="16" spans="1:16" ht="15" hidden="1" customHeight="1" x14ac:dyDescent="0.2">
      <c r="A16" s="24" t="s">
        <v>18</v>
      </c>
      <c r="B16" s="83" t="s">
        <v>1534</v>
      </c>
      <c r="C16" s="24">
        <v>203</v>
      </c>
      <c r="G16" s="37" t="s">
        <v>627</v>
      </c>
      <c r="H16" s="24" t="s">
        <v>2217</v>
      </c>
      <c r="I16" s="24">
        <v>333821</v>
      </c>
      <c r="J16" s="24">
        <v>131</v>
      </c>
      <c r="K16" s="24" t="s">
        <v>21</v>
      </c>
      <c r="L16" s="24">
        <v>1</v>
      </c>
      <c r="M16" s="82">
        <v>112903</v>
      </c>
      <c r="N16" s="82">
        <f t="shared" si="0"/>
        <v>112903</v>
      </c>
      <c r="O16" s="24" t="s">
        <v>22</v>
      </c>
      <c r="P16" s="24">
        <v>13</v>
      </c>
    </row>
    <row r="17" spans="1:16" ht="15" hidden="1" customHeight="1" x14ac:dyDescent="0.2">
      <c r="A17" s="24" t="s">
        <v>18</v>
      </c>
      <c r="B17" s="83" t="s">
        <v>2047</v>
      </c>
      <c r="C17" s="24">
        <v>211</v>
      </c>
      <c r="G17" s="37" t="s">
        <v>96</v>
      </c>
      <c r="H17" s="24" t="s">
        <v>2109</v>
      </c>
      <c r="I17" s="24">
        <v>131</v>
      </c>
      <c r="J17" s="24">
        <v>5113</v>
      </c>
      <c r="K17" s="24" t="s">
        <v>21</v>
      </c>
      <c r="L17" s="24">
        <v>1</v>
      </c>
      <c r="M17" s="82">
        <v>35806452</v>
      </c>
      <c r="N17" s="82">
        <f t="shared" si="0"/>
        <v>35806452</v>
      </c>
      <c r="O17" s="24" t="s">
        <v>22</v>
      </c>
      <c r="P17" s="24">
        <v>14</v>
      </c>
    </row>
    <row r="18" spans="1:16" ht="15" hidden="1" customHeight="1" x14ac:dyDescent="0.2">
      <c r="A18" s="24" t="s">
        <v>18</v>
      </c>
      <c r="B18" s="83" t="s">
        <v>2047</v>
      </c>
      <c r="C18" s="24">
        <v>212</v>
      </c>
      <c r="G18" s="37" t="s">
        <v>1434</v>
      </c>
      <c r="H18" s="24" t="s">
        <v>2095</v>
      </c>
      <c r="I18" s="24">
        <v>131</v>
      </c>
      <c r="J18" s="24">
        <v>5113</v>
      </c>
      <c r="K18" s="24" t="s">
        <v>21</v>
      </c>
      <c r="L18" s="24">
        <v>1</v>
      </c>
      <c r="M18" s="82">
        <v>12365591</v>
      </c>
      <c r="N18" s="82">
        <f t="shared" si="0"/>
        <v>12365591</v>
      </c>
      <c r="O18" s="24" t="s">
        <v>22</v>
      </c>
      <c r="P18" s="24">
        <v>15</v>
      </c>
    </row>
    <row r="19" spans="1:16" ht="15" hidden="1" customHeight="1" x14ac:dyDescent="0.2">
      <c r="A19" s="24" t="s">
        <v>18</v>
      </c>
      <c r="B19" s="83" t="s">
        <v>2047</v>
      </c>
      <c r="C19" s="24">
        <v>213</v>
      </c>
      <c r="G19" s="37" t="s">
        <v>1434</v>
      </c>
      <c r="H19" s="24" t="s">
        <v>2096</v>
      </c>
      <c r="I19" s="24">
        <v>333821</v>
      </c>
      <c r="J19" s="24">
        <v>131</v>
      </c>
      <c r="K19" s="24" t="s">
        <v>21</v>
      </c>
      <c r="L19" s="24">
        <v>1</v>
      </c>
      <c r="M19" s="82">
        <v>123656</v>
      </c>
      <c r="N19" s="82">
        <f t="shared" si="0"/>
        <v>123656</v>
      </c>
      <c r="O19" s="24" t="s">
        <v>22</v>
      </c>
      <c r="P19" s="24">
        <v>16</v>
      </c>
    </row>
    <row r="20" spans="1:16" ht="15" hidden="1" customHeight="1" x14ac:dyDescent="0.2">
      <c r="A20" s="24" t="s">
        <v>18</v>
      </c>
      <c r="B20" s="83" t="s">
        <v>1417</v>
      </c>
      <c r="C20" s="24">
        <v>226</v>
      </c>
      <c r="G20" s="37" t="s">
        <v>756</v>
      </c>
      <c r="H20" s="24" t="s">
        <v>2097</v>
      </c>
      <c r="I20" s="24">
        <v>131</v>
      </c>
      <c r="J20" s="24">
        <v>5113</v>
      </c>
      <c r="K20" s="24" t="s">
        <v>21</v>
      </c>
      <c r="L20" s="24">
        <v>1</v>
      </c>
      <c r="M20" s="82">
        <v>2795699</v>
      </c>
      <c r="N20" s="82">
        <f t="shared" si="0"/>
        <v>2795699</v>
      </c>
      <c r="O20" s="24" t="s">
        <v>22</v>
      </c>
      <c r="P20" s="24">
        <v>17</v>
      </c>
    </row>
    <row r="21" spans="1:16" ht="15" hidden="1" customHeight="1" x14ac:dyDescent="0.2">
      <c r="A21" s="24" t="s">
        <v>18</v>
      </c>
      <c r="B21" s="83" t="s">
        <v>1417</v>
      </c>
      <c r="C21" s="24">
        <v>227</v>
      </c>
      <c r="G21" s="37" t="s">
        <v>756</v>
      </c>
      <c r="H21" s="24" t="s">
        <v>2098</v>
      </c>
      <c r="I21" s="24">
        <v>333821</v>
      </c>
      <c r="J21" s="24">
        <v>131</v>
      </c>
      <c r="K21" s="24" t="s">
        <v>21</v>
      </c>
      <c r="L21" s="24">
        <v>1</v>
      </c>
      <c r="M21" s="82">
        <v>27957</v>
      </c>
      <c r="N21" s="82">
        <f t="shared" si="0"/>
        <v>27957</v>
      </c>
      <c r="O21" s="24" t="s">
        <v>22</v>
      </c>
      <c r="P21" s="24">
        <v>18</v>
      </c>
    </row>
    <row r="22" spans="1:16" ht="15" hidden="1" customHeight="1" x14ac:dyDescent="0.2">
      <c r="A22" s="24" t="s">
        <v>18</v>
      </c>
      <c r="B22" s="83" t="s">
        <v>2076</v>
      </c>
      <c r="C22" s="24">
        <v>228</v>
      </c>
      <c r="G22" s="37" t="s">
        <v>96</v>
      </c>
      <c r="H22" s="24" t="s">
        <v>2110</v>
      </c>
      <c r="I22" s="24">
        <v>131</v>
      </c>
      <c r="J22" s="24">
        <v>5113</v>
      </c>
      <c r="K22" s="24" t="s">
        <v>21</v>
      </c>
      <c r="L22" s="24">
        <v>1</v>
      </c>
      <c r="M22" s="82">
        <v>11827957</v>
      </c>
      <c r="N22" s="82">
        <f t="shared" si="0"/>
        <v>11827957</v>
      </c>
      <c r="O22" s="24" t="s">
        <v>22</v>
      </c>
      <c r="P22" s="24">
        <v>19</v>
      </c>
    </row>
    <row r="23" spans="1:16" ht="15" hidden="1" customHeight="1" x14ac:dyDescent="0.2">
      <c r="A23" s="24" t="s">
        <v>18</v>
      </c>
      <c r="B23" s="83" t="s">
        <v>2077</v>
      </c>
      <c r="C23" s="24">
        <v>151</v>
      </c>
      <c r="G23" s="37" t="s">
        <v>96</v>
      </c>
      <c r="H23" s="24" t="s">
        <v>2111</v>
      </c>
      <c r="I23" s="24">
        <v>131</v>
      </c>
      <c r="J23" s="24">
        <v>5113</v>
      </c>
      <c r="K23" s="24" t="s">
        <v>21</v>
      </c>
      <c r="L23" s="24">
        <v>1</v>
      </c>
      <c r="M23" s="82">
        <v>11827957</v>
      </c>
      <c r="N23" s="82">
        <f t="shared" si="0"/>
        <v>11827957</v>
      </c>
      <c r="O23" s="24" t="s">
        <v>22</v>
      </c>
      <c r="P23" s="24">
        <v>20</v>
      </c>
    </row>
    <row r="24" spans="1:16" ht="15" hidden="1" customHeight="1" x14ac:dyDescent="0.2">
      <c r="A24" s="24" t="s">
        <v>18</v>
      </c>
      <c r="B24" s="83" t="s">
        <v>2077</v>
      </c>
      <c r="C24" s="24">
        <v>152</v>
      </c>
      <c r="G24" s="37" t="s">
        <v>96</v>
      </c>
      <c r="H24" s="24" t="s">
        <v>2112</v>
      </c>
      <c r="I24" s="24">
        <v>131</v>
      </c>
      <c r="J24" s="24">
        <v>5113</v>
      </c>
      <c r="K24" s="24" t="s">
        <v>21</v>
      </c>
      <c r="L24" s="24">
        <v>1</v>
      </c>
      <c r="M24" s="82">
        <v>12365591</v>
      </c>
      <c r="N24" s="82">
        <f t="shared" si="0"/>
        <v>12365591</v>
      </c>
      <c r="O24" s="24" t="s">
        <v>22</v>
      </c>
      <c r="P24" s="24">
        <v>21</v>
      </c>
    </row>
    <row r="25" spans="1:16" ht="15" hidden="1" customHeight="1" x14ac:dyDescent="0.2">
      <c r="A25" s="24" t="s">
        <v>18</v>
      </c>
      <c r="B25" s="83" t="s">
        <v>1421</v>
      </c>
      <c r="C25" s="24">
        <v>167</v>
      </c>
      <c r="G25" s="37" t="s">
        <v>646</v>
      </c>
      <c r="H25" s="24" t="s">
        <v>2099</v>
      </c>
      <c r="I25" s="24">
        <v>131</v>
      </c>
      <c r="J25" s="24">
        <v>5113</v>
      </c>
      <c r="K25" s="24" t="s">
        <v>21</v>
      </c>
      <c r="L25" s="24">
        <v>1</v>
      </c>
      <c r="M25" s="82">
        <v>12365591</v>
      </c>
      <c r="N25" s="82">
        <f t="shared" si="0"/>
        <v>12365591</v>
      </c>
      <c r="O25" s="24" t="s">
        <v>22</v>
      </c>
      <c r="P25" s="24">
        <v>22</v>
      </c>
    </row>
    <row r="26" spans="1:16" ht="15" hidden="1" customHeight="1" x14ac:dyDescent="0.2">
      <c r="A26" s="24" t="s">
        <v>18</v>
      </c>
      <c r="B26" s="83" t="s">
        <v>1421</v>
      </c>
      <c r="C26" s="24">
        <v>168</v>
      </c>
      <c r="G26" s="37" t="s">
        <v>646</v>
      </c>
      <c r="H26" s="24" t="s">
        <v>2100</v>
      </c>
      <c r="I26" s="24">
        <v>333821</v>
      </c>
      <c r="J26" s="24">
        <v>131</v>
      </c>
      <c r="K26" s="24" t="s">
        <v>21</v>
      </c>
      <c r="L26" s="24">
        <v>1</v>
      </c>
      <c r="M26" s="82">
        <v>123656</v>
      </c>
      <c r="N26" s="82">
        <f t="shared" si="0"/>
        <v>123656</v>
      </c>
      <c r="O26" s="24" t="s">
        <v>22</v>
      </c>
      <c r="P26" s="24">
        <v>23</v>
      </c>
    </row>
    <row r="27" spans="1:16" ht="15" hidden="1" customHeight="1" x14ac:dyDescent="0.2">
      <c r="A27" s="24" t="s">
        <v>18</v>
      </c>
      <c r="B27" s="83" t="s">
        <v>1421</v>
      </c>
      <c r="C27" s="24">
        <v>169</v>
      </c>
      <c r="G27" s="37" t="s">
        <v>1539</v>
      </c>
      <c r="H27" s="24" t="s">
        <v>2101</v>
      </c>
      <c r="I27" s="24">
        <v>131</v>
      </c>
      <c r="J27" s="24">
        <v>5113</v>
      </c>
      <c r="K27" s="24" t="s">
        <v>21</v>
      </c>
      <c r="L27" s="24">
        <v>1</v>
      </c>
      <c r="M27" s="82">
        <v>12365591</v>
      </c>
      <c r="N27" s="82">
        <f t="shared" si="0"/>
        <v>12365591</v>
      </c>
      <c r="O27" s="24" t="s">
        <v>22</v>
      </c>
      <c r="P27" s="24">
        <v>24</v>
      </c>
    </row>
    <row r="28" spans="1:16" ht="15" hidden="1" customHeight="1" x14ac:dyDescent="0.2">
      <c r="A28" s="24" t="s">
        <v>18</v>
      </c>
      <c r="B28" s="83" t="s">
        <v>1421</v>
      </c>
      <c r="C28" s="24">
        <v>170</v>
      </c>
      <c r="G28" s="37" t="s">
        <v>1539</v>
      </c>
      <c r="H28" s="24" t="s">
        <v>2102</v>
      </c>
      <c r="I28" s="24">
        <v>333821</v>
      </c>
      <c r="J28" s="24">
        <v>131</v>
      </c>
      <c r="K28" s="24" t="s">
        <v>21</v>
      </c>
      <c r="L28" s="24">
        <v>1</v>
      </c>
      <c r="M28" s="82">
        <v>123656</v>
      </c>
      <c r="N28" s="82">
        <f t="shared" si="0"/>
        <v>123656</v>
      </c>
      <c r="O28" s="24" t="s">
        <v>22</v>
      </c>
      <c r="P28" s="24">
        <v>25</v>
      </c>
    </row>
    <row r="29" spans="1:16" ht="15" hidden="1" customHeight="1" x14ac:dyDescent="0.2">
      <c r="A29" s="24" t="s">
        <v>18</v>
      </c>
      <c r="B29" s="83" t="s">
        <v>1423</v>
      </c>
      <c r="C29" s="24">
        <v>180</v>
      </c>
      <c r="G29" s="37" t="s">
        <v>2081</v>
      </c>
      <c r="H29" s="24" t="s">
        <v>2103</v>
      </c>
      <c r="I29" s="24">
        <v>131</v>
      </c>
      <c r="J29" s="24">
        <v>5113</v>
      </c>
      <c r="K29" s="24" t="s">
        <v>21</v>
      </c>
      <c r="L29" s="24">
        <v>1</v>
      </c>
      <c r="M29" s="82">
        <v>11827957</v>
      </c>
      <c r="N29" s="82">
        <f t="shared" si="0"/>
        <v>11827957</v>
      </c>
      <c r="O29" s="24" t="s">
        <v>22</v>
      </c>
      <c r="P29" s="24">
        <v>26</v>
      </c>
    </row>
    <row r="30" spans="1:16" ht="15" hidden="1" customHeight="1" x14ac:dyDescent="0.2">
      <c r="A30" s="24" t="s">
        <v>18</v>
      </c>
      <c r="B30" s="83" t="s">
        <v>1423</v>
      </c>
      <c r="C30" s="24">
        <v>181</v>
      </c>
      <c r="G30" s="37" t="s">
        <v>2081</v>
      </c>
      <c r="H30" s="24" t="s">
        <v>2104</v>
      </c>
      <c r="I30" s="24">
        <v>333821</v>
      </c>
      <c r="J30" s="24">
        <v>131</v>
      </c>
      <c r="K30" s="24" t="s">
        <v>21</v>
      </c>
      <c r="L30" s="24">
        <v>1</v>
      </c>
      <c r="M30" s="82">
        <v>118280</v>
      </c>
      <c r="N30" s="82">
        <f t="shared" si="0"/>
        <v>118280</v>
      </c>
      <c r="O30" s="24" t="s">
        <v>22</v>
      </c>
      <c r="P30" s="24">
        <v>27</v>
      </c>
    </row>
    <row r="31" spans="1:16" ht="15" hidden="1" customHeight="1" x14ac:dyDescent="0.2">
      <c r="A31" s="24" t="s">
        <v>18</v>
      </c>
      <c r="B31" s="83" t="s">
        <v>1423</v>
      </c>
      <c r="C31" s="24">
        <v>182</v>
      </c>
      <c r="G31" s="37" t="s">
        <v>2082</v>
      </c>
      <c r="H31" s="24" t="s">
        <v>2105</v>
      </c>
      <c r="I31" s="24">
        <v>131</v>
      </c>
      <c r="J31" s="24">
        <v>5113</v>
      </c>
      <c r="K31" s="24" t="s">
        <v>21</v>
      </c>
      <c r="L31" s="24">
        <v>1</v>
      </c>
      <c r="M31" s="82">
        <v>13440861</v>
      </c>
      <c r="N31" s="82">
        <f t="shared" si="0"/>
        <v>13440861</v>
      </c>
      <c r="O31" s="24" t="s">
        <v>22</v>
      </c>
      <c r="P31" s="24">
        <v>28</v>
      </c>
    </row>
    <row r="32" spans="1:16" ht="15" hidden="1" customHeight="1" x14ac:dyDescent="0.2">
      <c r="A32" s="24" t="s">
        <v>18</v>
      </c>
      <c r="B32" s="83" t="s">
        <v>1423</v>
      </c>
      <c r="C32" s="24">
        <v>183</v>
      </c>
      <c r="G32" s="37" t="s">
        <v>2082</v>
      </c>
      <c r="H32" s="24" t="s">
        <v>2106</v>
      </c>
      <c r="I32" s="24">
        <v>333821</v>
      </c>
      <c r="J32" s="24">
        <v>131</v>
      </c>
      <c r="K32" s="24" t="s">
        <v>21</v>
      </c>
      <c r="L32" s="24">
        <v>1</v>
      </c>
      <c r="M32" s="82">
        <v>134409</v>
      </c>
      <c r="N32" s="82">
        <f t="shared" si="0"/>
        <v>134409</v>
      </c>
      <c r="O32" s="24" t="s">
        <v>22</v>
      </c>
      <c r="P32" s="24">
        <v>29</v>
      </c>
    </row>
    <row r="33" spans="1:16" ht="15" hidden="1" customHeight="1" x14ac:dyDescent="0.2">
      <c r="A33" s="24" t="s">
        <v>18</v>
      </c>
      <c r="B33" s="83" t="s">
        <v>2050</v>
      </c>
      <c r="C33" s="24">
        <v>186</v>
      </c>
      <c r="G33" s="37" t="s">
        <v>2083</v>
      </c>
      <c r="H33" s="24" t="s">
        <v>2107</v>
      </c>
      <c r="I33" s="24">
        <v>131</v>
      </c>
      <c r="J33" s="24">
        <v>5113</v>
      </c>
      <c r="K33" s="24" t="s">
        <v>21</v>
      </c>
      <c r="L33" s="24">
        <v>1</v>
      </c>
      <c r="M33" s="82">
        <v>11827957</v>
      </c>
      <c r="N33" s="82">
        <f t="shared" si="0"/>
        <v>11827957</v>
      </c>
      <c r="O33" s="24" t="s">
        <v>22</v>
      </c>
      <c r="P33" s="24">
        <v>30</v>
      </c>
    </row>
    <row r="34" spans="1:16" ht="15" hidden="1" customHeight="1" x14ac:dyDescent="0.2">
      <c r="A34" s="24" t="s">
        <v>18</v>
      </c>
      <c r="B34" s="83" t="s">
        <v>2050</v>
      </c>
      <c r="C34" s="24">
        <v>187</v>
      </c>
      <c r="G34" s="37" t="s">
        <v>2083</v>
      </c>
      <c r="H34" s="24" t="s">
        <v>2108</v>
      </c>
      <c r="I34" s="24">
        <v>333821</v>
      </c>
      <c r="J34" s="24">
        <v>131</v>
      </c>
      <c r="K34" s="24" t="s">
        <v>21</v>
      </c>
      <c r="L34" s="24">
        <v>1</v>
      </c>
      <c r="M34" s="82">
        <v>118280</v>
      </c>
      <c r="N34" s="82">
        <f t="shared" si="0"/>
        <v>118280</v>
      </c>
      <c r="O34" s="24" t="s">
        <v>22</v>
      </c>
      <c r="P34" s="24">
        <v>31</v>
      </c>
    </row>
    <row r="35" spans="1:16" ht="15" hidden="1" customHeight="1" x14ac:dyDescent="0.2">
      <c r="A35" s="24" t="s">
        <v>18</v>
      </c>
      <c r="B35" s="83" t="s">
        <v>2078</v>
      </c>
      <c r="C35" s="24">
        <v>216</v>
      </c>
      <c r="G35" s="37" t="s">
        <v>96</v>
      </c>
      <c r="H35" s="24" t="s">
        <v>2113</v>
      </c>
      <c r="I35" s="24">
        <v>131</v>
      </c>
      <c r="J35" s="24">
        <v>5113</v>
      </c>
      <c r="K35" s="24" t="s">
        <v>21</v>
      </c>
      <c r="L35" s="24">
        <v>1</v>
      </c>
      <c r="M35" s="82">
        <v>12365591</v>
      </c>
      <c r="N35" s="82">
        <f t="shared" si="0"/>
        <v>12365591</v>
      </c>
      <c r="O35" s="24" t="s">
        <v>22</v>
      </c>
      <c r="P35" s="24">
        <v>32</v>
      </c>
    </row>
    <row r="36" spans="1:16" ht="15" hidden="1" customHeight="1" x14ac:dyDescent="0.2">
      <c r="A36" s="24" t="s">
        <v>18</v>
      </c>
      <c r="B36" s="83" t="s">
        <v>2114</v>
      </c>
      <c r="C36" s="24">
        <v>221</v>
      </c>
      <c r="G36" s="37" t="s">
        <v>2127</v>
      </c>
      <c r="H36" s="24" t="s">
        <v>2144</v>
      </c>
      <c r="I36" s="24">
        <v>64276</v>
      </c>
      <c r="J36" s="24">
        <v>331</v>
      </c>
      <c r="K36" s="24" t="s">
        <v>21</v>
      </c>
      <c r="L36" s="24">
        <v>1</v>
      </c>
      <c r="M36" s="82">
        <v>2396000</v>
      </c>
      <c r="N36" s="82">
        <f t="shared" ref="N36:N64" si="1">M36*L36</f>
        <v>2396000</v>
      </c>
      <c r="O36" s="24" t="s">
        <v>22</v>
      </c>
      <c r="P36" s="24">
        <v>33</v>
      </c>
    </row>
    <row r="37" spans="1:16" ht="15" hidden="1" customHeight="1" x14ac:dyDescent="0.2">
      <c r="A37" s="24" t="s">
        <v>18</v>
      </c>
      <c r="B37" s="83" t="s">
        <v>2115</v>
      </c>
      <c r="C37" s="24">
        <v>163</v>
      </c>
      <c r="G37" s="37" t="s">
        <v>1678</v>
      </c>
      <c r="H37" s="24" t="s">
        <v>2145</v>
      </c>
      <c r="I37" s="24">
        <v>64277</v>
      </c>
      <c r="J37" s="24">
        <v>331</v>
      </c>
      <c r="K37" s="24" t="s">
        <v>21</v>
      </c>
      <c r="L37" s="24">
        <v>1</v>
      </c>
      <c r="M37" s="82">
        <v>1814400</v>
      </c>
      <c r="N37" s="82">
        <f t="shared" si="1"/>
        <v>1814400</v>
      </c>
      <c r="O37" s="24" t="s">
        <v>22</v>
      </c>
      <c r="P37" s="24">
        <v>34</v>
      </c>
    </row>
    <row r="38" spans="1:16" ht="15" hidden="1" customHeight="1" x14ac:dyDescent="0.2">
      <c r="A38" s="24" t="s">
        <v>18</v>
      </c>
      <c r="B38" s="83" t="s">
        <v>2116</v>
      </c>
      <c r="C38" s="24">
        <v>176</v>
      </c>
      <c r="G38" s="37" t="s">
        <v>1939</v>
      </c>
      <c r="H38" s="24" t="s">
        <v>2146</v>
      </c>
      <c r="I38" s="24">
        <v>64277</v>
      </c>
      <c r="J38" s="24">
        <v>331</v>
      </c>
      <c r="K38" s="24" t="s">
        <v>21</v>
      </c>
      <c r="L38" s="24">
        <v>1</v>
      </c>
      <c r="M38" s="82">
        <v>870004</v>
      </c>
      <c r="N38" s="82">
        <f t="shared" si="1"/>
        <v>870004</v>
      </c>
      <c r="O38" s="24" t="s">
        <v>22</v>
      </c>
      <c r="P38" s="24">
        <v>35</v>
      </c>
    </row>
    <row r="39" spans="1:16" ht="15" hidden="1" customHeight="1" x14ac:dyDescent="0.2">
      <c r="A39" s="24" t="s">
        <v>18</v>
      </c>
      <c r="B39" s="83" t="s">
        <v>2117</v>
      </c>
      <c r="C39" s="24">
        <v>178</v>
      </c>
      <c r="G39" s="37" t="s">
        <v>2128</v>
      </c>
      <c r="H39" s="24" t="s">
        <v>2167</v>
      </c>
      <c r="I39" s="24">
        <v>64277</v>
      </c>
      <c r="J39" s="24">
        <v>331</v>
      </c>
      <c r="K39" s="24" t="s">
        <v>21</v>
      </c>
      <c r="L39" s="24">
        <v>1</v>
      </c>
      <c r="M39" s="82">
        <v>9900000</v>
      </c>
      <c r="N39" s="82">
        <f t="shared" si="1"/>
        <v>9900000</v>
      </c>
      <c r="O39" s="24" t="s">
        <v>22</v>
      </c>
      <c r="P39" s="24">
        <v>36</v>
      </c>
    </row>
    <row r="40" spans="1:16" ht="15" hidden="1" customHeight="1" x14ac:dyDescent="0.2">
      <c r="A40" s="24" t="s">
        <v>18</v>
      </c>
      <c r="B40" s="83" t="s">
        <v>1532</v>
      </c>
      <c r="C40" s="24">
        <v>184</v>
      </c>
      <c r="G40" s="37" t="s">
        <v>174</v>
      </c>
      <c r="H40" s="24" t="s">
        <v>2147</v>
      </c>
      <c r="I40" s="24">
        <v>64277</v>
      </c>
      <c r="J40" s="24">
        <v>331</v>
      </c>
      <c r="K40" s="24" t="s">
        <v>21</v>
      </c>
      <c r="L40" s="24">
        <v>1</v>
      </c>
      <c r="M40" s="82">
        <v>291600</v>
      </c>
      <c r="N40" s="82">
        <f t="shared" si="1"/>
        <v>291600</v>
      </c>
      <c r="O40" s="24" t="s">
        <v>22</v>
      </c>
      <c r="P40" s="24">
        <v>37</v>
      </c>
    </row>
    <row r="41" spans="1:16" ht="15" hidden="1" customHeight="1" x14ac:dyDescent="0.2">
      <c r="A41" s="24" t="s">
        <v>18</v>
      </c>
      <c r="B41" s="83" t="s">
        <v>2042</v>
      </c>
      <c r="C41" s="24">
        <v>193</v>
      </c>
      <c r="G41" s="37" t="s">
        <v>2129</v>
      </c>
      <c r="H41" s="24" t="s">
        <v>2169</v>
      </c>
      <c r="I41" s="24">
        <v>64277</v>
      </c>
      <c r="J41" s="24">
        <v>331</v>
      </c>
      <c r="K41" s="24" t="s">
        <v>21</v>
      </c>
      <c r="L41" s="24">
        <v>1</v>
      </c>
      <c r="M41" s="82">
        <v>620000</v>
      </c>
      <c r="N41" s="82">
        <f t="shared" si="1"/>
        <v>620000</v>
      </c>
      <c r="O41" s="24" t="s">
        <v>22</v>
      </c>
      <c r="P41" s="24">
        <v>38</v>
      </c>
    </row>
    <row r="42" spans="1:16" ht="15" hidden="1" customHeight="1" x14ac:dyDescent="0.2">
      <c r="A42" s="24" t="s">
        <v>18</v>
      </c>
      <c r="B42" s="83" t="s">
        <v>2073</v>
      </c>
      <c r="C42" s="24">
        <v>207</v>
      </c>
      <c r="G42" s="37" t="s">
        <v>2130</v>
      </c>
      <c r="H42" s="24" t="s">
        <v>2148</v>
      </c>
      <c r="I42" s="24">
        <v>64277</v>
      </c>
      <c r="J42" s="24">
        <v>331</v>
      </c>
      <c r="K42" s="24" t="s">
        <v>21</v>
      </c>
      <c r="L42" s="24">
        <v>1</v>
      </c>
      <c r="M42" s="82">
        <v>548640</v>
      </c>
      <c r="N42" s="82">
        <f t="shared" si="1"/>
        <v>548640</v>
      </c>
      <c r="O42" s="24" t="s">
        <v>22</v>
      </c>
      <c r="P42" s="24">
        <v>39</v>
      </c>
    </row>
    <row r="43" spans="1:16" ht="15" hidden="1" customHeight="1" x14ac:dyDescent="0.2">
      <c r="A43" s="24" t="s">
        <v>18</v>
      </c>
      <c r="B43" s="83" t="s">
        <v>2073</v>
      </c>
      <c r="C43" s="24">
        <v>208</v>
      </c>
      <c r="G43" s="37" t="s">
        <v>85</v>
      </c>
      <c r="H43" s="24" t="s">
        <v>2149</v>
      </c>
      <c r="I43" s="24">
        <v>64277</v>
      </c>
      <c r="J43" s="24">
        <v>331</v>
      </c>
      <c r="K43" s="24" t="s">
        <v>21</v>
      </c>
      <c r="L43" s="24">
        <v>1</v>
      </c>
      <c r="M43" s="82">
        <v>2493720</v>
      </c>
      <c r="N43" s="82">
        <f t="shared" si="1"/>
        <v>2493720</v>
      </c>
      <c r="O43" s="24" t="s">
        <v>22</v>
      </c>
      <c r="P43" s="24">
        <v>40</v>
      </c>
    </row>
    <row r="44" spans="1:16" ht="15" hidden="1" customHeight="1" x14ac:dyDescent="0.2">
      <c r="A44" s="24" t="s">
        <v>18</v>
      </c>
      <c r="B44" s="83" t="s">
        <v>2074</v>
      </c>
      <c r="C44" s="24">
        <v>224</v>
      </c>
      <c r="G44" s="37" t="s">
        <v>2131</v>
      </c>
      <c r="H44" s="24" t="s">
        <v>2150</v>
      </c>
      <c r="I44" s="24">
        <v>64277</v>
      </c>
      <c r="J44" s="24">
        <v>331</v>
      </c>
      <c r="K44" s="24" t="s">
        <v>21</v>
      </c>
      <c r="L44" s="24">
        <v>1</v>
      </c>
      <c r="M44" s="82">
        <v>592000</v>
      </c>
      <c r="N44" s="82">
        <f t="shared" si="1"/>
        <v>592000</v>
      </c>
      <c r="O44" s="24" t="s">
        <v>22</v>
      </c>
      <c r="P44" s="24">
        <v>41</v>
      </c>
    </row>
    <row r="45" spans="1:16" ht="15" hidden="1" customHeight="1" x14ac:dyDescent="0.2">
      <c r="A45" s="24" t="s">
        <v>18</v>
      </c>
      <c r="B45" s="83" t="s">
        <v>2118</v>
      </c>
      <c r="C45" s="24">
        <v>143</v>
      </c>
      <c r="G45" s="37" t="s">
        <v>158</v>
      </c>
      <c r="H45" s="24" t="s">
        <v>2142</v>
      </c>
      <c r="I45" s="24">
        <v>64277</v>
      </c>
      <c r="J45" s="24">
        <v>331</v>
      </c>
      <c r="K45" s="24" t="s">
        <v>21</v>
      </c>
      <c r="L45" s="24">
        <v>1</v>
      </c>
      <c r="M45" s="82">
        <v>2700000</v>
      </c>
      <c r="N45" s="82">
        <f t="shared" si="1"/>
        <v>2700000</v>
      </c>
      <c r="O45" s="24" t="s">
        <v>22</v>
      </c>
      <c r="P45" s="24">
        <v>42</v>
      </c>
    </row>
    <row r="46" spans="1:16" ht="15" hidden="1" customHeight="1" x14ac:dyDescent="0.2">
      <c r="A46" s="24" t="s">
        <v>18</v>
      </c>
      <c r="B46" s="83" t="s">
        <v>2119</v>
      </c>
      <c r="C46" s="24">
        <v>229</v>
      </c>
      <c r="G46" s="37" t="s">
        <v>158</v>
      </c>
      <c r="H46" s="24" t="s">
        <v>2143</v>
      </c>
      <c r="I46" s="24">
        <v>64277</v>
      </c>
      <c r="J46" s="24">
        <v>331</v>
      </c>
      <c r="K46" s="24" t="s">
        <v>21</v>
      </c>
      <c r="L46" s="24">
        <v>1</v>
      </c>
      <c r="M46" s="82">
        <v>2700000</v>
      </c>
      <c r="N46" s="82">
        <f t="shared" si="1"/>
        <v>2700000</v>
      </c>
      <c r="O46" s="24" t="s">
        <v>22</v>
      </c>
      <c r="P46" s="24">
        <v>43</v>
      </c>
    </row>
    <row r="47" spans="1:16" ht="15" hidden="1" customHeight="1" x14ac:dyDescent="0.2">
      <c r="A47" s="24" t="s">
        <v>18</v>
      </c>
      <c r="B47" s="83" t="s">
        <v>2120</v>
      </c>
      <c r="C47" s="24">
        <v>145</v>
      </c>
      <c r="G47" s="37" t="s">
        <v>2132</v>
      </c>
      <c r="H47" s="24" t="s">
        <v>2168</v>
      </c>
      <c r="I47" s="24">
        <v>64276</v>
      </c>
      <c r="J47" s="24">
        <v>331</v>
      </c>
      <c r="K47" s="24" t="s">
        <v>21</v>
      </c>
      <c r="L47" s="24">
        <v>1</v>
      </c>
      <c r="M47" s="82">
        <v>3559000</v>
      </c>
      <c r="N47" s="82">
        <f t="shared" si="1"/>
        <v>3559000</v>
      </c>
      <c r="O47" s="24" t="s">
        <v>22</v>
      </c>
      <c r="P47" s="24">
        <v>44</v>
      </c>
    </row>
    <row r="48" spans="1:16" ht="15" hidden="1" customHeight="1" x14ac:dyDescent="0.2">
      <c r="A48" s="24" t="s">
        <v>18</v>
      </c>
      <c r="B48" s="83" t="s">
        <v>1475</v>
      </c>
      <c r="C48" s="24">
        <v>147</v>
      </c>
      <c r="G48" s="37" t="s">
        <v>2133</v>
      </c>
      <c r="H48" s="24" t="s">
        <v>2151</v>
      </c>
      <c r="I48" s="24">
        <v>64277</v>
      </c>
      <c r="J48" s="24">
        <v>331</v>
      </c>
      <c r="K48" s="24" t="s">
        <v>21</v>
      </c>
      <c r="L48" s="24">
        <v>1</v>
      </c>
      <c r="M48" s="82">
        <v>3485160</v>
      </c>
      <c r="N48" s="82">
        <f t="shared" si="1"/>
        <v>3485160</v>
      </c>
      <c r="O48" s="24" t="s">
        <v>22</v>
      </c>
      <c r="P48" s="24">
        <v>45</v>
      </c>
    </row>
    <row r="49" spans="1:16" ht="15" hidden="1" customHeight="1" x14ac:dyDescent="0.2">
      <c r="A49" s="24" t="s">
        <v>18</v>
      </c>
      <c r="B49" s="83" t="s">
        <v>1475</v>
      </c>
      <c r="C49" s="24">
        <v>148</v>
      </c>
      <c r="G49" s="37" t="s">
        <v>2133</v>
      </c>
      <c r="H49" s="24" t="s">
        <v>2152</v>
      </c>
      <c r="I49" s="24">
        <v>64277</v>
      </c>
      <c r="J49" s="24">
        <v>331</v>
      </c>
      <c r="K49" s="24" t="s">
        <v>21</v>
      </c>
      <c r="L49" s="24">
        <v>1</v>
      </c>
      <c r="M49" s="82">
        <v>176000</v>
      </c>
      <c r="N49" s="82">
        <f t="shared" si="1"/>
        <v>176000</v>
      </c>
      <c r="O49" s="24" t="s">
        <v>22</v>
      </c>
      <c r="P49" s="24">
        <v>46</v>
      </c>
    </row>
    <row r="50" spans="1:16" ht="15" hidden="1" customHeight="1" x14ac:dyDescent="0.2">
      <c r="A50" s="24" t="s">
        <v>18</v>
      </c>
      <c r="B50" s="83" t="s">
        <v>2121</v>
      </c>
      <c r="C50" s="24">
        <v>153</v>
      </c>
      <c r="G50" s="37" t="s">
        <v>2134</v>
      </c>
      <c r="H50" s="24" t="s">
        <v>2153</v>
      </c>
      <c r="I50" s="24">
        <v>64277</v>
      </c>
      <c r="J50" s="24">
        <v>331</v>
      </c>
      <c r="K50" s="24" t="s">
        <v>21</v>
      </c>
      <c r="L50" s="24">
        <v>1</v>
      </c>
      <c r="M50" s="82">
        <v>1572480</v>
      </c>
      <c r="N50" s="82">
        <f t="shared" si="1"/>
        <v>1572480</v>
      </c>
      <c r="O50" s="24" t="s">
        <v>22</v>
      </c>
      <c r="P50" s="24">
        <v>47</v>
      </c>
    </row>
    <row r="51" spans="1:16" ht="15" hidden="1" customHeight="1" x14ac:dyDescent="0.2">
      <c r="A51" s="24" t="s">
        <v>18</v>
      </c>
      <c r="B51" s="83" t="s">
        <v>2122</v>
      </c>
      <c r="C51" s="24">
        <v>159</v>
      </c>
      <c r="G51" s="37" t="s">
        <v>1746</v>
      </c>
      <c r="H51" s="24" t="s">
        <v>2154</v>
      </c>
      <c r="I51" s="24">
        <v>64277</v>
      </c>
      <c r="J51" s="24">
        <v>331</v>
      </c>
      <c r="K51" s="24" t="s">
        <v>21</v>
      </c>
      <c r="L51" s="24">
        <v>1</v>
      </c>
      <c r="M51" s="82">
        <v>668520</v>
      </c>
      <c r="N51" s="82">
        <f t="shared" si="1"/>
        <v>668520</v>
      </c>
      <c r="O51" s="24" t="s">
        <v>22</v>
      </c>
      <c r="P51" s="24">
        <v>48</v>
      </c>
    </row>
    <row r="52" spans="1:16" ht="15" hidden="1" customHeight="1" x14ac:dyDescent="0.2">
      <c r="A52" s="24" t="s">
        <v>18</v>
      </c>
      <c r="B52" s="83" t="s">
        <v>1476</v>
      </c>
      <c r="C52" s="24">
        <v>161</v>
      </c>
      <c r="G52" s="37" t="s">
        <v>2135</v>
      </c>
      <c r="H52" s="24" t="s">
        <v>2155</v>
      </c>
      <c r="I52" s="24">
        <v>64277</v>
      </c>
      <c r="J52" s="24">
        <v>331</v>
      </c>
      <c r="K52" s="24" t="s">
        <v>21</v>
      </c>
      <c r="L52" s="24">
        <v>1</v>
      </c>
      <c r="M52" s="82">
        <v>437400</v>
      </c>
      <c r="N52" s="82">
        <f t="shared" si="1"/>
        <v>437400</v>
      </c>
      <c r="O52" s="24" t="s">
        <v>22</v>
      </c>
      <c r="P52" s="24">
        <v>49</v>
      </c>
    </row>
    <row r="53" spans="1:16" ht="15" hidden="1" customHeight="1" x14ac:dyDescent="0.2">
      <c r="A53" s="24" t="s">
        <v>18</v>
      </c>
      <c r="B53" s="83" t="s">
        <v>2123</v>
      </c>
      <c r="C53" s="24">
        <v>165</v>
      </c>
      <c r="G53" s="37" t="s">
        <v>2136</v>
      </c>
      <c r="H53" s="24" t="s">
        <v>2156</v>
      </c>
      <c r="I53" s="24">
        <v>64277</v>
      </c>
      <c r="J53" s="24">
        <v>331</v>
      </c>
      <c r="K53" s="24" t="s">
        <v>21</v>
      </c>
      <c r="L53" s="24">
        <v>1</v>
      </c>
      <c r="M53" s="82">
        <v>1245000</v>
      </c>
      <c r="N53" s="82">
        <f t="shared" si="1"/>
        <v>1245000</v>
      </c>
      <c r="O53" s="24" t="s">
        <v>22</v>
      </c>
      <c r="P53" s="24">
        <v>50</v>
      </c>
    </row>
    <row r="54" spans="1:16" ht="15" hidden="1" customHeight="1" x14ac:dyDescent="0.2">
      <c r="A54" s="24" t="s">
        <v>18</v>
      </c>
      <c r="B54" s="83" t="s">
        <v>1413</v>
      </c>
      <c r="C54" s="24">
        <v>173</v>
      </c>
      <c r="G54" s="37" t="s">
        <v>2137</v>
      </c>
      <c r="H54" s="24" t="s">
        <v>2157</v>
      </c>
      <c r="I54" s="24">
        <v>64277</v>
      </c>
      <c r="J54" s="24">
        <v>331</v>
      </c>
      <c r="K54" s="24" t="s">
        <v>21</v>
      </c>
      <c r="L54" s="24">
        <v>1</v>
      </c>
      <c r="M54" s="82">
        <v>1571724</v>
      </c>
      <c r="N54" s="82">
        <f t="shared" si="1"/>
        <v>1571724</v>
      </c>
      <c r="O54" s="24" t="s">
        <v>22</v>
      </c>
      <c r="P54" s="24">
        <v>51</v>
      </c>
    </row>
    <row r="55" spans="1:16" ht="15" hidden="1" customHeight="1" x14ac:dyDescent="0.2">
      <c r="A55" s="24" t="s">
        <v>18</v>
      </c>
      <c r="B55" s="83" t="s">
        <v>2124</v>
      </c>
      <c r="C55" s="24">
        <v>195</v>
      </c>
      <c r="G55" s="37" t="s">
        <v>2138</v>
      </c>
      <c r="H55" s="24" t="s">
        <v>2158</v>
      </c>
      <c r="I55" s="24">
        <v>64277</v>
      </c>
      <c r="J55" s="24">
        <v>331</v>
      </c>
      <c r="K55" s="24" t="s">
        <v>21</v>
      </c>
      <c r="L55" s="24">
        <v>1</v>
      </c>
      <c r="M55" s="82">
        <v>2359980</v>
      </c>
      <c r="N55" s="82">
        <f t="shared" si="1"/>
        <v>2359980</v>
      </c>
      <c r="O55" s="24" t="s">
        <v>22</v>
      </c>
      <c r="P55" s="24">
        <v>52</v>
      </c>
    </row>
    <row r="56" spans="1:16" ht="15" hidden="1" customHeight="1" x14ac:dyDescent="0.2">
      <c r="A56" s="24" t="s">
        <v>18</v>
      </c>
      <c r="B56" s="83" t="s">
        <v>1415</v>
      </c>
      <c r="C56" s="24">
        <v>200</v>
      </c>
      <c r="G56" s="37" t="s">
        <v>890</v>
      </c>
      <c r="H56" s="24" t="s">
        <v>2159</v>
      </c>
      <c r="I56" s="24">
        <v>64277</v>
      </c>
      <c r="J56" s="24">
        <v>331</v>
      </c>
      <c r="K56" s="24" t="s">
        <v>21</v>
      </c>
      <c r="L56" s="24">
        <v>1</v>
      </c>
      <c r="M56" s="82">
        <v>1006560</v>
      </c>
      <c r="N56" s="82">
        <f t="shared" si="1"/>
        <v>1006560</v>
      </c>
      <c r="O56" s="24" t="s">
        <v>22</v>
      </c>
      <c r="P56" s="24">
        <v>53</v>
      </c>
    </row>
    <row r="57" spans="1:16" ht="15" hidden="1" customHeight="1" x14ac:dyDescent="0.2">
      <c r="A57" s="24" t="s">
        <v>18</v>
      </c>
      <c r="B57" s="83" t="s">
        <v>2124</v>
      </c>
      <c r="C57" s="24">
        <v>196</v>
      </c>
      <c r="G57" s="37" t="s">
        <v>2139</v>
      </c>
      <c r="H57" s="24" t="s">
        <v>2160</v>
      </c>
      <c r="I57" s="24">
        <v>64277</v>
      </c>
      <c r="J57" s="24">
        <v>331</v>
      </c>
      <c r="K57" s="24" t="s">
        <v>21</v>
      </c>
      <c r="L57" s="24">
        <v>1</v>
      </c>
      <c r="M57" s="82">
        <v>1417500</v>
      </c>
      <c r="N57" s="82">
        <f t="shared" si="1"/>
        <v>1417500</v>
      </c>
      <c r="O57" s="24" t="s">
        <v>22</v>
      </c>
      <c r="P57" s="24">
        <v>54</v>
      </c>
    </row>
    <row r="58" spans="1:16" ht="15" hidden="1" customHeight="1" x14ac:dyDescent="0.2">
      <c r="A58" s="24" t="s">
        <v>18</v>
      </c>
      <c r="B58" s="83" t="s">
        <v>2047</v>
      </c>
      <c r="C58" s="24">
        <v>214</v>
      </c>
      <c r="G58" s="37" t="s">
        <v>2140</v>
      </c>
      <c r="H58" s="24" t="s">
        <v>2161</v>
      </c>
      <c r="I58" s="24">
        <v>64277</v>
      </c>
      <c r="J58" s="24">
        <v>331</v>
      </c>
      <c r="K58" s="24" t="s">
        <v>21</v>
      </c>
      <c r="L58" s="24">
        <v>1</v>
      </c>
      <c r="M58" s="82">
        <v>446000</v>
      </c>
      <c r="N58" s="82">
        <f t="shared" si="1"/>
        <v>446000</v>
      </c>
      <c r="O58" s="24" t="s">
        <v>22</v>
      </c>
      <c r="P58" s="24">
        <v>55</v>
      </c>
    </row>
    <row r="59" spans="1:16" ht="15" hidden="1" customHeight="1" x14ac:dyDescent="0.2">
      <c r="A59" s="24" t="s">
        <v>18</v>
      </c>
      <c r="B59" s="83" t="s">
        <v>2125</v>
      </c>
      <c r="C59" s="24">
        <v>155</v>
      </c>
      <c r="G59" s="37" t="s">
        <v>1658</v>
      </c>
      <c r="H59" s="24" t="s">
        <v>2162</v>
      </c>
      <c r="I59" s="24">
        <v>64277</v>
      </c>
      <c r="J59" s="24">
        <v>331</v>
      </c>
      <c r="K59" s="24" t="s">
        <v>21</v>
      </c>
      <c r="L59" s="24">
        <v>1</v>
      </c>
      <c r="M59" s="82">
        <v>1050840</v>
      </c>
      <c r="N59" s="82">
        <f t="shared" si="1"/>
        <v>1050840</v>
      </c>
      <c r="O59" s="24" t="s">
        <v>22</v>
      </c>
      <c r="P59" s="24">
        <v>56</v>
      </c>
    </row>
    <row r="60" spans="1:16" ht="15" hidden="1" customHeight="1" x14ac:dyDescent="0.2">
      <c r="A60" s="24" t="s">
        <v>18</v>
      </c>
      <c r="B60" s="83" t="s">
        <v>2126</v>
      </c>
      <c r="C60" s="24">
        <v>157</v>
      </c>
      <c r="G60" s="37" t="s">
        <v>46</v>
      </c>
      <c r="H60" s="24" t="s">
        <v>2163</v>
      </c>
      <c r="I60" s="24">
        <v>64277</v>
      </c>
      <c r="J60" s="24">
        <v>331</v>
      </c>
      <c r="K60" s="24" t="s">
        <v>21</v>
      </c>
      <c r="L60" s="24">
        <v>1</v>
      </c>
      <c r="M60" s="82">
        <v>1472040</v>
      </c>
      <c r="N60" s="82">
        <f t="shared" si="1"/>
        <v>1472040</v>
      </c>
      <c r="O60" s="24" t="s">
        <v>22</v>
      </c>
      <c r="P60" s="24">
        <v>57</v>
      </c>
    </row>
    <row r="61" spans="1:16" ht="15" hidden="1" customHeight="1" x14ac:dyDescent="0.2">
      <c r="A61" s="24" t="s">
        <v>18</v>
      </c>
      <c r="B61" s="83" t="s">
        <v>2050</v>
      </c>
      <c r="C61" s="24">
        <v>188</v>
      </c>
      <c r="G61" s="37" t="s">
        <v>890</v>
      </c>
      <c r="H61" s="24" t="s">
        <v>2164</v>
      </c>
      <c r="I61" s="24">
        <v>64277</v>
      </c>
      <c r="J61" s="24">
        <v>331</v>
      </c>
      <c r="K61" s="24" t="s">
        <v>21</v>
      </c>
      <c r="L61" s="24">
        <v>1</v>
      </c>
      <c r="M61" s="82">
        <v>1568160</v>
      </c>
      <c r="N61" s="82">
        <f t="shared" si="1"/>
        <v>1568160</v>
      </c>
      <c r="O61" s="24" t="s">
        <v>22</v>
      </c>
      <c r="P61" s="24">
        <v>58</v>
      </c>
    </row>
    <row r="62" spans="1:16" ht="15" hidden="1" customHeight="1" x14ac:dyDescent="0.2">
      <c r="A62" s="24" t="s">
        <v>18</v>
      </c>
      <c r="B62" s="83" t="s">
        <v>2050</v>
      </c>
      <c r="C62" s="24">
        <v>189</v>
      </c>
      <c r="G62" s="37" t="s">
        <v>2140</v>
      </c>
      <c r="H62" s="24" t="s">
        <v>2165</v>
      </c>
      <c r="I62" s="24">
        <v>64277</v>
      </c>
      <c r="J62" s="24">
        <v>331</v>
      </c>
      <c r="K62" s="24" t="s">
        <v>21</v>
      </c>
      <c r="L62" s="24">
        <v>1</v>
      </c>
      <c r="M62" s="82">
        <v>1393000</v>
      </c>
      <c r="N62" s="82">
        <f t="shared" si="1"/>
        <v>1393000</v>
      </c>
      <c r="O62" s="24" t="s">
        <v>22</v>
      </c>
      <c r="P62" s="24">
        <v>59</v>
      </c>
    </row>
    <row r="63" spans="1:16" ht="15" hidden="1" customHeight="1" x14ac:dyDescent="0.2">
      <c r="A63" s="24" t="s">
        <v>18</v>
      </c>
      <c r="B63" s="83" t="s">
        <v>2078</v>
      </c>
      <c r="C63" s="24">
        <v>217</v>
      </c>
      <c r="G63" s="37" t="s">
        <v>2141</v>
      </c>
      <c r="H63" s="24" t="s">
        <v>2166</v>
      </c>
      <c r="I63" s="24">
        <v>64277</v>
      </c>
      <c r="J63" s="24">
        <v>331</v>
      </c>
      <c r="K63" s="24" t="s">
        <v>21</v>
      </c>
      <c r="L63" s="24">
        <v>1</v>
      </c>
      <c r="M63" s="82">
        <v>589680</v>
      </c>
      <c r="N63" s="82">
        <f t="shared" si="1"/>
        <v>589680</v>
      </c>
      <c r="O63" s="24" t="s">
        <v>22</v>
      </c>
      <c r="P63" s="24">
        <v>60</v>
      </c>
    </row>
    <row r="64" spans="1:16" ht="15" hidden="1" customHeight="1" x14ac:dyDescent="0.2">
      <c r="A64" s="24" t="s">
        <v>18</v>
      </c>
      <c r="B64" s="83">
        <v>45930</v>
      </c>
      <c r="C64" s="24">
        <v>140</v>
      </c>
      <c r="G64" s="37" t="s">
        <v>2170</v>
      </c>
      <c r="H64" s="24" t="s">
        <v>2171</v>
      </c>
      <c r="I64" s="24">
        <v>64276</v>
      </c>
      <c r="J64" s="24">
        <v>331</v>
      </c>
      <c r="K64" s="24" t="s">
        <v>21</v>
      </c>
      <c r="L64" s="24">
        <v>1</v>
      </c>
      <c r="M64" s="82">
        <v>300000</v>
      </c>
      <c r="N64" s="82">
        <f t="shared" si="1"/>
        <v>300000</v>
      </c>
      <c r="O64" s="24" t="s">
        <v>22</v>
      </c>
      <c r="P64" s="24">
        <v>61</v>
      </c>
    </row>
    <row r="65" spans="1:16" ht="15" hidden="1" customHeight="1" x14ac:dyDescent="0.2">
      <c r="A65" s="46" t="s">
        <v>18</v>
      </c>
      <c r="B65" s="84">
        <v>45869</v>
      </c>
      <c r="C65" s="24">
        <v>107</v>
      </c>
      <c r="E65" s="46"/>
      <c r="F65" s="46"/>
      <c r="G65" s="79" t="s">
        <v>252</v>
      </c>
      <c r="H65" s="46" t="s">
        <v>147</v>
      </c>
      <c r="I65" s="46">
        <v>64271</v>
      </c>
      <c r="J65" s="46">
        <v>3383</v>
      </c>
      <c r="K65" s="46" t="s">
        <v>21</v>
      </c>
      <c r="L65" s="46">
        <v>1</v>
      </c>
      <c r="M65" s="85">
        <v>690300</v>
      </c>
      <c r="N65" s="86">
        <f>L65*M65</f>
        <v>690300</v>
      </c>
      <c r="O65" s="46" t="s">
        <v>22</v>
      </c>
      <c r="P65" s="24">
        <v>62</v>
      </c>
    </row>
    <row r="66" spans="1:16" ht="15" hidden="1" customHeight="1" x14ac:dyDescent="0.2">
      <c r="A66" s="46" t="s">
        <v>18</v>
      </c>
      <c r="B66" s="84">
        <v>45900</v>
      </c>
      <c r="C66" s="24">
        <v>123</v>
      </c>
      <c r="E66" s="46"/>
      <c r="F66" s="46"/>
      <c r="G66" s="79" t="s">
        <v>252</v>
      </c>
      <c r="H66" s="46" t="s">
        <v>280</v>
      </c>
      <c r="I66" s="46">
        <v>64271</v>
      </c>
      <c r="J66" s="46">
        <v>3383</v>
      </c>
      <c r="K66" s="46" t="s">
        <v>21</v>
      </c>
      <c r="L66" s="46">
        <v>1</v>
      </c>
      <c r="M66" s="85">
        <v>690300</v>
      </c>
      <c r="N66" s="86">
        <f>L66*M66</f>
        <v>690300</v>
      </c>
      <c r="O66" s="46" t="s">
        <v>22</v>
      </c>
      <c r="P66" s="24">
        <v>63</v>
      </c>
    </row>
    <row r="67" spans="1:16" ht="15" hidden="1" customHeight="1" x14ac:dyDescent="0.2">
      <c r="A67" s="46" t="s">
        <v>18</v>
      </c>
      <c r="B67" s="84">
        <v>45930</v>
      </c>
      <c r="C67" s="24">
        <v>141</v>
      </c>
      <c r="E67" s="46"/>
      <c r="F67" s="46"/>
      <c r="G67" s="79" t="s">
        <v>252</v>
      </c>
      <c r="H67" s="46" t="s">
        <v>367</v>
      </c>
      <c r="I67" s="46">
        <v>64271</v>
      </c>
      <c r="J67" s="46">
        <v>3383</v>
      </c>
      <c r="K67" s="46" t="s">
        <v>21</v>
      </c>
      <c r="L67" s="46">
        <v>1</v>
      </c>
      <c r="M67" s="85">
        <v>690300</v>
      </c>
      <c r="N67" s="86">
        <f>L67*M67</f>
        <v>690300</v>
      </c>
      <c r="O67" s="46" t="s">
        <v>22</v>
      </c>
      <c r="P67" s="24">
        <v>64</v>
      </c>
    </row>
    <row r="68" spans="1:16" ht="15" hidden="1" customHeight="1" x14ac:dyDescent="0.2">
      <c r="A68" s="46" t="s">
        <v>368</v>
      </c>
      <c r="B68" s="83" t="s">
        <v>2114</v>
      </c>
      <c r="C68" s="24">
        <v>222</v>
      </c>
      <c r="G68" s="37" t="s">
        <v>2127</v>
      </c>
      <c r="H68" s="24" t="s">
        <v>2172</v>
      </c>
      <c r="I68" s="24">
        <v>331</v>
      </c>
      <c r="J68" s="24">
        <v>1111</v>
      </c>
      <c r="K68" s="24" t="s">
        <v>21</v>
      </c>
      <c r="L68" s="24">
        <v>1</v>
      </c>
      <c r="M68" s="82">
        <v>2396000</v>
      </c>
      <c r="N68" s="82">
        <f t="shared" ref="N68:N96" si="2">M68*L68</f>
        <v>2396000</v>
      </c>
      <c r="O68" s="24" t="s">
        <v>22</v>
      </c>
      <c r="P68" s="24">
        <v>65</v>
      </c>
    </row>
    <row r="69" spans="1:16" ht="15" hidden="1" customHeight="1" x14ac:dyDescent="0.2">
      <c r="A69" s="46" t="s">
        <v>368</v>
      </c>
      <c r="B69" s="83" t="s">
        <v>2115</v>
      </c>
      <c r="C69" s="24">
        <v>164</v>
      </c>
      <c r="G69" s="37" t="s">
        <v>1678</v>
      </c>
      <c r="H69" s="24" t="s">
        <v>2173</v>
      </c>
      <c r="I69" s="24">
        <v>331</v>
      </c>
      <c r="J69" s="24">
        <v>1111</v>
      </c>
      <c r="K69" s="24" t="s">
        <v>21</v>
      </c>
      <c r="L69" s="24">
        <v>1</v>
      </c>
      <c r="M69" s="82">
        <v>1814400</v>
      </c>
      <c r="N69" s="82">
        <f t="shared" si="2"/>
        <v>1814400</v>
      </c>
      <c r="O69" s="24" t="s">
        <v>22</v>
      </c>
      <c r="P69" s="24">
        <v>66</v>
      </c>
    </row>
    <row r="70" spans="1:16" ht="15" hidden="1" customHeight="1" x14ac:dyDescent="0.2">
      <c r="A70" s="46" t="s">
        <v>368</v>
      </c>
      <c r="B70" s="83" t="s">
        <v>2116</v>
      </c>
      <c r="C70" s="24">
        <v>177</v>
      </c>
      <c r="G70" s="37" t="s">
        <v>1939</v>
      </c>
      <c r="H70" s="24" t="s">
        <v>2174</v>
      </c>
      <c r="I70" s="24">
        <v>331</v>
      </c>
      <c r="J70" s="24">
        <v>1111</v>
      </c>
      <c r="K70" s="24" t="s">
        <v>21</v>
      </c>
      <c r="L70" s="24">
        <v>1</v>
      </c>
      <c r="M70" s="82">
        <v>870004</v>
      </c>
      <c r="N70" s="82">
        <f t="shared" si="2"/>
        <v>870004</v>
      </c>
      <c r="O70" s="24" t="s">
        <v>22</v>
      </c>
      <c r="P70" s="24">
        <v>67</v>
      </c>
    </row>
    <row r="71" spans="1:16" ht="15" hidden="1" customHeight="1" x14ac:dyDescent="0.2">
      <c r="A71" s="46" t="s">
        <v>368</v>
      </c>
      <c r="B71" s="83" t="s">
        <v>2117</v>
      </c>
      <c r="C71" s="24">
        <v>179</v>
      </c>
      <c r="G71" s="37" t="s">
        <v>2128</v>
      </c>
      <c r="H71" s="24" t="s">
        <v>2175</v>
      </c>
      <c r="I71" s="24">
        <v>331</v>
      </c>
      <c r="J71" s="24">
        <v>1111</v>
      </c>
      <c r="K71" s="24" t="s">
        <v>21</v>
      </c>
      <c r="L71" s="24">
        <v>1</v>
      </c>
      <c r="M71" s="82">
        <v>9900000</v>
      </c>
      <c r="N71" s="82">
        <f t="shared" si="2"/>
        <v>9900000</v>
      </c>
      <c r="O71" s="24" t="s">
        <v>22</v>
      </c>
      <c r="P71" s="24">
        <v>68</v>
      </c>
    </row>
    <row r="72" spans="1:16" ht="15" hidden="1" customHeight="1" x14ac:dyDescent="0.2">
      <c r="A72" s="46" t="s">
        <v>368</v>
      </c>
      <c r="B72" s="83" t="s">
        <v>1532</v>
      </c>
      <c r="C72" s="24">
        <v>185</v>
      </c>
      <c r="G72" s="37" t="s">
        <v>174</v>
      </c>
      <c r="H72" s="24" t="s">
        <v>2176</v>
      </c>
      <c r="I72" s="24">
        <v>331</v>
      </c>
      <c r="J72" s="24">
        <v>1111</v>
      </c>
      <c r="K72" s="24" t="s">
        <v>21</v>
      </c>
      <c r="L72" s="24">
        <v>1</v>
      </c>
      <c r="M72" s="82">
        <v>291600</v>
      </c>
      <c r="N72" s="82">
        <f t="shared" si="2"/>
        <v>291600</v>
      </c>
      <c r="O72" s="24" t="s">
        <v>22</v>
      </c>
      <c r="P72" s="24">
        <v>69</v>
      </c>
    </row>
    <row r="73" spans="1:16" ht="15" hidden="1" customHeight="1" x14ac:dyDescent="0.2">
      <c r="A73" s="46" t="s">
        <v>368</v>
      </c>
      <c r="B73" s="83" t="s">
        <v>2042</v>
      </c>
      <c r="C73" s="24">
        <v>194</v>
      </c>
      <c r="G73" s="37" t="s">
        <v>2129</v>
      </c>
      <c r="H73" s="24" t="s">
        <v>2177</v>
      </c>
      <c r="I73" s="24">
        <v>331</v>
      </c>
      <c r="J73" s="24">
        <v>1111</v>
      </c>
      <c r="K73" s="24" t="s">
        <v>21</v>
      </c>
      <c r="L73" s="24">
        <v>1</v>
      </c>
      <c r="M73" s="82">
        <v>620000</v>
      </c>
      <c r="N73" s="82">
        <f t="shared" si="2"/>
        <v>620000</v>
      </c>
      <c r="O73" s="24" t="s">
        <v>22</v>
      </c>
      <c r="P73" s="24">
        <v>70</v>
      </c>
    </row>
    <row r="74" spans="1:16" ht="15" hidden="1" customHeight="1" x14ac:dyDescent="0.2">
      <c r="A74" s="46" t="s">
        <v>368</v>
      </c>
      <c r="B74" s="83" t="s">
        <v>2073</v>
      </c>
      <c r="C74" s="24">
        <v>209</v>
      </c>
      <c r="G74" s="37" t="s">
        <v>2130</v>
      </c>
      <c r="H74" s="24" t="s">
        <v>2178</v>
      </c>
      <c r="I74" s="24">
        <v>331</v>
      </c>
      <c r="J74" s="24">
        <v>1111</v>
      </c>
      <c r="K74" s="24" t="s">
        <v>21</v>
      </c>
      <c r="L74" s="24">
        <v>1</v>
      </c>
      <c r="M74" s="82">
        <v>548640</v>
      </c>
      <c r="N74" s="82">
        <f t="shared" si="2"/>
        <v>548640</v>
      </c>
      <c r="O74" s="24" t="s">
        <v>22</v>
      </c>
      <c r="P74" s="24">
        <v>71</v>
      </c>
    </row>
    <row r="75" spans="1:16" ht="15" hidden="1" customHeight="1" x14ac:dyDescent="0.2">
      <c r="A75" s="46" t="s">
        <v>368</v>
      </c>
      <c r="B75" s="83" t="s">
        <v>2073</v>
      </c>
      <c r="C75" s="24">
        <v>210</v>
      </c>
      <c r="G75" s="37" t="s">
        <v>85</v>
      </c>
      <c r="H75" s="24" t="s">
        <v>2179</v>
      </c>
      <c r="I75" s="24">
        <v>331</v>
      </c>
      <c r="J75" s="24">
        <v>1111</v>
      </c>
      <c r="K75" s="24" t="s">
        <v>21</v>
      </c>
      <c r="L75" s="24">
        <v>1</v>
      </c>
      <c r="M75" s="82">
        <v>2493720</v>
      </c>
      <c r="N75" s="82">
        <f t="shared" si="2"/>
        <v>2493720</v>
      </c>
      <c r="O75" s="24" t="s">
        <v>22</v>
      </c>
      <c r="P75" s="24">
        <v>72</v>
      </c>
    </row>
    <row r="76" spans="1:16" ht="15" hidden="1" customHeight="1" x14ac:dyDescent="0.2">
      <c r="A76" s="46" t="s">
        <v>368</v>
      </c>
      <c r="B76" s="83" t="s">
        <v>2074</v>
      </c>
      <c r="C76" s="24">
        <v>225</v>
      </c>
      <c r="G76" s="37" t="s">
        <v>2131</v>
      </c>
      <c r="H76" s="24" t="s">
        <v>2180</v>
      </c>
      <c r="I76" s="24">
        <v>331</v>
      </c>
      <c r="J76" s="24">
        <v>1111</v>
      </c>
      <c r="K76" s="24" t="s">
        <v>21</v>
      </c>
      <c r="L76" s="24">
        <v>1</v>
      </c>
      <c r="M76" s="82">
        <v>592000</v>
      </c>
      <c r="N76" s="82">
        <f t="shared" si="2"/>
        <v>592000</v>
      </c>
      <c r="O76" s="24" t="s">
        <v>22</v>
      </c>
      <c r="P76" s="24">
        <v>73</v>
      </c>
    </row>
    <row r="77" spans="1:16" ht="15" hidden="1" customHeight="1" x14ac:dyDescent="0.2">
      <c r="A77" s="46" t="s">
        <v>368</v>
      </c>
      <c r="B77" s="83" t="s">
        <v>2118</v>
      </c>
      <c r="C77" s="24">
        <v>144</v>
      </c>
      <c r="G77" s="37" t="s">
        <v>158</v>
      </c>
      <c r="H77" s="24" t="s">
        <v>2181</v>
      </c>
      <c r="I77" s="24">
        <v>331</v>
      </c>
      <c r="J77" s="24">
        <v>1111</v>
      </c>
      <c r="K77" s="24" t="s">
        <v>21</v>
      </c>
      <c r="L77" s="24">
        <v>1</v>
      </c>
      <c r="M77" s="82">
        <v>2700000</v>
      </c>
      <c r="N77" s="82">
        <f t="shared" si="2"/>
        <v>2700000</v>
      </c>
      <c r="O77" s="24" t="s">
        <v>22</v>
      </c>
      <c r="P77" s="24">
        <v>74</v>
      </c>
    </row>
    <row r="78" spans="1:16" ht="15" hidden="1" customHeight="1" x14ac:dyDescent="0.2">
      <c r="A78" s="46" t="s">
        <v>368</v>
      </c>
      <c r="B78" s="83" t="s">
        <v>2119</v>
      </c>
      <c r="C78" s="24">
        <v>230</v>
      </c>
      <c r="G78" s="37" t="s">
        <v>158</v>
      </c>
      <c r="H78" s="24" t="s">
        <v>2182</v>
      </c>
      <c r="I78" s="24">
        <v>331</v>
      </c>
      <c r="J78" s="24">
        <v>1111</v>
      </c>
      <c r="K78" s="24" t="s">
        <v>21</v>
      </c>
      <c r="L78" s="24">
        <v>1</v>
      </c>
      <c r="M78" s="82">
        <v>2700000</v>
      </c>
      <c r="N78" s="82">
        <f t="shared" si="2"/>
        <v>2700000</v>
      </c>
      <c r="O78" s="24" t="s">
        <v>22</v>
      </c>
      <c r="P78" s="24">
        <v>75</v>
      </c>
    </row>
    <row r="79" spans="1:16" ht="15" hidden="1" customHeight="1" x14ac:dyDescent="0.2">
      <c r="A79" s="46" t="s">
        <v>368</v>
      </c>
      <c r="B79" s="83" t="s">
        <v>2120</v>
      </c>
      <c r="C79" s="24">
        <v>146</v>
      </c>
      <c r="G79" s="37" t="s">
        <v>2132</v>
      </c>
      <c r="H79" s="24" t="s">
        <v>2183</v>
      </c>
      <c r="I79" s="24">
        <v>331</v>
      </c>
      <c r="J79" s="24">
        <v>1111</v>
      </c>
      <c r="K79" s="24" t="s">
        <v>21</v>
      </c>
      <c r="L79" s="24">
        <v>1</v>
      </c>
      <c r="M79" s="82">
        <v>3559000</v>
      </c>
      <c r="N79" s="82">
        <f t="shared" si="2"/>
        <v>3559000</v>
      </c>
      <c r="O79" s="24" t="s">
        <v>22</v>
      </c>
      <c r="P79" s="24">
        <v>76</v>
      </c>
    </row>
    <row r="80" spans="1:16" ht="15" hidden="1" customHeight="1" x14ac:dyDescent="0.2">
      <c r="A80" s="46" t="s">
        <v>368</v>
      </c>
      <c r="B80" s="83" t="s">
        <v>1475</v>
      </c>
      <c r="C80" s="24">
        <v>149</v>
      </c>
      <c r="G80" s="37" t="s">
        <v>2133</v>
      </c>
      <c r="H80" s="24" t="s">
        <v>2184</v>
      </c>
      <c r="I80" s="24">
        <v>331</v>
      </c>
      <c r="J80" s="24">
        <v>1111</v>
      </c>
      <c r="K80" s="24" t="s">
        <v>21</v>
      </c>
      <c r="L80" s="24">
        <v>1</v>
      </c>
      <c r="M80" s="82">
        <v>3485160</v>
      </c>
      <c r="N80" s="82">
        <f t="shared" si="2"/>
        <v>3485160</v>
      </c>
      <c r="O80" s="24" t="s">
        <v>22</v>
      </c>
      <c r="P80" s="24">
        <v>77</v>
      </c>
    </row>
    <row r="81" spans="1:16" ht="15" hidden="1" customHeight="1" x14ac:dyDescent="0.2">
      <c r="A81" s="46" t="s">
        <v>368</v>
      </c>
      <c r="B81" s="83" t="s">
        <v>1475</v>
      </c>
      <c r="C81" s="24">
        <v>150</v>
      </c>
      <c r="G81" s="37" t="s">
        <v>2133</v>
      </c>
      <c r="H81" s="24" t="s">
        <v>2185</v>
      </c>
      <c r="I81" s="24">
        <v>331</v>
      </c>
      <c r="J81" s="24">
        <v>1111</v>
      </c>
      <c r="K81" s="24" t="s">
        <v>21</v>
      </c>
      <c r="L81" s="24">
        <v>1</v>
      </c>
      <c r="M81" s="82">
        <v>176000</v>
      </c>
      <c r="N81" s="82">
        <f t="shared" si="2"/>
        <v>176000</v>
      </c>
      <c r="O81" s="24" t="s">
        <v>22</v>
      </c>
      <c r="P81" s="24">
        <v>78</v>
      </c>
    </row>
    <row r="82" spans="1:16" ht="15" hidden="1" customHeight="1" x14ac:dyDescent="0.2">
      <c r="A82" s="46" t="s">
        <v>368</v>
      </c>
      <c r="B82" s="83" t="s">
        <v>2121</v>
      </c>
      <c r="C82" s="24">
        <v>154</v>
      </c>
      <c r="G82" s="37" t="s">
        <v>2134</v>
      </c>
      <c r="H82" s="24" t="s">
        <v>2186</v>
      </c>
      <c r="I82" s="24">
        <v>331</v>
      </c>
      <c r="J82" s="24">
        <v>1111</v>
      </c>
      <c r="K82" s="24" t="s">
        <v>21</v>
      </c>
      <c r="L82" s="24">
        <v>1</v>
      </c>
      <c r="M82" s="82">
        <v>1572480</v>
      </c>
      <c r="N82" s="82">
        <f t="shared" si="2"/>
        <v>1572480</v>
      </c>
      <c r="O82" s="24" t="s">
        <v>22</v>
      </c>
      <c r="P82" s="24">
        <v>79</v>
      </c>
    </row>
    <row r="83" spans="1:16" ht="15" hidden="1" customHeight="1" x14ac:dyDescent="0.2">
      <c r="A83" s="46" t="s">
        <v>368</v>
      </c>
      <c r="B83" s="83" t="s">
        <v>2122</v>
      </c>
      <c r="C83" s="24">
        <v>160</v>
      </c>
      <c r="G83" s="37" t="s">
        <v>1746</v>
      </c>
      <c r="H83" s="24" t="s">
        <v>2187</v>
      </c>
      <c r="I83" s="24">
        <v>331</v>
      </c>
      <c r="J83" s="24">
        <v>1111</v>
      </c>
      <c r="K83" s="24" t="s">
        <v>21</v>
      </c>
      <c r="L83" s="24">
        <v>1</v>
      </c>
      <c r="M83" s="82">
        <v>668520</v>
      </c>
      <c r="N83" s="82">
        <f t="shared" si="2"/>
        <v>668520</v>
      </c>
      <c r="O83" s="24" t="s">
        <v>22</v>
      </c>
      <c r="P83" s="24">
        <v>80</v>
      </c>
    </row>
    <row r="84" spans="1:16" ht="15" hidden="1" customHeight="1" x14ac:dyDescent="0.2">
      <c r="A84" s="46" t="s">
        <v>368</v>
      </c>
      <c r="B84" s="83" t="s">
        <v>1476</v>
      </c>
      <c r="C84" s="24">
        <v>162</v>
      </c>
      <c r="G84" s="37" t="s">
        <v>2135</v>
      </c>
      <c r="H84" s="24" t="s">
        <v>2188</v>
      </c>
      <c r="I84" s="24">
        <v>331</v>
      </c>
      <c r="J84" s="24">
        <v>1111</v>
      </c>
      <c r="K84" s="24" t="s">
        <v>21</v>
      </c>
      <c r="L84" s="24">
        <v>1</v>
      </c>
      <c r="M84" s="82">
        <v>437400</v>
      </c>
      <c r="N84" s="82">
        <f t="shared" si="2"/>
        <v>437400</v>
      </c>
      <c r="O84" s="24" t="s">
        <v>22</v>
      </c>
      <c r="P84" s="24">
        <v>81</v>
      </c>
    </row>
    <row r="85" spans="1:16" ht="15" hidden="1" customHeight="1" x14ac:dyDescent="0.2">
      <c r="A85" s="46" t="s">
        <v>368</v>
      </c>
      <c r="B85" s="83" t="s">
        <v>2123</v>
      </c>
      <c r="C85" s="24">
        <v>166</v>
      </c>
      <c r="G85" s="37" t="s">
        <v>2136</v>
      </c>
      <c r="H85" s="24" t="s">
        <v>2189</v>
      </c>
      <c r="I85" s="24">
        <v>331</v>
      </c>
      <c r="J85" s="24">
        <v>1111</v>
      </c>
      <c r="K85" s="24" t="s">
        <v>21</v>
      </c>
      <c r="L85" s="24">
        <v>1</v>
      </c>
      <c r="M85" s="82">
        <v>1245000</v>
      </c>
      <c r="N85" s="82">
        <f t="shared" si="2"/>
        <v>1245000</v>
      </c>
      <c r="O85" s="24" t="s">
        <v>22</v>
      </c>
      <c r="P85" s="24">
        <v>82</v>
      </c>
    </row>
    <row r="86" spans="1:16" ht="15" hidden="1" customHeight="1" x14ac:dyDescent="0.2">
      <c r="A86" s="46" t="s">
        <v>368</v>
      </c>
      <c r="B86" s="83" t="s">
        <v>1413</v>
      </c>
      <c r="C86" s="24">
        <v>174</v>
      </c>
      <c r="G86" s="37" t="s">
        <v>2137</v>
      </c>
      <c r="H86" s="24" t="s">
        <v>2190</v>
      </c>
      <c r="I86" s="24">
        <v>331</v>
      </c>
      <c r="J86" s="24">
        <v>1111</v>
      </c>
      <c r="K86" s="24" t="s">
        <v>21</v>
      </c>
      <c r="L86" s="24">
        <v>1</v>
      </c>
      <c r="M86" s="82">
        <v>1571724</v>
      </c>
      <c r="N86" s="82">
        <f t="shared" si="2"/>
        <v>1571724</v>
      </c>
      <c r="O86" s="24" t="s">
        <v>22</v>
      </c>
      <c r="P86" s="24">
        <v>83</v>
      </c>
    </row>
    <row r="87" spans="1:16" ht="15" hidden="1" customHeight="1" x14ac:dyDescent="0.2">
      <c r="A87" s="46" t="s">
        <v>368</v>
      </c>
      <c r="B87" s="83" t="s">
        <v>2124</v>
      </c>
      <c r="C87" s="24">
        <v>197</v>
      </c>
      <c r="G87" s="37" t="s">
        <v>2138</v>
      </c>
      <c r="H87" s="24" t="s">
        <v>2191</v>
      </c>
      <c r="I87" s="24">
        <v>331</v>
      </c>
      <c r="J87" s="24">
        <v>1111</v>
      </c>
      <c r="K87" s="24" t="s">
        <v>21</v>
      </c>
      <c r="L87" s="24">
        <v>1</v>
      </c>
      <c r="M87" s="82">
        <v>2359980</v>
      </c>
      <c r="N87" s="82">
        <f t="shared" si="2"/>
        <v>2359980</v>
      </c>
      <c r="O87" s="24" t="s">
        <v>22</v>
      </c>
      <c r="P87" s="24">
        <v>84</v>
      </c>
    </row>
    <row r="88" spans="1:16" ht="15" hidden="1" customHeight="1" x14ac:dyDescent="0.2">
      <c r="A88" s="46" t="s">
        <v>368</v>
      </c>
      <c r="B88" s="83" t="s">
        <v>1415</v>
      </c>
      <c r="C88" s="24">
        <v>201</v>
      </c>
      <c r="G88" s="37" t="s">
        <v>890</v>
      </c>
      <c r="H88" s="24" t="s">
        <v>2192</v>
      </c>
      <c r="I88" s="24">
        <v>331</v>
      </c>
      <c r="J88" s="24">
        <v>1111</v>
      </c>
      <c r="K88" s="24" t="s">
        <v>21</v>
      </c>
      <c r="L88" s="24">
        <v>1</v>
      </c>
      <c r="M88" s="82">
        <v>1006560</v>
      </c>
      <c r="N88" s="82">
        <f t="shared" si="2"/>
        <v>1006560</v>
      </c>
      <c r="O88" s="24" t="s">
        <v>22</v>
      </c>
      <c r="P88" s="24">
        <v>85</v>
      </c>
    </row>
    <row r="89" spans="1:16" ht="15" hidden="1" customHeight="1" x14ac:dyDescent="0.2">
      <c r="A89" s="46" t="s">
        <v>368</v>
      </c>
      <c r="B89" s="83" t="s">
        <v>2124</v>
      </c>
      <c r="C89" s="24">
        <v>198</v>
      </c>
      <c r="G89" s="37" t="s">
        <v>2139</v>
      </c>
      <c r="H89" s="24" t="s">
        <v>2193</v>
      </c>
      <c r="I89" s="24">
        <v>331</v>
      </c>
      <c r="J89" s="24">
        <v>1111</v>
      </c>
      <c r="K89" s="24" t="s">
        <v>21</v>
      </c>
      <c r="L89" s="24">
        <v>1</v>
      </c>
      <c r="M89" s="82">
        <v>1417500</v>
      </c>
      <c r="N89" s="82">
        <f t="shared" si="2"/>
        <v>1417500</v>
      </c>
      <c r="O89" s="24" t="s">
        <v>22</v>
      </c>
      <c r="P89" s="24">
        <v>86</v>
      </c>
    </row>
    <row r="90" spans="1:16" ht="15" hidden="1" customHeight="1" x14ac:dyDescent="0.2">
      <c r="A90" s="46" t="s">
        <v>368</v>
      </c>
      <c r="B90" s="83" t="s">
        <v>2047</v>
      </c>
      <c r="C90" s="24">
        <v>215</v>
      </c>
      <c r="G90" s="37" t="s">
        <v>2140</v>
      </c>
      <c r="H90" s="24" t="s">
        <v>2194</v>
      </c>
      <c r="I90" s="24">
        <v>331</v>
      </c>
      <c r="J90" s="24">
        <v>1111</v>
      </c>
      <c r="K90" s="24" t="s">
        <v>21</v>
      </c>
      <c r="L90" s="24">
        <v>1</v>
      </c>
      <c r="M90" s="82">
        <v>446000</v>
      </c>
      <c r="N90" s="82">
        <f t="shared" si="2"/>
        <v>446000</v>
      </c>
      <c r="O90" s="24" t="s">
        <v>22</v>
      </c>
      <c r="P90" s="24">
        <v>87</v>
      </c>
    </row>
    <row r="91" spans="1:16" ht="15" hidden="1" customHeight="1" x14ac:dyDescent="0.2">
      <c r="A91" s="46" t="s">
        <v>368</v>
      </c>
      <c r="B91" s="83" t="s">
        <v>2125</v>
      </c>
      <c r="C91" s="24">
        <v>156</v>
      </c>
      <c r="G91" s="37" t="s">
        <v>1658</v>
      </c>
      <c r="H91" s="24" t="s">
        <v>2195</v>
      </c>
      <c r="I91" s="24">
        <v>331</v>
      </c>
      <c r="J91" s="24">
        <v>1111</v>
      </c>
      <c r="K91" s="24" t="s">
        <v>21</v>
      </c>
      <c r="L91" s="24">
        <v>1</v>
      </c>
      <c r="M91" s="82">
        <v>1050840</v>
      </c>
      <c r="N91" s="82">
        <f t="shared" si="2"/>
        <v>1050840</v>
      </c>
      <c r="O91" s="24" t="s">
        <v>22</v>
      </c>
      <c r="P91" s="24">
        <v>88</v>
      </c>
    </row>
    <row r="92" spans="1:16" ht="15" hidden="1" customHeight="1" x14ac:dyDescent="0.2">
      <c r="A92" s="46" t="s">
        <v>368</v>
      </c>
      <c r="B92" s="83" t="s">
        <v>2126</v>
      </c>
      <c r="C92" s="24">
        <v>158</v>
      </c>
      <c r="G92" s="37" t="s">
        <v>46</v>
      </c>
      <c r="H92" s="24" t="s">
        <v>2196</v>
      </c>
      <c r="I92" s="24">
        <v>331</v>
      </c>
      <c r="J92" s="24">
        <v>1111</v>
      </c>
      <c r="K92" s="24" t="s">
        <v>21</v>
      </c>
      <c r="L92" s="24">
        <v>1</v>
      </c>
      <c r="M92" s="82">
        <v>1472040</v>
      </c>
      <c r="N92" s="82">
        <f t="shared" si="2"/>
        <v>1472040</v>
      </c>
      <c r="O92" s="24" t="s">
        <v>22</v>
      </c>
      <c r="P92" s="24">
        <v>89</v>
      </c>
    </row>
    <row r="93" spans="1:16" ht="15" hidden="1" customHeight="1" x14ac:dyDescent="0.2">
      <c r="A93" s="46" t="s">
        <v>368</v>
      </c>
      <c r="B93" s="83" t="s">
        <v>2050</v>
      </c>
      <c r="C93" s="24">
        <v>190</v>
      </c>
      <c r="G93" s="37" t="s">
        <v>890</v>
      </c>
      <c r="H93" s="24" t="s">
        <v>2197</v>
      </c>
      <c r="I93" s="24">
        <v>331</v>
      </c>
      <c r="J93" s="24">
        <v>1111</v>
      </c>
      <c r="K93" s="24" t="s">
        <v>21</v>
      </c>
      <c r="L93" s="24">
        <v>1</v>
      </c>
      <c r="M93" s="82">
        <v>1568160</v>
      </c>
      <c r="N93" s="82">
        <f t="shared" si="2"/>
        <v>1568160</v>
      </c>
      <c r="O93" s="24" t="s">
        <v>22</v>
      </c>
      <c r="P93" s="24">
        <v>90</v>
      </c>
    </row>
    <row r="94" spans="1:16" ht="15" hidden="1" customHeight="1" x14ac:dyDescent="0.2">
      <c r="A94" s="46" t="s">
        <v>368</v>
      </c>
      <c r="B94" s="83" t="s">
        <v>2050</v>
      </c>
      <c r="C94" s="24">
        <v>191</v>
      </c>
      <c r="G94" s="37" t="s">
        <v>2140</v>
      </c>
      <c r="H94" s="24" t="s">
        <v>2198</v>
      </c>
      <c r="I94" s="24">
        <v>331</v>
      </c>
      <c r="J94" s="24">
        <v>1111</v>
      </c>
      <c r="K94" s="24" t="s">
        <v>21</v>
      </c>
      <c r="L94" s="24">
        <v>1</v>
      </c>
      <c r="M94" s="82">
        <v>1393000</v>
      </c>
      <c r="N94" s="82">
        <f t="shared" si="2"/>
        <v>1393000</v>
      </c>
      <c r="O94" s="24" t="s">
        <v>22</v>
      </c>
      <c r="P94" s="24">
        <v>91</v>
      </c>
    </row>
    <row r="95" spans="1:16" ht="15" hidden="1" customHeight="1" x14ac:dyDescent="0.2">
      <c r="A95" s="46" t="s">
        <v>368</v>
      </c>
      <c r="B95" s="83" t="s">
        <v>2078</v>
      </c>
      <c r="C95" s="24">
        <v>218</v>
      </c>
      <c r="G95" s="37" t="s">
        <v>2141</v>
      </c>
      <c r="H95" s="24" t="s">
        <v>2199</v>
      </c>
      <c r="I95" s="24">
        <v>331</v>
      </c>
      <c r="J95" s="24">
        <v>1111</v>
      </c>
      <c r="K95" s="24" t="s">
        <v>21</v>
      </c>
      <c r="L95" s="24">
        <v>1</v>
      </c>
      <c r="M95" s="82">
        <v>589680</v>
      </c>
      <c r="N95" s="82">
        <f t="shared" si="2"/>
        <v>589680</v>
      </c>
      <c r="O95" s="24" t="s">
        <v>22</v>
      </c>
      <c r="P95" s="24">
        <v>92</v>
      </c>
    </row>
    <row r="96" spans="1:16" ht="15" hidden="1" customHeight="1" x14ac:dyDescent="0.2">
      <c r="A96" s="46" t="s">
        <v>368</v>
      </c>
      <c r="B96" s="83">
        <v>45930</v>
      </c>
      <c r="C96" s="24">
        <v>142</v>
      </c>
      <c r="G96" s="37" t="s">
        <v>2170</v>
      </c>
      <c r="H96" s="24" t="s">
        <v>2200</v>
      </c>
      <c r="I96" s="24">
        <v>331</v>
      </c>
      <c r="J96" s="24">
        <v>1111</v>
      </c>
      <c r="K96" s="24" t="s">
        <v>21</v>
      </c>
      <c r="L96" s="24">
        <v>1</v>
      </c>
      <c r="M96" s="82">
        <v>300000</v>
      </c>
      <c r="N96" s="82">
        <f t="shared" si="2"/>
        <v>300000</v>
      </c>
      <c r="O96" s="24" t="s">
        <v>22</v>
      </c>
      <c r="P96" s="24">
        <v>93</v>
      </c>
    </row>
    <row r="97" spans="1:16" ht="15" hidden="1" customHeight="1" x14ac:dyDescent="0.2">
      <c r="A97" s="24" t="s">
        <v>33</v>
      </c>
      <c r="B97" s="83">
        <v>45869</v>
      </c>
      <c r="C97" s="24">
        <v>108</v>
      </c>
      <c r="G97" s="37" t="s">
        <v>55</v>
      </c>
      <c r="H97" s="24" t="s">
        <v>2202</v>
      </c>
      <c r="I97" s="24">
        <v>112111</v>
      </c>
      <c r="J97" s="24">
        <v>131</v>
      </c>
      <c r="K97" s="46" t="s">
        <v>21</v>
      </c>
      <c r="L97" s="46">
        <v>1</v>
      </c>
      <c r="M97" s="82">
        <v>11290323</v>
      </c>
      <c r="N97" s="86">
        <f t="shared" ref="N97:N140" si="3">L97*M97</f>
        <v>11290323</v>
      </c>
      <c r="O97" s="24" t="s">
        <v>22</v>
      </c>
      <c r="P97" s="24">
        <v>94</v>
      </c>
    </row>
    <row r="98" spans="1:16" ht="15" hidden="1" customHeight="1" x14ac:dyDescent="0.2">
      <c r="A98" s="24" t="s">
        <v>33</v>
      </c>
      <c r="B98" s="83">
        <v>45868</v>
      </c>
      <c r="C98" s="24">
        <v>100</v>
      </c>
      <c r="G98" s="37" t="s">
        <v>96</v>
      </c>
      <c r="H98" s="24" t="s">
        <v>2210</v>
      </c>
      <c r="I98" s="24">
        <v>112111</v>
      </c>
      <c r="J98" s="24">
        <v>131</v>
      </c>
      <c r="K98" s="46" t="s">
        <v>21</v>
      </c>
      <c r="L98" s="46">
        <v>1</v>
      </c>
      <c r="M98" s="82">
        <v>11290323</v>
      </c>
      <c r="N98" s="86">
        <f t="shared" si="3"/>
        <v>11290323</v>
      </c>
      <c r="O98" s="38" t="s">
        <v>22</v>
      </c>
      <c r="P98" s="24">
        <v>95</v>
      </c>
    </row>
    <row r="99" spans="1:16" ht="15" hidden="1" customHeight="1" x14ac:dyDescent="0.2">
      <c r="A99" s="24" t="s">
        <v>33</v>
      </c>
      <c r="B99" s="83">
        <v>45868</v>
      </c>
      <c r="C99" s="24">
        <v>101</v>
      </c>
      <c r="G99" s="37" t="s">
        <v>96</v>
      </c>
      <c r="H99" s="24" t="s">
        <v>2209</v>
      </c>
      <c r="I99" s="24">
        <v>112111</v>
      </c>
      <c r="J99" s="24">
        <v>131</v>
      </c>
      <c r="K99" s="46" t="s">
        <v>21</v>
      </c>
      <c r="L99" s="46">
        <v>1</v>
      </c>
      <c r="M99" s="82">
        <v>11290323</v>
      </c>
      <c r="N99" s="86">
        <f t="shared" si="3"/>
        <v>11290323</v>
      </c>
      <c r="O99" s="38" t="s">
        <v>22</v>
      </c>
      <c r="P99" s="24">
        <v>96</v>
      </c>
    </row>
    <row r="100" spans="1:16" ht="15" hidden="1" customHeight="1" x14ac:dyDescent="0.2">
      <c r="A100" s="24" t="s">
        <v>89</v>
      </c>
      <c r="B100" s="83">
        <v>45868</v>
      </c>
      <c r="C100" s="24">
        <v>102</v>
      </c>
      <c r="G100" s="79" t="s">
        <v>2208</v>
      </c>
      <c r="H100" s="42" t="s">
        <v>1008</v>
      </c>
      <c r="I100" s="42">
        <v>1111</v>
      </c>
      <c r="J100" s="42">
        <v>112111</v>
      </c>
      <c r="K100" s="46" t="s">
        <v>21</v>
      </c>
      <c r="L100" s="46">
        <v>1</v>
      </c>
      <c r="M100" s="82">
        <v>41000000</v>
      </c>
      <c r="N100" s="86">
        <f t="shared" si="3"/>
        <v>41000000</v>
      </c>
      <c r="O100" s="38" t="s">
        <v>22</v>
      </c>
      <c r="P100" s="24">
        <v>97</v>
      </c>
    </row>
    <row r="101" spans="1:16" ht="15" hidden="1" customHeight="1" x14ac:dyDescent="0.2">
      <c r="A101" s="24" t="s">
        <v>89</v>
      </c>
      <c r="B101" s="83">
        <v>45868</v>
      </c>
      <c r="C101" s="24">
        <v>103</v>
      </c>
      <c r="G101" s="37" t="s">
        <v>2207</v>
      </c>
      <c r="H101" s="24" t="s">
        <v>2056</v>
      </c>
      <c r="I101" s="24">
        <v>333821</v>
      </c>
      <c r="J101" s="24">
        <v>112111</v>
      </c>
      <c r="K101" s="46" t="s">
        <v>21</v>
      </c>
      <c r="L101" s="46">
        <v>1</v>
      </c>
      <c r="M101" s="82">
        <v>17923710</v>
      </c>
      <c r="N101" s="86">
        <f t="shared" si="3"/>
        <v>17923710</v>
      </c>
      <c r="O101" s="38" t="s">
        <v>22</v>
      </c>
      <c r="P101" s="24">
        <v>98</v>
      </c>
    </row>
    <row r="102" spans="1:16" ht="15" hidden="1" customHeight="1" x14ac:dyDescent="0.2">
      <c r="A102" s="24" t="s">
        <v>89</v>
      </c>
      <c r="B102" s="83">
        <v>45868</v>
      </c>
      <c r="C102" s="24">
        <v>104</v>
      </c>
      <c r="G102" s="37" t="s">
        <v>2207</v>
      </c>
      <c r="H102" s="24" t="s">
        <v>2056</v>
      </c>
      <c r="I102" s="24">
        <v>333821</v>
      </c>
      <c r="J102" s="24">
        <v>112111</v>
      </c>
      <c r="K102" s="46" t="s">
        <v>21</v>
      </c>
      <c r="L102" s="46">
        <v>1</v>
      </c>
      <c r="M102" s="82">
        <v>7964039</v>
      </c>
      <c r="N102" s="86">
        <f t="shared" si="3"/>
        <v>7964039</v>
      </c>
      <c r="O102" s="38" t="s">
        <v>22</v>
      </c>
      <c r="P102" s="24">
        <v>99</v>
      </c>
    </row>
    <row r="103" spans="1:16" ht="15" hidden="1" customHeight="1" x14ac:dyDescent="0.2">
      <c r="A103" s="24" t="s">
        <v>89</v>
      </c>
      <c r="B103" s="83">
        <v>45868</v>
      </c>
      <c r="C103" s="24">
        <v>105</v>
      </c>
      <c r="G103" s="37" t="s">
        <v>2207</v>
      </c>
      <c r="H103" s="24" t="s">
        <v>2056</v>
      </c>
      <c r="I103" s="24">
        <v>333821</v>
      </c>
      <c r="J103" s="24">
        <v>112111</v>
      </c>
      <c r="K103" s="46" t="s">
        <v>21</v>
      </c>
      <c r="L103" s="46">
        <v>1</v>
      </c>
      <c r="M103" s="82">
        <v>153050</v>
      </c>
      <c r="N103" s="86">
        <f t="shared" si="3"/>
        <v>153050</v>
      </c>
      <c r="O103" s="38" t="s">
        <v>22</v>
      </c>
      <c r="P103" s="24">
        <v>100</v>
      </c>
    </row>
    <row r="104" spans="1:16" ht="15" hidden="1" customHeight="1" x14ac:dyDescent="0.2">
      <c r="A104" s="24" t="s">
        <v>33</v>
      </c>
      <c r="B104" s="83">
        <v>45868</v>
      </c>
      <c r="C104" s="24">
        <v>106</v>
      </c>
      <c r="G104" s="37" t="s">
        <v>2080</v>
      </c>
      <c r="H104" s="24" t="s">
        <v>2206</v>
      </c>
      <c r="I104" s="24">
        <v>112111</v>
      </c>
      <c r="J104" s="24">
        <v>131</v>
      </c>
      <c r="K104" s="46" t="s">
        <v>21</v>
      </c>
      <c r="L104" s="46">
        <v>1</v>
      </c>
      <c r="M104" s="82">
        <v>15591398</v>
      </c>
      <c r="N104" s="86">
        <f t="shared" si="3"/>
        <v>15591398</v>
      </c>
      <c r="O104" s="38" t="s">
        <v>22</v>
      </c>
      <c r="P104" s="24">
        <v>101</v>
      </c>
    </row>
    <row r="105" spans="1:16" ht="15" hidden="1" customHeight="1" x14ac:dyDescent="0.2">
      <c r="A105" s="24" t="s">
        <v>33</v>
      </c>
      <c r="B105" s="83">
        <v>45866</v>
      </c>
      <c r="C105" s="24">
        <v>98</v>
      </c>
      <c r="G105" s="37" t="s">
        <v>1136</v>
      </c>
      <c r="H105" s="24" t="s">
        <v>2205</v>
      </c>
      <c r="I105" s="24">
        <v>112111</v>
      </c>
      <c r="J105" s="24">
        <v>131</v>
      </c>
      <c r="K105" s="46" t="s">
        <v>21</v>
      </c>
      <c r="L105" s="46">
        <v>1</v>
      </c>
      <c r="M105" s="82">
        <v>11290322</v>
      </c>
      <c r="N105" s="86">
        <f t="shared" si="3"/>
        <v>11290322</v>
      </c>
      <c r="O105" s="38" t="s">
        <v>22</v>
      </c>
      <c r="P105" s="24">
        <v>102</v>
      </c>
    </row>
    <row r="106" spans="1:16" ht="15" hidden="1" customHeight="1" x14ac:dyDescent="0.2">
      <c r="A106" s="24" t="s">
        <v>33</v>
      </c>
      <c r="B106" s="83">
        <v>45866</v>
      </c>
      <c r="C106" s="24">
        <v>99</v>
      </c>
      <c r="G106" s="37" t="s">
        <v>2204</v>
      </c>
      <c r="H106" s="24" t="s">
        <v>129</v>
      </c>
      <c r="I106" s="24">
        <v>112111</v>
      </c>
      <c r="J106" s="24">
        <v>5154</v>
      </c>
      <c r="K106" s="46" t="s">
        <v>21</v>
      </c>
      <c r="L106" s="46">
        <v>1</v>
      </c>
      <c r="M106" s="82">
        <v>241</v>
      </c>
      <c r="N106" s="86">
        <f t="shared" si="3"/>
        <v>241</v>
      </c>
      <c r="O106" s="38" t="s">
        <v>22</v>
      </c>
      <c r="P106" s="24">
        <v>103</v>
      </c>
    </row>
    <row r="107" spans="1:16" ht="15" hidden="1" customHeight="1" x14ac:dyDescent="0.2">
      <c r="A107" s="24" t="s">
        <v>33</v>
      </c>
      <c r="B107" s="83">
        <v>45860</v>
      </c>
      <c r="C107" s="24">
        <v>97</v>
      </c>
      <c r="G107" s="37" t="s">
        <v>2079</v>
      </c>
      <c r="H107" s="24" t="s">
        <v>2213</v>
      </c>
      <c r="I107" s="24">
        <v>112111</v>
      </c>
      <c r="J107" s="24">
        <v>131</v>
      </c>
      <c r="K107" s="46" t="s">
        <v>21</v>
      </c>
      <c r="L107" s="46">
        <v>1</v>
      </c>
      <c r="M107" s="82">
        <v>5250000</v>
      </c>
      <c r="N107" s="86">
        <f t="shared" si="3"/>
        <v>5250000</v>
      </c>
      <c r="O107" s="38" t="s">
        <v>22</v>
      </c>
      <c r="P107" s="24">
        <v>104</v>
      </c>
    </row>
    <row r="108" spans="1:16" ht="15" hidden="1" customHeight="1" x14ac:dyDescent="0.2">
      <c r="A108" s="24" t="s">
        <v>33</v>
      </c>
      <c r="B108" s="83">
        <v>45849</v>
      </c>
      <c r="C108" s="24">
        <v>96</v>
      </c>
      <c r="G108" s="37" t="s">
        <v>810</v>
      </c>
      <c r="H108" s="24" t="s">
        <v>2201</v>
      </c>
      <c r="I108" s="24">
        <v>112111</v>
      </c>
      <c r="J108" s="24">
        <v>131</v>
      </c>
      <c r="K108" s="46" t="s">
        <v>21</v>
      </c>
      <c r="L108" s="46">
        <v>1</v>
      </c>
      <c r="M108" s="82">
        <v>1364409</v>
      </c>
      <c r="N108" s="86">
        <f t="shared" si="3"/>
        <v>1364409</v>
      </c>
      <c r="O108" s="38" t="s">
        <v>22</v>
      </c>
      <c r="P108" s="24">
        <v>105</v>
      </c>
    </row>
    <row r="109" spans="1:16" ht="15" hidden="1" customHeight="1" x14ac:dyDescent="0.2">
      <c r="A109" s="24" t="s">
        <v>33</v>
      </c>
      <c r="B109" s="83">
        <v>45848</v>
      </c>
      <c r="C109" s="24">
        <v>95</v>
      </c>
      <c r="G109" s="37" t="s">
        <v>96</v>
      </c>
      <c r="H109" s="24" t="s">
        <v>2211</v>
      </c>
      <c r="I109" s="24">
        <v>112111</v>
      </c>
      <c r="J109" s="24">
        <v>131</v>
      </c>
      <c r="K109" s="46" t="s">
        <v>21</v>
      </c>
      <c r="L109" s="46">
        <v>1</v>
      </c>
      <c r="M109" s="82">
        <v>11290323</v>
      </c>
      <c r="N109" s="86">
        <f t="shared" si="3"/>
        <v>11290323</v>
      </c>
      <c r="O109" s="38" t="s">
        <v>22</v>
      </c>
      <c r="P109" s="24">
        <v>106</v>
      </c>
    </row>
    <row r="110" spans="1:16" ht="15" hidden="1" customHeight="1" x14ac:dyDescent="0.2">
      <c r="A110" s="24" t="s">
        <v>33</v>
      </c>
      <c r="B110" s="83">
        <v>45847</v>
      </c>
      <c r="C110" s="24">
        <v>94</v>
      </c>
      <c r="G110" s="37" t="s">
        <v>810</v>
      </c>
      <c r="H110" s="24" t="s">
        <v>2201</v>
      </c>
      <c r="I110" s="24">
        <v>112111</v>
      </c>
      <c r="J110" s="24">
        <v>131</v>
      </c>
      <c r="K110" s="46" t="s">
        <v>21</v>
      </c>
      <c r="L110" s="46">
        <v>1</v>
      </c>
      <c r="M110" s="82">
        <v>12279677</v>
      </c>
      <c r="N110" s="86">
        <f t="shared" si="3"/>
        <v>12279677</v>
      </c>
      <c r="O110" s="38" t="s">
        <v>22</v>
      </c>
      <c r="P110" s="24">
        <v>107</v>
      </c>
    </row>
    <row r="111" spans="1:16" ht="15" hidden="1" customHeight="1" x14ac:dyDescent="0.2">
      <c r="A111" s="24" t="s">
        <v>89</v>
      </c>
      <c r="B111" s="83">
        <v>45900</v>
      </c>
      <c r="C111" s="24">
        <v>124</v>
      </c>
      <c r="G111" s="79" t="s">
        <v>2208</v>
      </c>
      <c r="H111" s="42" t="s">
        <v>1008</v>
      </c>
      <c r="I111" s="42">
        <v>1111</v>
      </c>
      <c r="J111" s="42">
        <v>112111</v>
      </c>
      <c r="K111" s="46" t="s">
        <v>21</v>
      </c>
      <c r="L111" s="46">
        <v>1</v>
      </c>
      <c r="M111" s="82">
        <v>73000000</v>
      </c>
      <c r="N111" s="86">
        <f t="shared" si="3"/>
        <v>73000000</v>
      </c>
      <c r="O111" s="38" t="s">
        <v>22</v>
      </c>
      <c r="P111" s="24">
        <v>108</v>
      </c>
    </row>
    <row r="112" spans="1:16" ht="15" hidden="1" customHeight="1" x14ac:dyDescent="0.2">
      <c r="A112" s="24" t="s">
        <v>33</v>
      </c>
      <c r="B112" s="83">
        <v>45897</v>
      </c>
      <c r="C112" s="24">
        <v>120</v>
      </c>
      <c r="G112" s="37" t="s">
        <v>96</v>
      </c>
      <c r="H112" s="24" t="s">
        <v>2221</v>
      </c>
      <c r="I112" s="46">
        <v>112111</v>
      </c>
      <c r="J112" s="13">
        <v>131</v>
      </c>
      <c r="K112" s="46" t="s">
        <v>21</v>
      </c>
      <c r="L112" s="46">
        <v>1</v>
      </c>
      <c r="M112" s="82">
        <v>35806452</v>
      </c>
      <c r="N112" s="86">
        <f t="shared" si="3"/>
        <v>35806452</v>
      </c>
      <c r="O112" s="38" t="s">
        <v>22</v>
      </c>
      <c r="P112" s="24">
        <v>109</v>
      </c>
    </row>
    <row r="113" spans="1:16" ht="15" hidden="1" customHeight="1" x14ac:dyDescent="0.2">
      <c r="A113" s="24" t="s">
        <v>33</v>
      </c>
      <c r="B113" s="83">
        <v>45897</v>
      </c>
      <c r="C113" s="24">
        <v>121</v>
      </c>
      <c r="G113" s="37" t="s">
        <v>96</v>
      </c>
      <c r="H113" s="24" t="s">
        <v>2220</v>
      </c>
      <c r="I113" s="46">
        <v>112111</v>
      </c>
      <c r="J113" s="13">
        <v>131</v>
      </c>
      <c r="K113" s="46" t="s">
        <v>21</v>
      </c>
      <c r="L113" s="46">
        <v>1</v>
      </c>
      <c r="M113" s="82">
        <v>11827957</v>
      </c>
      <c r="N113" s="86">
        <f t="shared" si="3"/>
        <v>11827957</v>
      </c>
      <c r="O113" s="24" t="s">
        <v>22</v>
      </c>
      <c r="P113" s="24">
        <v>110</v>
      </c>
    </row>
    <row r="114" spans="1:16" ht="15" hidden="1" customHeight="1" x14ac:dyDescent="0.2">
      <c r="A114" s="24" t="s">
        <v>33</v>
      </c>
      <c r="B114" s="83">
        <v>45897</v>
      </c>
      <c r="C114" s="24">
        <v>122</v>
      </c>
      <c r="G114" s="37" t="s">
        <v>2204</v>
      </c>
      <c r="H114" s="24" t="s">
        <v>129</v>
      </c>
      <c r="I114" s="24">
        <v>112111</v>
      </c>
      <c r="J114" s="24">
        <v>5154</v>
      </c>
      <c r="K114" s="46" t="s">
        <v>21</v>
      </c>
      <c r="L114" s="46">
        <v>1</v>
      </c>
      <c r="M114" s="82">
        <v>1804</v>
      </c>
      <c r="N114" s="86">
        <f t="shared" si="3"/>
        <v>1804</v>
      </c>
      <c r="O114" s="24" t="s">
        <v>22</v>
      </c>
      <c r="P114" s="24">
        <v>111</v>
      </c>
    </row>
    <row r="115" spans="1:16" ht="15" hidden="1" customHeight="1" x14ac:dyDescent="0.2">
      <c r="A115" s="24" t="s">
        <v>89</v>
      </c>
      <c r="B115" s="83">
        <v>45896</v>
      </c>
      <c r="C115" s="24">
        <v>119</v>
      </c>
      <c r="G115" s="79" t="s">
        <v>252</v>
      </c>
      <c r="H115" s="46" t="s">
        <v>2219</v>
      </c>
      <c r="I115" s="24">
        <v>3383</v>
      </c>
      <c r="J115" s="46">
        <v>112111</v>
      </c>
      <c r="K115" s="46" t="s">
        <v>21</v>
      </c>
      <c r="L115" s="46">
        <v>1</v>
      </c>
      <c r="M115" s="82">
        <v>1380600</v>
      </c>
      <c r="N115" s="86">
        <f t="shared" si="3"/>
        <v>1380600</v>
      </c>
      <c r="O115" s="24" t="s">
        <v>22</v>
      </c>
      <c r="P115" s="24">
        <v>112</v>
      </c>
    </row>
    <row r="116" spans="1:16" ht="15" hidden="1" customHeight="1" x14ac:dyDescent="0.2">
      <c r="A116" s="24" t="s">
        <v>33</v>
      </c>
      <c r="B116" s="83">
        <v>45894</v>
      </c>
      <c r="C116" s="24">
        <v>118</v>
      </c>
      <c r="G116" s="37" t="s">
        <v>627</v>
      </c>
      <c r="H116" s="24" t="s">
        <v>2218</v>
      </c>
      <c r="I116" s="46">
        <v>112111</v>
      </c>
      <c r="J116" s="13">
        <v>131</v>
      </c>
      <c r="K116" s="46" t="s">
        <v>21</v>
      </c>
      <c r="L116" s="46">
        <v>1</v>
      </c>
      <c r="M116" s="82">
        <v>11177419</v>
      </c>
      <c r="N116" s="86">
        <f t="shared" si="3"/>
        <v>11177419</v>
      </c>
      <c r="O116" s="24" t="s">
        <v>22</v>
      </c>
      <c r="P116" s="24">
        <v>113</v>
      </c>
    </row>
    <row r="117" spans="1:16" ht="15" customHeight="1" x14ac:dyDescent="0.2">
      <c r="A117" s="24" t="s">
        <v>33</v>
      </c>
      <c r="B117" s="83">
        <v>45891</v>
      </c>
      <c r="C117" s="24">
        <v>116</v>
      </c>
      <c r="G117" s="15" t="s">
        <v>1235</v>
      </c>
      <c r="H117" s="13" t="s">
        <v>1578</v>
      </c>
      <c r="I117" s="13">
        <v>131</v>
      </c>
      <c r="J117" s="13">
        <v>5118</v>
      </c>
      <c r="K117" s="46" t="s">
        <v>21</v>
      </c>
      <c r="L117" s="46">
        <v>1</v>
      </c>
      <c r="M117" s="82">
        <v>13917625</v>
      </c>
      <c r="N117" s="86">
        <f t="shared" si="3"/>
        <v>13917625</v>
      </c>
      <c r="O117" s="24" t="s">
        <v>22</v>
      </c>
      <c r="P117" s="24">
        <v>114</v>
      </c>
    </row>
    <row r="118" spans="1:16" ht="15" hidden="1" customHeight="1" x14ac:dyDescent="0.2">
      <c r="A118" s="24" t="s">
        <v>18</v>
      </c>
      <c r="B118" s="83">
        <v>45891</v>
      </c>
      <c r="C118" s="24">
        <v>117</v>
      </c>
      <c r="G118" s="15" t="s">
        <v>1235</v>
      </c>
      <c r="H118" s="13" t="s">
        <v>1579</v>
      </c>
      <c r="I118" s="46">
        <v>112111</v>
      </c>
      <c r="J118" s="13">
        <v>131</v>
      </c>
      <c r="K118" s="46" t="s">
        <v>21</v>
      </c>
      <c r="L118" s="46">
        <v>1</v>
      </c>
      <c r="M118" s="82">
        <v>13917625</v>
      </c>
      <c r="N118" s="86">
        <f t="shared" si="3"/>
        <v>13917625</v>
      </c>
      <c r="O118" s="24" t="s">
        <v>22</v>
      </c>
      <c r="P118" s="24">
        <v>115</v>
      </c>
    </row>
    <row r="119" spans="1:16" ht="15" hidden="1" customHeight="1" x14ac:dyDescent="0.2">
      <c r="A119" s="24" t="s">
        <v>33</v>
      </c>
      <c r="B119" s="83">
        <v>45884</v>
      </c>
      <c r="C119" s="24">
        <v>115</v>
      </c>
      <c r="G119" s="37" t="s">
        <v>2079</v>
      </c>
      <c r="H119" s="24" t="s">
        <v>2203</v>
      </c>
      <c r="I119" s="24">
        <v>112111</v>
      </c>
      <c r="J119" s="24">
        <v>131</v>
      </c>
      <c r="K119" s="46" t="s">
        <v>21</v>
      </c>
      <c r="L119" s="46">
        <v>1</v>
      </c>
      <c r="M119" s="82">
        <v>2688172</v>
      </c>
      <c r="N119" s="86">
        <f t="shared" si="3"/>
        <v>2688172</v>
      </c>
      <c r="O119" s="38" t="s">
        <v>22</v>
      </c>
      <c r="P119" s="24">
        <v>116</v>
      </c>
    </row>
    <row r="120" spans="1:16" ht="15" hidden="1" customHeight="1" x14ac:dyDescent="0.2">
      <c r="A120" s="24" t="s">
        <v>89</v>
      </c>
      <c r="B120" s="83">
        <v>45883</v>
      </c>
      <c r="C120" s="24">
        <v>113</v>
      </c>
      <c r="G120" s="79" t="s">
        <v>2208</v>
      </c>
      <c r="H120" s="42" t="s">
        <v>1008</v>
      </c>
      <c r="I120" s="42">
        <v>1111</v>
      </c>
      <c r="J120" s="42">
        <v>112111</v>
      </c>
      <c r="K120" s="46" t="s">
        <v>21</v>
      </c>
      <c r="L120" s="46">
        <v>1</v>
      </c>
      <c r="M120" s="82">
        <v>48000000</v>
      </c>
      <c r="N120" s="86">
        <f t="shared" si="3"/>
        <v>48000000</v>
      </c>
      <c r="O120" s="38" t="s">
        <v>22</v>
      </c>
      <c r="P120" s="24">
        <v>117</v>
      </c>
    </row>
    <row r="121" spans="1:16" ht="15" hidden="1" customHeight="1" x14ac:dyDescent="0.2">
      <c r="A121" s="24" t="s">
        <v>33</v>
      </c>
      <c r="B121" s="83">
        <v>45883</v>
      </c>
      <c r="C121" s="24">
        <v>114</v>
      </c>
      <c r="G121" s="37" t="s">
        <v>1685</v>
      </c>
      <c r="H121" s="24" t="s">
        <v>2215</v>
      </c>
      <c r="I121" s="24">
        <v>112111</v>
      </c>
      <c r="J121" s="24">
        <v>131</v>
      </c>
      <c r="K121" s="46" t="s">
        <v>21</v>
      </c>
      <c r="L121" s="46">
        <v>1</v>
      </c>
      <c r="M121" s="82">
        <v>16129032</v>
      </c>
      <c r="N121" s="86">
        <f t="shared" si="3"/>
        <v>16129032</v>
      </c>
      <c r="O121" s="38" t="s">
        <v>22</v>
      </c>
      <c r="P121" s="24">
        <v>118</v>
      </c>
    </row>
    <row r="122" spans="1:16" ht="15" hidden="1" customHeight="1" x14ac:dyDescent="0.2">
      <c r="A122" s="24" t="s">
        <v>33</v>
      </c>
      <c r="B122" s="83">
        <v>45881</v>
      </c>
      <c r="C122" s="24">
        <v>111</v>
      </c>
      <c r="G122" s="37" t="s">
        <v>55</v>
      </c>
      <c r="H122" s="24" t="s">
        <v>2212</v>
      </c>
      <c r="I122" s="24">
        <v>112111</v>
      </c>
      <c r="J122" s="24">
        <v>131</v>
      </c>
      <c r="K122" s="46" t="s">
        <v>21</v>
      </c>
      <c r="L122" s="46">
        <v>1</v>
      </c>
      <c r="M122" s="82">
        <v>11290323</v>
      </c>
      <c r="N122" s="86">
        <f t="shared" si="3"/>
        <v>11290323</v>
      </c>
      <c r="O122" s="38" t="s">
        <v>22</v>
      </c>
      <c r="P122" s="24">
        <v>119</v>
      </c>
    </row>
    <row r="123" spans="1:16" ht="15" hidden="1" customHeight="1" x14ac:dyDescent="0.2">
      <c r="A123" s="24" t="s">
        <v>33</v>
      </c>
      <c r="B123" s="83">
        <v>45881</v>
      </c>
      <c r="C123" s="24">
        <v>112</v>
      </c>
      <c r="G123" s="37" t="s">
        <v>632</v>
      </c>
      <c r="H123" s="24" t="s">
        <v>2214</v>
      </c>
      <c r="I123" s="24">
        <v>112111</v>
      </c>
      <c r="J123" s="24">
        <v>131</v>
      </c>
      <c r="K123" s="46" t="s">
        <v>21</v>
      </c>
      <c r="L123" s="46">
        <v>1</v>
      </c>
      <c r="M123" s="82">
        <v>13440860</v>
      </c>
      <c r="N123" s="86">
        <f t="shared" si="3"/>
        <v>13440860</v>
      </c>
      <c r="O123" s="38" t="s">
        <v>22</v>
      </c>
      <c r="P123" s="24">
        <v>120</v>
      </c>
    </row>
    <row r="124" spans="1:16" ht="15" hidden="1" customHeight="1" x14ac:dyDescent="0.2">
      <c r="A124" s="24" t="s">
        <v>33</v>
      </c>
      <c r="B124" s="83">
        <v>45878</v>
      </c>
      <c r="C124" s="24">
        <v>110</v>
      </c>
      <c r="G124" s="37" t="s">
        <v>2079</v>
      </c>
      <c r="H124" s="24" t="s">
        <v>2213</v>
      </c>
      <c r="I124" s="24">
        <v>112111</v>
      </c>
      <c r="J124" s="24">
        <v>131</v>
      </c>
      <c r="K124" s="46" t="s">
        <v>21</v>
      </c>
      <c r="L124" s="46">
        <v>1</v>
      </c>
      <c r="M124" s="82">
        <v>6040323</v>
      </c>
      <c r="N124" s="86">
        <f t="shared" si="3"/>
        <v>6040323</v>
      </c>
      <c r="O124" s="38" t="s">
        <v>22</v>
      </c>
      <c r="P124" s="24">
        <v>121</v>
      </c>
    </row>
    <row r="125" spans="1:16" ht="15" hidden="1" customHeight="1" x14ac:dyDescent="0.2">
      <c r="A125" s="24" t="s">
        <v>89</v>
      </c>
      <c r="B125" s="83">
        <v>45877</v>
      </c>
      <c r="C125" s="24">
        <v>109</v>
      </c>
      <c r="G125" s="79" t="s">
        <v>2208</v>
      </c>
      <c r="H125" s="42" t="s">
        <v>1008</v>
      </c>
      <c r="I125" s="42">
        <v>1111</v>
      </c>
      <c r="J125" s="42">
        <v>112111</v>
      </c>
      <c r="K125" s="46" t="s">
        <v>21</v>
      </c>
      <c r="L125" s="46">
        <v>1</v>
      </c>
      <c r="M125" s="82">
        <v>33000000</v>
      </c>
      <c r="N125" s="86">
        <f t="shared" si="3"/>
        <v>33000000</v>
      </c>
      <c r="O125" s="38" t="s">
        <v>22</v>
      </c>
      <c r="P125" s="24">
        <v>122</v>
      </c>
    </row>
    <row r="126" spans="1:16" ht="15" hidden="1" customHeight="1" x14ac:dyDescent="0.2">
      <c r="A126" s="24" t="s">
        <v>33</v>
      </c>
      <c r="B126" s="83">
        <v>45928</v>
      </c>
      <c r="C126" s="24">
        <v>139</v>
      </c>
      <c r="G126" s="37" t="s">
        <v>2204</v>
      </c>
      <c r="H126" s="24" t="s">
        <v>129</v>
      </c>
      <c r="I126" s="24">
        <v>112111</v>
      </c>
      <c r="J126" s="24">
        <v>5154</v>
      </c>
      <c r="K126" s="46" t="s">
        <v>21</v>
      </c>
      <c r="L126" s="46">
        <v>1</v>
      </c>
      <c r="M126" s="82">
        <v>1734</v>
      </c>
      <c r="N126" s="86">
        <f t="shared" si="3"/>
        <v>1734</v>
      </c>
      <c r="O126" s="38" t="s">
        <v>22</v>
      </c>
      <c r="P126" s="24">
        <v>123</v>
      </c>
    </row>
    <row r="127" spans="1:16" ht="15" hidden="1" customHeight="1" x14ac:dyDescent="0.2">
      <c r="A127" s="24" t="s">
        <v>33</v>
      </c>
      <c r="B127" s="83">
        <v>45926</v>
      </c>
      <c r="C127" s="24">
        <v>138</v>
      </c>
      <c r="G127" s="37" t="s">
        <v>2081</v>
      </c>
      <c r="H127" s="24" t="s">
        <v>2230</v>
      </c>
      <c r="I127" s="46">
        <v>112111</v>
      </c>
      <c r="J127" s="13">
        <v>131</v>
      </c>
      <c r="K127" s="46" t="s">
        <v>21</v>
      </c>
      <c r="L127" s="46">
        <v>1</v>
      </c>
      <c r="M127" s="82">
        <v>11709677</v>
      </c>
      <c r="N127" s="86">
        <f t="shared" si="3"/>
        <v>11709677</v>
      </c>
      <c r="O127" s="38" t="s">
        <v>22</v>
      </c>
      <c r="P127" s="24">
        <v>124</v>
      </c>
    </row>
    <row r="128" spans="1:16" ht="15" hidden="1" customHeight="1" x14ac:dyDescent="0.2">
      <c r="A128" s="24" t="s">
        <v>89</v>
      </c>
      <c r="B128" s="83">
        <v>45922</v>
      </c>
      <c r="C128" s="24">
        <v>137</v>
      </c>
      <c r="G128" s="37" t="s">
        <v>2204</v>
      </c>
      <c r="H128" s="24" t="s">
        <v>1187</v>
      </c>
      <c r="I128" s="24">
        <v>6425</v>
      </c>
      <c r="J128" s="24">
        <v>112111</v>
      </c>
      <c r="K128" s="46" t="s">
        <v>21</v>
      </c>
      <c r="L128" s="46">
        <v>1</v>
      </c>
      <c r="M128" s="82">
        <v>23100</v>
      </c>
      <c r="N128" s="86">
        <f t="shared" si="3"/>
        <v>23100</v>
      </c>
      <c r="O128" s="38" t="s">
        <v>22</v>
      </c>
      <c r="P128" s="24">
        <v>125</v>
      </c>
    </row>
    <row r="129" spans="1:16" ht="15" hidden="1" customHeight="1" x14ac:dyDescent="0.2">
      <c r="A129" s="24" t="s">
        <v>89</v>
      </c>
      <c r="B129" s="83">
        <v>45921</v>
      </c>
      <c r="C129" s="24">
        <v>136</v>
      </c>
      <c r="G129" s="79" t="s">
        <v>2208</v>
      </c>
      <c r="H129" s="42" t="s">
        <v>1008</v>
      </c>
      <c r="I129" s="42">
        <v>1111</v>
      </c>
      <c r="J129" s="42">
        <v>112111</v>
      </c>
      <c r="K129" s="46" t="s">
        <v>21</v>
      </c>
      <c r="L129" s="46">
        <v>1</v>
      </c>
      <c r="M129" s="82">
        <v>37000000</v>
      </c>
      <c r="N129" s="86">
        <f t="shared" si="3"/>
        <v>37000000</v>
      </c>
      <c r="O129" s="38" t="s">
        <v>22</v>
      </c>
      <c r="P129" s="24">
        <v>126</v>
      </c>
    </row>
    <row r="130" spans="1:16" ht="15" hidden="1" customHeight="1" x14ac:dyDescent="0.2">
      <c r="A130" s="24" t="s">
        <v>33</v>
      </c>
      <c r="B130" s="83">
        <v>45920</v>
      </c>
      <c r="C130" s="24">
        <v>135</v>
      </c>
      <c r="G130" s="37" t="s">
        <v>2082</v>
      </c>
      <c r="H130" s="24" t="s">
        <v>2229</v>
      </c>
      <c r="I130" s="46">
        <v>112111</v>
      </c>
      <c r="J130" s="13">
        <v>131</v>
      </c>
      <c r="K130" s="46" t="s">
        <v>21</v>
      </c>
      <c r="L130" s="46">
        <v>1</v>
      </c>
      <c r="M130" s="82">
        <v>6653226</v>
      </c>
      <c r="N130" s="86">
        <f t="shared" si="3"/>
        <v>6653226</v>
      </c>
      <c r="O130" s="38" t="s">
        <v>22</v>
      </c>
      <c r="P130" s="24">
        <v>127</v>
      </c>
    </row>
    <row r="131" spans="1:16" ht="15" hidden="1" customHeight="1" x14ac:dyDescent="0.2">
      <c r="A131" s="24" t="s">
        <v>33</v>
      </c>
      <c r="B131" s="83">
        <v>45917</v>
      </c>
      <c r="C131" s="24">
        <v>133</v>
      </c>
      <c r="G131" s="37" t="s">
        <v>2082</v>
      </c>
      <c r="H131" s="24" t="s">
        <v>2229</v>
      </c>
      <c r="I131" s="46">
        <v>112111</v>
      </c>
      <c r="J131" s="13">
        <v>131</v>
      </c>
      <c r="K131" s="46" t="s">
        <v>21</v>
      </c>
      <c r="L131" s="46">
        <v>1</v>
      </c>
      <c r="M131" s="82">
        <v>6653226</v>
      </c>
      <c r="N131" s="86">
        <f t="shared" si="3"/>
        <v>6653226</v>
      </c>
      <c r="O131" s="38" t="s">
        <v>22</v>
      </c>
      <c r="P131" s="24">
        <v>128</v>
      </c>
    </row>
    <row r="132" spans="1:16" ht="15" hidden="1" customHeight="1" x14ac:dyDescent="0.2">
      <c r="A132" s="24" t="s">
        <v>33</v>
      </c>
      <c r="B132" s="83">
        <v>45917</v>
      </c>
      <c r="C132" s="24">
        <v>134</v>
      </c>
      <c r="G132" s="37" t="s">
        <v>2083</v>
      </c>
      <c r="H132" s="24" t="s">
        <v>2228</v>
      </c>
      <c r="I132" s="46">
        <v>112111</v>
      </c>
      <c r="J132" s="13">
        <v>131</v>
      </c>
      <c r="K132" s="46" t="s">
        <v>21</v>
      </c>
      <c r="L132" s="46">
        <v>1</v>
      </c>
      <c r="M132" s="82">
        <v>11709677</v>
      </c>
      <c r="N132" s="86">
        <f t="shared" si="3"/>
        <v>11709677</v>
      </c>
      <c r="O132" s="38" t="s">
        <v>22</v>
      </c>
      <c r="P132" s="24">
        <v>129</v>
      </c>
    </row>
    <row r="133" spans="1:16" ht="15" hidden="1" customHeight="1" x14ac:dyDescent="0.2">
      <c r="A133" s="24" t="s">
        <v>33</v>
      </c>
      <c r="B133" s="83">
        <v>45915</v>
      </c>
      <c r="C133" s="24">
        <v>132</v>
      </c>
      <c r="G133" s="37" t="s">
        <v>646</v>
      </c>
      <c r="H133" s="24" t="s">
        <v>2227</v>
      </c>
      <c r="I133" s="46">
        <v>112111</v>
      </c>
      <c r="J133" s="13">
        <v>131</v>
      </c>
      <c r="K133" s="46" t="s">
        <v>21</v>
      </c>
      <c r="L133" s="46">
        <v>1</v>
      </c>
      <c r="M133" s="82">
        <v>12241935</v>
      </c>
      <c r="N133" s="86">
        <f t="shared" si="3"/>
        <v>12241935</v>
      </c>
      <c r="O133" s="38" t="s">
        <v>22</v>
      </c>
      <c r="P133" s="24">
        <v>130</v>
      </c>
    </row>
    <row r="134" spans="1:16" ht="15" hidden="1" customHeight="1" x14ac:dyDescent="0.2">
      <c r="A134" s="24" t="s">
        <v>89</v>
      </c>
      <c r="B134" s="83">
        <v>45913</v>
      </c>
      <c r="C134" s="24">
        <v>131</v>
      </c>
      <c r="G134" s="79" t="s">
        <v>2208</v>
      </c>
      <c r="H134" s="42" t="s">
        <v>1008</v>
      </c>
      <c r="I134" s="42">
        <v>1111</v>
      </c>
      <c r="J134" s="42">
        <v>112111</v>
      </c>
      <c r="K134" s="46" t="s">
        <v>21</v>
      </c>
      <c r="L134" s="46">
        <v>1</v>
      </c>
      <c r="M134" s="82">
        <v>25000000</v>
      </c>
      <c r="N134" s="86">
        <f t="shared" si="3"/>
        <v>25000000</v>
      </c>
      <c r="O134" s="38" t="s">
        <v>22</v>
      </c>
      <c r="P134" s="24">
        <v>131</v>
      </c>
    </row>
    <row r="135" spans="1:16" ht="15" hidden="1" customHeight="1" x14ac:dyDescent="0.2">
      <c r="A135" s="24" t="s">
        <v>33</v>
      </c>
      <c r="B135" s="83">
        <v>45912</v>
      </c>
      <c r="C135" s="24">
        <v>130</v>
      </c>
      <c r="G135" s="37" t="s">
        <v>96</v>
      </c>
      <c r="H135" s="24" t="s">
        <v>2226</v>
      </c>
      <c r="I135" s="46">
        <v>112111</v>
      </c>
      <c r="J135" s="13">
        <v>131</v>
      </c>
      <c r="K135" s="46" t="s">
        <v>21</v>
      </c>
      <c r="L135" s="46">
        <v>1</v>
      </c>
      <c r="M135" s="82">
        <v>12365591</v>
      </c>
      <c r="N135" s="86">
        <f t="shared" si="3"/>
        <v>12365591</v>
      </c>
      <c r="O135" s="24" t="s">
        <v>22</v>
      </c>
      <c r="P135" s="24">
        <v>132</v>
      </c>
    </row>
    <row r="136" spans="1:16" ht="15" hidden="1" customHeight="1" x14ac:dyDescent="0.2">
      <c r="A136" s="24" t="s">
        <v>89</v>
      </c>
      <c r="B136" s="83">
        <v>45911</v>
      </c>
      <c r="C136" s="24">
        <v>129</v>
      </c>
      <c r="G136" s="79" t="s">
        <v>2208</v>
      </c>
      <c r="H136" s="42" t="s">
        <v>1008</v>
      </c>
      <c r="I136" s="42">
        <v>1111</v>
      </c>
      <c r="J136" s="42">
        <v>112111</v>
      </c>
      <c r="K136" s="46" t="s">
        <v>21</v>
      </c>
      <c r="L136" s="46">
        <v>1</v>
      </c>
      <c r="M136" s="82">
        <v>27000000</v>
      </c>
      <c r="N136" s="86">
        <f t="shared" si="3"/>
        <v>27000000</v>
      </c>
      <c r="O136" s="38" t="s">
        <v>22</v>
      </c>
      <c r="P136" s="24">
        <v>133</v>
      </c>
    </row>
    <row r="137" spans="1:16" ht="15" hidden="1" customHeight="1" x14ac:dyDescent="0.2">
      <c r="A137" s="24" t="s">
        <v>33</v>
      </c>
      <c r="B137" s="83">
        <v>45910</v>
      </c>
      <c r="C137" s="24">
        <v>128</v>
      </c>
      <c r="G137" s="37" t="s">
        <v>96</v>
      </c>
      <c r="H137" s="24" t="s">
        <v>2225</v>
      </c>
      <c r="I137" s="46">
        <v>112111</v>
      </c>
      <c r="J137" s="13">
        <v>131</v>
      </c>
      <c r="K137" s="46" t="s">
        <v>21</v>
      </c>
      <c r="L137" s="46">
        <v>1</v>
      </c>
      <c r="M137" s="82">
        <v>11827957</v>
      </c>
      <c r="N137" s="86">
        <f t="shared" si="3"/>
        <v>11827957</v>
      </c>
      <c r="O137" s="24" t="s">
        <v>22</v>
      </c>
      <c r="P137" s="24">
        <v>134</v>
      </c>
    </row>
    <row r="138" spans="1:16" ht="15" hidden="1" customHeight="1" x14ac:dyDescent="0.2">
      <c r="A138" s="24" t="s">
        <v>33</v>
      </c>
      <c r="B138" s="83">
        <v>45909</v>
      </c>
      <c r="C138" s="24">
        <v>127</v>
      </c>
      <c r="G138" s="37" t="s">
        <v>756</v>
      </c>
      <c r="H138" s="24" t="s">
        <v>2224</v>
      </c>
      <c r="I138" s="24">
        <v>112111</v>
      </c>
      <c r="J138" s="24">
        <v>131</v>
      </c>
      <c r="K138" s="46" t="s">
        <v>21</v>
      </c>
      <c r="L138" s="46">
        <v>1</v>
      </c>
      <c r="M138" s="82">
        <v>2767742</v>
      </c>
      <c r="N138" s="86">
        <f t="shared" si="3"/>
        <v>2767742</v>
      </c>
      <c r="O138" s="24" t="s">
        <v>22</v>
      </c>
      <c r="P138" s="24">
        <v>135</v>
      </c>
    </row>
    <row r="139" spans="1:16" ht="15" hidden="1" customHeight="1" x14ac:dyDescent="0.2">
      <c r="A139" s="24" t="s">
        <v>33</v>
      </c>
      <c r="B139" s="83">
        <v>45905</v>
      </c>
      <c r="C139" s="24">
        <v>126</v>
      </c>
      <c r="G139" s="37" t="s">
        <v>756</v>
      </c>
      <c r="H139" s="24" t="s">
        <v>2223</v>
      </c>
      <c r="I139" s="24">
        <v>112111</v>
      </c>
      <c r="J139" s="24">
        <v>131</v>
      </c>
      <c r="K139" s="46" t="s">
        <v>21</v>
      </c>
      <c r="L139" s="46">
        <v>1</v>
      </c>
      <c r="M139" s="82">
        <v>11177420</v>
      </c>
      <c r="N139" s="86">
        <f t="shared" si="3"/>
        <v>11177420</v>
      </c>
      <c r="O139" s="24" t="s">
        <v>22</v>
      </c>
      <c r="P139" s="24">
        <v>136</v>
      </c>
    </row>
    <row r="140" spans="1:16" ht="15" hidden="1" customHeight="1" x14ac:dyDescent="0.2">
      <c r="A140" s="24" t="s">
        <v>33</v>
      </c>
      <c r="B140" s="83">
        <v>45904</v>
      </c>
      <c r="C140" s="24">
        <v>125</v>
      </c>
      <c r="G140" s="37" t="s">
        <v>1434</v>
      </c>
      <c r="H140" s="24" t="s">
        <v>2222</v>
      </c>
      <c r="I140" s="24">
        <v>112111</v>
      </c>
      <c r="J140" s="24">
        <v>131</v>
      </c>
      <c r="K140" s="46" t="s">
        <v>21</v>
      </c>
      <c r="L140" s="46">
        <v>1</v>
      </c>
      <c r="M140" s="82">
        <v>12241935</v>
      </c>
      <c r="N140" s="86">
        <f t="shared" si="3"/>
        <v>12241935</v>
      </c>
      <c r="O140" s="38" t="s">
        <v>22</v>
      </c>
      <c r="P140" s="24">
        <v>137</v>
      </c>
    </row>
  </sheetData>
  <autoFilter ref="A3:P140" xr:uid="{00000000-0009-0000-0000-000008000000}">
    <filterColumn colId="9">
      <filters>
        <filter val="5118"/>
      </filters>
    </filterColumn>
    <sortState xmlns:xlrd2="http://schemas.microsoft.com/office/spreadsheetml/2017/richdata2" ref="A4:P140">
      <sortCondition ref="P3:P140"/>
    </sortState>
  </autoFilter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0"/>
  <sheetViews>
    <sheetView topLeftCell="A118" workbookViewId="0">
      <selection activeCell="G158" sqref="G158:J159"/>
    </sheetView>
  </sheetViews>
  <sheetFormatPr defaultRowHeight="15" customHeight="1" x14ac:dyDescent="0.2"/>
  <cols>
    <col min="1" max="1" width="9.140625" style="24"/>
    <col min="2" max="2" width="10.7109375" style="24" bestFit="1" customWidth="1"/>
    <col min="3" max="6" width="9.140625" style="24"/>
    <col min="7" max="7" width="12.7109375" style="37" bestFit="1" customWidth="1"/>
    <col min="8" max="8" width="25.5703125" style="24" customWidth="1"/>
    <col min="9" max="12" width="9.140625" style="24"/>
    <col min="13" max="14" width="13.28515625" style="38" bestFit="1" customWidth="1"/>
    <col min="15" max="15" width="10.42578125" style="24" bestFit="1" customWidth="1"/>
    <col min="16" max="16384" width="9.140625" style="24"/>
  </cols>
  <sheetData>
    <row r="1" spans="1:16" ht="15" customHeight="1" thickBot="1" x14ac:dyDescent="0.25">
      <c r="A1" s="177" t="s">
        <v>0</v>
      </c>
      <c r="B1" s="188" t="s">
        <v>1</v>
      </c>
      <c r="C1" s="177" t="s">
        <v>2</v>
      </c>
      <c r="D1" s="175" t="s">
        <v>3</v>
      </c>
      <c r="E1" s="175" t="s">
        <v>4</v>
      </c>
      <c r="F1" s="175" t="s">
        <v>5</v>
      </c>
      <c r="G1" s="180" t="s">
        <v>6</v>
      </c>
      <c r="H1" s="182" t="s">
        <v>7</v>
      </c>
      <c r="I1" s="184" t="s">
        <v>8</v>
      </c>
      <c r="J1" s="185"/>
      <c r="K1" s="177" t="s">
        <v>9</v>
      </c>
      <c r="L1" s="177" t="s">
        <v>10</v>
      </c>
      <c r="M1" s="186" t="s">
        <v>1287</v>
      </c>
      <c r="N1" s="186" t="s">
        <v>1288</v>
      </c>
      <c r="O1" s="49" t="s">
        <v>1289</v>
      </c>
      <c r="P1" s="42"/>
    </row>
    <row r="2" spans="1:16" ht="15" customHeight="1" thickBot="1" x14ac:dyDescent="0.25">
      <c r="A2" s="178"/>
      <c r="B2" s="189"/>
      <c r="C2" s="178"/>
      <c r="D2" s="179"/>
      <c r="E2" s="179"/>
      <c r="F2" s="176"/>
      <c r="G2" s="181"/>
      <c r="H2" s="183"/>
      <c r="I2" s="50" t="s">
        <v>13</v>
      </c>
      <c r="J2" s="51" t="s">
        <v>14</v>
      </c>
      <c r="K2" s="178"/>
      <c r="L2" s="178"/>
      <c r="M2" s="187"/>
      <c r="N2" s="187"/>
      <c r="O2" s="42" t="s">
        <v>1289</v>
      </c>
      <c r="P2" s="42"/>
    </row>
    <row r="3" spans="1:16" ht="15" customHeight="1" x14ac:dyDescent="0.2">
      <c r="A3" s="52"/>
      <c r="B3" s="87"/>
      <c r="C3" s="52">
        <v>93</v>
      </c>
      <c r="D3" s="53"/>
      <c r="E3" s="53"/>
      <c r="F3" s="53"/>
      <c r="G3" s="78" t="s">
        <v>15</v>
      </c>
      <c r="H3" s="54"/>
      <c r="I3" s="54"/>
      <c r="J3" s="54"/>
      <c r="K3" s="52"/>
      <c r="L3" s="52"/>
      <c r="M3" s="81"/>
      <c r="N3" s="81"/>
      <c r="O3" s="42" t="s">
        <v>16</v>
      </c>
      <c r="P3" s="42" t="s">
        <v>17</v>
      </c>
    </row>
    <row r="4" spans="1:16" ht="15" customHeight="1" x14ac:dyDescent="0.2">
      <c r="A4" s="24" t="s">
        <v>18</v>
      </c>
      <c r="B4" s="24" t="s">
        <v>2042</v>
      </c>
      <c r="C4" s="24">
        <f>C3+D4</f>
        <v>94</v>
      </c>
      <c r="D4" s="24">
        <v>1</v>
      </c>
      <c r="G4" s="37" t="s">
        <v>1640</v>
      </c>
      <c r="H4" s="24" t="s">
        <v>2237</v>
      </c>
      <c r="I4" s="24">
        <v>131</v>
      </c>
      <c r="J4" s="24">
        <v>5113</v>
      </c>
      <c r="K4" s="24" t="s">
        <v>21</v>
      </c>
      <c r="L4" s="24">
        <v>1</v>
      </c>
      <c r="M4" s="38">
        <v>21505376</v>
      </c>
      <c r="N4" s="38">
        <f>L4*M4</f>
        <v>21505376</v>
      </c>
      <c r="O4" s="24" t="s">
        <v>22</v>
      </c>
      <c r="P4" s="24">
        <v>1</v>
      </c>
    </row>
    <row r="5" spans="1:16" ht="15" customHeight="1" x14ac:dyDescent="0.2">
      <c r="A5" s="24" t="s">
        <v>18</v>
      </c>
      <c r="B5" s="24" t="s">
        <v>2042</v>
      </c>
      <c r="C5" s="24">
        <f t="shared" ref="C5:C68" si="0">C4+D5</f>
        <v>95</v>
      </c>
      <c r="D5" s="24">
        <v>1</v>
      </c>
      <c r="G5" s="37" t="s">
        <v>1640</v>
      </c>
      <c r="H5" s="24" t="s">
        <v>2238</v>
      </c>
      <c r="I5" s="24">
        <v>333821</v>
      </c>
      <c r="J5" s="24">
        <v>131</v>
      </c>
      <c r="K5" s="24" t="s">
        <v>21</v>
      </c>
      <c r="L5" s="24">
        <v>1</v>
      </c>
      <c r="M5" s="38">
        <v>215054</v>
      </c>
      <c r="N5" s="38">
        <f t="shared" ref="N5:N64" si="1">L5*M5</f>
        <v>215054</v>
      </c>
      <c r="O5" s="24" t="s">
        <v>22</v>
      </c>
      <c r="P5" s="24">
        <v>2</v>
      </c>
    </row>
    <row r="6" spans="1:16" ht="15" customHeight="1" x14ac:dyDescent="0.2">
      <c r="A6" s="24" t="s">
        <v>18</v>
      </c>
      <c r="B6" s="24" t="s">
        <v>2072</v>
      </c>
      <c r="C6" s="24">
        <f t="shared" si="0"/>
        <v>96</v>
      </c>
      <c r="D6" s="24">
        <v>1</v>
      </c>
      <c r="G6" s="37" t="s">
        <v>749</v>
      </c>
      <c r="H6" s="24" t="s">
        <v>2239</v>
      </c>
      <c r="I6" s="24">
        <v>131</v>
      </c>
      <c r="J6" s="24">
        <v>5113</v>
      </c>
      <c r="K6" s="24" t="s">
        <v>21</v>
      </c>
      <c r="L6" s="24">
        <v>1</v>
      </c>
      <c r="M6" s="38">
        <v>21505376</v>
      </c>
      <c r="N6" s="38">
        <f t="shared" si="1"/>
        <v>21505376</v>
      </c>
      <c r="O6" s="24" t="s">
        <v>22</v>
      </c>
      <c r="P6" s="24">
        <v>3</v>
      </c>
    </row>
    <row r="7" spans="1:16" ht="15" customHeight="1" x14ac:dyDescent="0.2">
      <c r="A7" s="24" t="s">
        <v>18</v>
      </c>
      <c r="B7" s="24" t="s">
        <v>2072</v>
      </c>
      <c r="C7" s="24">
        <f t="shared" si="0"/>
        <v>97</v>
      </c>
      <c r="D7" s="24">
        <v>1</v>
      </c>
      <c r="G7" s="37" t="s">
        <v>749</v>
      </c>
      <c r="H7" s="24" t="s">
        <v>2240</v>
      </c>
      <c r="I7" s="24">
        <v>333821</v>
      </c>
      <c r="J7" s="24">
        <v>131</v>
      </c>
      <c r="K7" s="24" t="s">
        <v>21</v>
      </c>
      <c r="L7" s="24">
        <v>1</v>
      </c>
      <c r="M7" s="38">
        <v>215054</v>
      </c>
      <c r="N7" s="38">
        <f t="shared" si="1"/>
        <v>215054</v>
      </c>
      <c r="O7" s="24" t="s">
        <v>22</v>
      </c>
      <c r="P7" s="24">
        <v>4</v>
      </c>
    </row>
    <row r="8" spans="1:16" ht="15" customHeight="1" x14ac:dyDescent="0.2">
      <c r="A8" s="24" t="s">
        <v>18</v>
      </c>
      <c r="B8" s="24" t="s">
        <v>2231</v>
      </c>
      <c r="C8" s="24">
        <f t="shared" si="0"/>
        <v>98</v>
      </c>
      <c r="D8" s="24">
        <v>1</v>
      </c>
      <c r="G8" s="37" t="s">
        <v>1432</v>
      </c>
      <c r="H8" s="24" t="s">
        <v>2241</v>
      </c>
      <c r="I8" s="24">
        <v>131</v>
      </c>
      <c r="J8" s="24">
        <v>5113</v>
      </c>
      <c r="K8" s="24" t="s">
        <v>21</v>
      </c>
      <c r="L8" s="24">
        <v>1</v>
      </c>
      <c r="M8" s="38">
        <v>12903226</v>
      </c>
      <c r="N8" s="38">
        <f t="shared" si="1"/>
        <v>12903226</v>
      </c>
      <c r="O8" s="24" t="s">
        <v>22</v>
      </c>
      <c r="P8" s="24">
        <v>5</v>
      </c>
    </row>
    <row r="9" spans="1:16" ht="15" customHeight="1" x14ac:dyDescent="0.2">
      <c r="A9" s="24" t="s">
        <v>18</v>
      </c>
      <c r="B9" s="24" t="s">
        <v>2231</v>
      </c>
      <c r="C9" s="24">
        <f t="shared" si="0"/>
        <v>99</v>
      </c>
      <c r="D9" s="24">
        <v>1</v>
      </c>
      <c r="G9" s="37" t="s">
        <v>1432</v>
      </c>
      <c r="H9" s="24" t="s">
        <v>2242</v>
      </c>
      <c r="I9" s="24">
        <v>333821</v>
      </c>
      <c r="J9" s="24">
        <v>131</v>
      </c>
      <c r="K9" s="24" t="s">
        <v>21</v>
      </c>
      <c r="L9" s="24">
        <v>1</v>
      </c>
      <c r="M9" s="38">
        <v>129032</v>
      </c>
      <c r="N9" s="38">
        <f t="shared" si="1"/>
        <v>129032</v>
      </c>
      <c r="O9" s="24" t="s">
        <v>22</v>
      </c>
      <c r="P9" s="24">
        <v>6</v>
      </c>
    </row>
    <row r="10" spans="1:16" ht="15" customHeight="1" x14ac:dyDescent="0.2">
      <c r="A10" s="24" t="s">
        <v>18</v>
      </c>
      <c r="B10" s="24" t="s">
        <v>2231</v>
      </c>
      <c r="C10" s="24">
        <f t="shared" si="0"/>
        <v>100</v>
      </c>
      <c r="D10" s="24">
        <v>1</v>
      </c>
      <c r="G10" s="37" t="s">
        <v>1824</v>
      </c>
      <c r="H10" s="24" t="s">
        <v>2243</v>
      </c>
      <c r="I10" s="24">
        <v>131</v>
      </c>
      <c r="J10" s="24">
        <v>5113</v>
      </c>
      <c r="K10" s="24" t="s">
        <v>21</v>
      </c>
      <c r="L10" s="24">
        <v>1</v>
      </c>
      <c r="M10" s="38">
        <v>21505376</v>
      </c>
      <c r="N10" s="38">
        <f t="shared" si="1"/>
        <v>21505376</v>
      </c>
      <c r="O10" s="24" t="s">
        <v>22</v>
      </c>
      <c r="P10" s="24">
        <v>7</v>
      </c>
    </row>
    <row r="11" spans="1:16" ht="15" customHeight="1" x14ac:dyDescent="0.2">
      <c r="A11" s="24" t="s">
        <v>18</v>
      </c>
      <c r="B11" s="24" t="s">
        <v>2231</v>
      </c>
      <c r="C11" s="24">
        <f t="shared" si="0"/>
        <v>101</v>
      </c>
      <c r="D11" s="24">
        <v>1</v>
      </c>
      <c r="G11" s="37" t="s">
        <v>1824</v>
      </c>
      <c r="H11" s="24" t="s">
        <v>2244</v>
      </c>
      <c r="I11" s="24">
        <v>333821</v>
      </c>
      <c r="J11" s="24">
        <v>131</v>
      </c>
      <c r="K11" s="24" t="s">
        <v>21</v>
      </c>
      <c r="L11" s="24">
        <v>1</v>
      </c>
      <c r="M11" s="38">
        <v>215054</v>
      </c>
      <c r="N11" s="38">
        <f t="shared" si="1"/>
        <v>215054</v>
      </c>
      <c r="O11" s="24" t="s">
        <v>22</v>
      </c>
      <c r="P11" s="24">
        <v>8</v>
      </c>
    </row>
    <row r="12" spans="1:16" ht="15" customHeight="1" x14ac:dyDescent="0.2">
      <c r="A12" s="24" t="s">
        <v>18</v>
      </c>
      <c r="B12" s="24" t="s">
        <v>2231</v>
      </c>
      <c r="C12" s="24">
        <f t="shared" si="0"/>
        <v>102</v>
      </c>
      <c r="D12" s="24">
        <v>1</v>
      </c>
      <c r="G12" s="37" t="s">
        <v>2234</v>
      </c>
      <c r="H12" s="24" t="s">
        <v>2245</v>
      </c>
      <c r="I12" s="24">
        <v>131</v>
      </c>
      <c r="J12" s="24">
        <v>5113</v>
      </c>
      <c r="K12" s="24" t="s">
        <v>21</v>
      </c>
      <c r="L12" s="24">
        <v>1</v>
      </c>
      <c r="M12" s="38">
        <v>43010753</v>
      </c>
      <c r="N12" s="38">
        <f t="shared" si="1"/>
        <v>43010753</v>
      </c>
      <c r="O12" s="24" t="s">
        <v>22</v>
      </c>
      <c r="P12" s="24">
        <v>9</v>
      </c>
    </row>
    <row r="13" spans="1:16" ht="15" customHeight="1" x14ac:dyDescent="0.2">
      <c r="A13" s="24" t="s">
        <v>18</v>
      </c>
      <c r="B13" s="24" t="s">
        <v>2231</v>
      </c>
      <c r="C13" s="24">
        <f t="shared" si="0"/>
        <v>103</v>
      </c>
      <c r="D13" s="24">
        <v>1</v>
      </c>
      <c r="G13" s="37" t="s">
        <v>2234</v>
      </c>
      <c r="H13" s="24" t="s">
        <v>2246</v>
      </c>
      <c r="I13" s="24">
        <v>333821</v>
      </c>
      <c r="J13" s="24">
        <v>131</v>
      </c>
      <c r="K13" s="24" t="s">
        <v>21</v>
      </c>
      <c r="L13" s="24">
        <v>1</v>
      </c>
      <c r="M13" s="38">
        <v>430108</v>
      </c>
      <c r="N13" s="38">
        <f t="shared" si="1"/>
        <v>430108</v>
      </c>
      <c r="O13" s="24" t="s">
        <v>22</v>
      </c>
      <c r="P13" s="24">
        <v>10</v>
      </c>
    </row>
    <row r="14" spans="1:16" ht="15" customHeight="1" x14ac:dyDescent="0.2">
      <c r="A14" s="24" t="s">
        <v>18</v>
      </c>
      <c r="B14" s="24" t="s">
        <v>2073</v>
      </c>
      <c r="C14" s="24">
        <f t="shared" si="0"/>
        <v>104</v>
      </c>
      <c r="D14" s="24">
        <v>1</v>
      </c>
      <c r="G14" s="37" t="s">
        <v>930</v>
      </c>
      <c r="H14" s="24" t="s">
        <v>2247</v>
      </c>
      <c r="I14" s="24">
        <v>131</v>
      </c>
      <c r="J14" s="24">
        <v>5113</v>
      </c>
      <c r="K14" s="24" t="s">
        <v>21</v>
      </c>
      <c r="L14" s="24">
        <v>1</v>
      </c>
      <c r="M14" s="38">
        <v>12903226</v>
      </c>
      <c r="N14" s="38">
        <f t="shared" si="1"/>
        <v>12903226</v>
      </c>
      <c r="O14" s="24" t="s">
        <v>22</v>
      </c>
      <c r="P14" s="24">
        <v>11</v>
      </c>
    </row>
    <row r="15" spans="1:16" ht="15" customHeight="1" x14ac:dyDescent="0.2">
      <c r="A15" s="24" t="s">
        <v>18</v>
      </c>
      <c r="B15" s="24" t="s">
        <v>2073</v>
      </c>
      <c r="C15" s="24">
        <f t="shared" si="0"/>
        <v>105</v>
      </c>
      <c r="D15" s="24">
        <v>1</v>
      </c>
      <c r="G15" s="37" t="s">
        <v>930</v>
      </c>
      <c r="H15" s="24" t="s">
        <v>2248</v>
      </c>
      <c r="I15" s="24">
        <v>333821</v>
      </c>
      <c r="J15" s="24">
        <v>131</v>
      </c>
      <c r="K15" s="24" t="s">
        <v>21</v>
      </c>
      <c r="L15" s="24">
        <v>1</v>
      </c>
      <c r="M15" s="38">
        <v>129032</v>
      </c>
      <c r="N15" s="38">
        <f t="shared" si="1"/>
        <v>129032</v>
      </c>
      <c r="O15" s="24" t="s">
        <v>22</v>
      </c>
      <c r="P15" s="24">
        <v>12</v>
      </c>
    </row>
    <row r="16" spans="1:16" ht="15" customHeight="1" x14ac:dyDescent="0.2">
      <c r="A16" s="24" t="s">
        <v>18</v>
      </c>
      <c r="B16" s="24" t="s">
        <v>2043</v>
      </c>
      <c r="C16" s="24">
        <f t="shared" si="0"/>
        <v>106</v>
      </c>
      <c r="D16" s="24">
        <v>1</v>
      </c>
      <c r="G16" s="37" t="s">
        <v>818</v>
      </c>
      <c r="H16" s="24" t="s">
        <v>2249</v>
      </c>
      <c r="I16" s="24">
        <v>131</v>
      </c>
      <c r="J16" s="24">
        <v>5113</v>
      </c>
      <c r="K16" s="24" t="s">
        <v>21</v>
      </c>
      <c r="L16" s="24">
        <v>1</v>
      </c>
      <c r="M16" s="38">
        <v>12903226</v>
      </c>
      <c r="N16" s="38">
        <f t="shared" si="1"/>
        <v>12903226</v>
      </c>
      <c r="O16" s="24" t="s">
        <v>22</v>
      </c>
      <c r="P16" s="24">
        <v>13</v>
      </c>
    </row>
    <row r="17" spans="1:16" ht="15" customHeight="1" x14ac:dyDescent="0.2">
      <c r="A17" s="24" t="s">
        <v>18</v>
      </c>
      <c r="B17" s="24" t="s">
        <v>2043</v>
      </c>
      <c r="C17" s="24">
        <f t="shared" si="0"/>
        <v>107</v>
      </c>
      <c r="D17" s="24">
        <v>1</v>
      </c>
      <c r="G17" s="37" t="s">
        <v>818</v>
      </c>
      <c r="H17" s="24" t="s">
        <v>2250</v>
      </c>
      <c r="I17" s="24">
        <v>333821</v>
      </c>
      <c r="J17" s="24">
        <v>131</v>
      </c>
      <c r="K17" s="24" t="s">
        <v>21</v>
      </c>
      <c r="L17" s="24">
        <v>1</v>
      </c>
      <c r="M17" s="38">
        <v>129032</v>
      </c>
      <c r="N17" s="38">
        <f t="shared" si="1"/>
        <v>129032</v>
      </c>
      <c r="O17" s="24" t="s">
        <v>22</v>
      </c>
      <c r="P17" s="24">
        <v>14</v>
      </c>
    </row>
    <row r="18" spans="1:16" ht="15" customHeight="1" x14ac:dyDescent="0.2">
      <c r="A18" s="24" t="s">
        <v>18</v>
      </c>
      <c r="B18" s="24" t="s">
        <v>2043</v>
      </c>
      <c r="C18" s="24">
        <f t="shared" si="0"/>
        <v>108</v>
      </c>
      <c r="D18" s="24">
        <v>1</v>
      </c>
      <c r="G18" s="37" t="s">
        <v>55</v>
      </c>
      <c r="H18" s="24" t="s">
        <v>2251</v>
      </c>
      <c r="I18" s="24">
        <v>131</v>
      </c>
      <c r="J18" s="24">
        <v>5113</v>
      </c>
      <c r="K18" s="24" t="s">
        <v>21</v>
      </c>
      <c r="L18" s="24">
        <v>1</v>
      </c>
      <c r="M18" s="38">
        <v>21505376</v>
      </c>
      <c r="N18" s="38">
        <f t="shared" si="1"/>
        <v>21505376</v>
      </c>
      <c r="O18" s="24" t="s">
        <v>22</v>
      </c>
      <c r="P18" s="24">
        <v>15</v>
      </c>
    </row>
    <row r="19" spans="1:16" ht="15" customHeight="1" x14ac:dyDescent="0.2">
      <c r="A19" s="24" t="s">
        <v>18</v>
      </c>
      <c r="B19" s="24" t="s">
        <v>2043</v>
      </c>
      <c r="C19" s="24">
        <f t="shared" si="0"/>
        <v>109</v>
      </c>
      <c r="D19" s="24">
        <v>1</v>
      </c>
      <c r="G19" s="37" t="s">
        <v>55</v>
      </c>
      <c r="H19" s="24" t="s">
        <v>2252</v>
      </c>
      <c r="I19" s="24">
        <v>333821</v>
      </c>
      <c r="J19" s="24">
        <v>131</v>
      </c>
      <c r="K19" s="24" t="s">
        <v>21</v>
      </c>
      <c r="L19" s="24">
        <v>1</v>
      </c>
      <c r="M19" s="38">
        <v>215054</v>
      </c>
      <c r="N19" s="38">
        <f t="shared" si="1"/>
        <v>215054</v>
      </c>
      <c r="O19" s="24" t="s">
        <v>22</v>
      </c>
      <c r="P19" s="24">
        <v>16</v>
      </c>
    </row>
    <row r="20" spans="1:16" ht="15" customHeight="1" x14ac:dyDescent="0.2">
      <c r="A20" s="24" t="s">
        <v>18</v>
      </c>
      <c r="B20" s="24" t="s">
        <v>1533</v>
      </c>
      <c r="C20" s="24">
        <f t="shared" si="0"/>
        <v>110</v>
      </c>
      <c r="D20" s="24">
        <v>1</v>
      </c>
      <c r="G20" s="37" t="s">
        <v>1627</v>
      </c>
      <c r="H20" s="24" t="s">
        <v>2253</v>
      </c>
      <c r="I20" s="24">
        <v>131</v>
      </c>
      <c r="J20" s="24">
        <v>5113</v>
      </c>
      <c r="K20" s="24" t="s">
        <v>21</v>
      </c>
      <c r="L20" s="24">
        <v>1</v>
      </c>
      <c r="M20" s="38">
        <v>21505376</v>
      </c>
      <c r="N20" s="38">
        <f t="shared" si="1"/>
        <v>21505376</v>
      </c>
      <c r="O20" s="24" t="s">
        <v>22</v>
      </c>
      <c r="P20" s="24">
        <v>17</v>
      </c>
    </row>
    <row r="21" spans="1:16" ht="15" customHeight="1" x14ac:dyDescent="0.2">
      <c r="A21" s="24" t="s">
        <v>18</v>
      </c>
      <c r="B21" s="24" t="s">
        <v>1533</v>
      </c>
      <c r="C21" s="24">
        <f t="shared" si="0"/>
        <v>111</v>
      </c>
      <c r="D21" s="24">
        <v>1</v>
      </c>
      <c r="G21" s="37" t="s">
        <v>756</v>
      </c>
      <c r="H21" s="24" t="s">
        <v>2254</v>
      </c>
      <c r="I21" s="24">
        <v>131</v>
      </c>
      <c r="J21" s="24">
        <v>5113</v>
      </c>
      <c r="K21" s="24" t="s">
        <v>21</v>
      </c>
      <c r="L21" s="24">
        <v>1</v>
      </c>
      <c r="M21" s="38">
        <v>34408602</v>
      </c>
      <c r="N21" s="38">
        <f t="shared" si="1"/>
        <v>34408602</v>
      </c>
      <c r="O21" s="24" t="s">
        <v>22</v>
      </c>
      <c r="P21" s="24">
        <v>18</v>
      </c>
    </row>
    <row r="22" spans="1:16" ht="15" customHeight="1" x14ac:dyDescent="0.2">
      <c r="A22" s="24" t="s">
        <v>18</v>
      </c>
      <c r="B22" s="24" t="s">
        <v>1533</v>
      </c>
      <c r="C22" s="24">
        <f t="shared" si="0"/>
        <v>112</v>
      </c>
      <c r="D22" s="24">
        <v>1</v>
      </c>
      <c r="G22" s="37" t="s">
        <v>756</v>
      </c>
      <c r="H22" s="24" t="s">
        <v>2255</v>
      </c>
      <c r="I22" s="24">
        <v>333821</v>
      </c>
      <c r="J22" s="24">
        <v>131</v>
      </c>
      <c r="K22" s="24" t="s">
        <v>21</v>
      </c>
      <c r="L22" s="24">
        <v>1</v>
      </c>
      <c r="M22" s="38">
        <v>344086</v>
      </c>
      <c r="N22" s="38">
        <f t="shared" si="1"/>
        <v>344086</v>
      </c>
      <c r="O22" s="24" t="s">
        <v>22</v>
      </c>
      <c r="P22" s="24">
        <v>19</v>
      </c>
    </row>
    <row r="23" spans="1:16" ht="15" customHeight="1" x14ac:dyDescent="0.2">
      <c r="A23" s="24" t="s">
        <v>18</v>
      </c>
      <c r="B23" s="24" t="s">
        <v>1474</v>
      </c>
      <c r="C23" s="24">
        <f t="shared" si="0"/>
        <v>113</v>
      </c>
      <c r="D23" s="24">
        <v>1</v>
      </c>
      <c r="G23" s="37" t="s">
        <v>55</v>
      </c>
      <c r="H23" s="24" t="s">
        <v>2256</v>
      </c>
      <c r="I23" s="24">
        <v>131</v>
      </c>
      <c r="J23" s="24">
        <v>5113</v>
      </c>
      <c r="K23" s="24" t="s">
        <v>21</v>
      </c>
      <c r="L23" s="24">
        <v>1</v>
      </c>
      <c r="M23" s="38">
        <v>21505376</v>
      </c>
      <c r="N23" s="38">
        <f t="shared" si="1"/>
        <v>21505376</v>
      </c>
      <c r="O23" s="24" t="s">
        <v>22</v>
      </c>
      <c r="P23" s="24">
        <v>20</v>
      </c>
    </row>
    <row r="24" spans="1:16" ht="15" customHeight="1" x14ac:dyDescent="0.2">
      <c r="A24" s="24" t="s">
        <v>18</v>
      </c>
      <c r="B24" s="24" t="s">
        <v>1474</v>
      </c>
      <c r="C24" s="24">
        <f t="shared" si="0"/>
        <v>114</v>
      </c>
      <c r="D24" s="24">
        <v>1</v>
      </c>
      <c r="G24" s="37" t="s">
        <v>55</v>
      </c>
      <c r="H24" s="24" t="s">
        <v>2257</v>
      </c>
      <c r="I24" s="24">
        <v>333821</v>
      </c>
      <c r="J24" s="24">
        <v>131</v>
      </c>
      <c r="K24" s="24" t="s">
        <v>21</v>
      </c>
      <c r="L24" s="24">
        <v>1</v>
      </c>
      <c r="M24" s="38">
        <v>215054</v>
      </c>
      <c r="N24" s="38">
        <f t="shared" si="1"/>
        <v>215054</v>
      </c>
      <c r="O24" s="24" t="s">
        <v>22</v>
      </c>
      <c r="P24" s="24">
        <v>21</v>
      </c>
    </row>
    <row r="25" spans="1:16" ht="15" customHeight="1" x14ac:dyDescent="0.2">
      <c r="A25" s="24" t="s">
        <v>18</v>
      </c>
      <c r="B25" s="24" t="s">
        <v>2044</v>
      </c>
      <c r="C25" s="24">
        <f t="shared" si="0"/>
        <v>115</v>
      </c>
      <c r="D25" s="24">
        <v>1</v>
      </c>
      <c r="G25" s="37" t="s">
        <v>933</v>
      </c>
      <c r="H25" s="24" t="s">
        <v>2258</v>
      </c>
      <c r="I25" s="24">
        <v>131</v>
      </c>
      <c r="J25" s="24">
        <v>5113</v>
      </c>
      <c r="K25" s="24" t="s">
        <v>21</v>
      </c>
      <c r="L25" s="24">
        <v>1</v>
      </c>
      <c r="M25" s="38">
        <v>32258065</v>
      </c>
      <c r="N25" s="38">
        <f t="shared" si="1"/>
        <v>32258065</v>
      </c>
      <c r="O25" s="24" t="s">
        <v>22</v>
      </c>
      <c r="P25" s="24">
        <v>22</v>
      </c>
    </row>
    <row r="26" spans="1:16" ht="15" customHeight="1" x14ac:dyDescent="0.2">
      <c r="A26" s="24" t="s">
        <v>18</v>
      </c>
      <c r="B26" s="24" t="s">
        <v>2044</v>
      </c>
      <c r="C26" s="24">
        <f t="shared" si="0"/>
        <v>116</v>
      </c>
      <c r="D26" s="24">
        <v>1</v>
      </c>
      <c r="G26" s="37" t="s">
        <v>933</v>
      </c>
      <c r="H26" s="24" t="s">
        <v>2259</v>
      </c>
      <c r="I26" s="24">
        <v>333821</v>
      </c>
      <c r="J26" s="24">
        <v>131</v>
      </c>
      <c r="K26" s="24" t="s">
        <v>21</v>
      </c>
      <c r="L26" s="24">
        <v>1</v>
      </c>
      <c r="M26" s="38">
        <v>322581</v>
      </c>
      <c r="N26" s="38">
        <f t="shared" si="1"/>
        <v>322581</v>
      </c>
      <c r="O26" s="24" t="s">
        <v>22</v>
      </c>
      <c r="P26" s="24">
        <v>23</v>
      </c>
    </row>
    <row r="27" spans="1:16" ht="15" customHeight="1" x14ac:dyDescent="0.2">
      <c r="A27" s="24" t="s">
        <v>18</v>
      </c>
      <c r="B27" s="24" t="s">
        <v>2045</v>
      </c>
      <c r="C27" s="24">
        <f t="shared" si="0"/>
        <v>117</v>
      </c>
      <c r="D27" s="24">
        <v>1</v>
      </c>
      <c r="G27" s="37" t="s">
        <v>1542</v>
      </c>
      <c r="H27" s="24" t="s">
        <v>2260</v>
      </c>
      <c r="I27" s="24">
        <v>131</v>
      </c>
      <c r="J27" s="24">
        <v>5113</v>
      </c>
      <c r="K27" s="24" t="s">
        <v>21</v>
      </c>
      <c r="L27" s="24">
        <v>1</v>
      </c>
      <c r="M27" s="38">
        <v>21505376</v>
      </c>
      <c r="N27" s="38">
        <f t="shared" si="1"/>
        <v>21505376</v>
      </c>
      <c r="O27" s="24" t="s">
        <v>22</v>
      </c>
      <c r="P27" s="24">
        <v>24</v>
      </c>
    </row>
    <row r="28" spans="1:16" ht="15" customHeight="1" x14ac:dyDescent="0.2">
      <c r="A28" s="24" t="s">
        <v>18</v>
      </c>
      <c r="B28" s="24" t="s">
        <v>2045</v>
      </c>
      <c r="C28" s="24">
        <f t="shared" si="0"/>
        <v>118</v>
      </c>
      <c r="D28" s="24">
        <v>1</v>
      </c>
      <c r="G28" s="37" t="s">
        <v>1542</v>
      </c>
      <c r="H28" s="24" t="s">
        <v>2261</v>
      </c>
      <c r="I28" s="24">
        <v>333821</v>
      </c>
      <c r="J28" s="24">
        <v>131</v>
      </c>
      <c r="K28" s="24" t="s">
        <v>21</v>
      </c>
      <c r="L28" s="24">
        <v>1</v>
      </c>
      <c r="M28" s="38">
        <v>215054</v>
      </c>
      <c r="N28" s="38">
        <f t="shared" si="1"/>
        <v>215054</v>
      </c>
      <c r="O28" s="24" t="s">
        <v>22</v>
      </c>
      <c r="P28" s="24">
        <v>25</v>
      </c>
    </row>
    <row r="29" spans="1:16" ht="15" customHeight="1" x14ac:dyDescent="0.2">
      <c r="A29" s="24" t="s">
        <v>18</v>
      </c>
      <c r="B29" s="24" t="s">
        <v>2118</v>
      </c>
      <c r="C29" s="24">
        <f t="shared" si="0"/>
        <v>119</v>
      </c>
      <c r="D29" s="24">
        <v>1</v>
      </c>
      <c r="G29" s="37" t="s">
        <v>1943</v>
      </c>
      <c r="H29" s="24" t="s">
        <v>2262</v>
      </c>
      <c r="I29" s="24">
        <v>131</v>
      </c>
      <c r="J29" s="24">
        <v>5113</v>
      </c>
      <c r="K29" s="24" t="s">
        <v>21</v>
      </c>
      <c r="L29" s="24">
        <v>1</v>
      </c>
      <c r="M29" s="38">
        <v>11000000</v>
      </c>
      <c r="N29" s="38">
        <f t="shared" si="1"/>
        <v>11000000</v>
      </c>
      <c r="O29" s="24" t="s">
        <v>22</v>
      </c>
      <c r="P29" s="24">
        <v>26</v>
      </c>
    </row>
    <row r="30" spans="1:16" ht="15" customHeight="1" x14ac:dyDescent="0.2">
      <c r="A30" s="24" t="s">
        <v>18</v>
      </c>
      <c r="B30" s="24" t="s">
        <v>2232</v>
      </c>
      <c r="C30" s="24">
        <f t="shared" si="0"/>
        <v>120</v>
      </c>
      <c r="D30" s="24">
        <v>1</v>
      </c>
      <c r="G30" s="37" t="s">
        <v>751</v>
      </c>
      <c r="H30" s="24" t="s">
        <v>2263</v>
      </c>
      <c r="I30" s="24">
        <v>131</v>
      </c>
      <c r="J30" s="24">
        <v>5113</v>
      </c>
      <c r="K30" s="24" t="s">
        <v>21</v>
      </c>
      <c r="L30" s="24">
        <v>1</v>
      </c>
      <c r="M30" s="38">
        <v>12903226</v>
      </c>
      <c r="N30" s="38">
        <f t="shared" si="1"/>
        <v>12903226</v>
      </c>
      <c r="O30" s="24" t="s">
        <v>22</v>
      </c>
      <c r="P30" s="24">
        <v>27</v>
      </c>
    </row>
    <row r="31" spans="1:16" ht="15" customHeight="1" x14ac:dyDescent="0.2">
      <c r="A31" s="24" t="s">
        <v>18</v>
      </c>
      <c r="B31" s="24" t="s">
        <v>2232</v>
      </c>
      <c r="C31" s="24">
        <f t="shared" si="0"/>
        <v>121</v>
      </c>
      <c r="D31" s="24">
        <v>1</v>
      </c>
      <c r="G31" s="37" t="s">
        <v>751</v>
      </c>
      <c r="H31" s="24" t="s">
        <v>2264</v>
      </c>
      <c r="I31" s="24">
        <v>333821</v>
      </c>
      <c r="J31" s="24">
        <v>131</v>
      </c>
      <c r="K31" s="24" t="s">
        <v>21</v>
      </c>
      <c r="L31" s="24">
        <v>1</v>
      </c>
      <c r="M31" s="38">
        <v>129032</v>
      </c>
      <c r="N31" s="38">
        <f t="shared" si="1"/>
        <v>129032</v>
      </c>
      <c r="O31" s="24" t="s">
        <v>22</v>
      </c>
      <c r="P31" s="24">
        <v>28</v>
      </c>
    </row>
    <row r="32" spans="1:16" ht="15" customHeight="1" x14ac:dyDescent="0.2">
      <c r="A32" s="24" t="s">
        <v>18</v>
      </c>
      <c r="B32" s="24" t="s">
        <v>2232</v>
      </c>
      <c r="C32" s="24">
        <f t="shared" si="0"/>
        <v>122</v>
      </c>
      <c r="D32" s="24">
        <v>1</v>
      </c>
      <c r="G32" s="37" t="s">
        <v>756</v>
      </c>
      <c r="H32" s="24" t="s">
        <v>2265</v>
      </c>
      <c r="I32" s="24">
        <v>131</v>
      </c>
      <c r="J32" s="24">
        <v>5113</v>
      </c>
      <c r="K32" s="24" t="s">
        <v>21</v>
      </c>
      <c r="L32" s="24">
        <v>1</v>
      </c>
      <c r="M32" s="38">
        <v>21505376</v>
      </c>
      <c r="N32" s="38">
        <f t="shared" si="1"/>
        <v>21505376</v>
      </c>
      <c r="O32" s="24" t="s">
        <v>22</v>
      </c>
      <c r="P32" s="24">
        <v>29</v>
      </c>
    </row>
    <row r="33" spans="1:16" ht="15" customHeight="1" x14ac:dyDescent="0.2">
      <c r="A33" s="24" t="s">
        <v>18</v>
      </c>
      <c r="B33" s="24" t="s">
        <v>2232</v>
      </c>
      <c r="C33" s="24">
        <f t="shared" si="0"/>
        <v>123</v>
      </c>
      <c r="D33" s="24">
        <v>1</v>
      </c>
      <c r="G33" s="37" t="s">
        <v>756</v>
      </c>
      <c r="H33" s="24" t="s">
        <v>2266</v>
      </c>
      <c r="I33" s="24">
        <v>333821</v>
      </c>
      <c r="J33" s="24">
        <v>131</v>
      </c>
      <c r="K33" s="24" t="s">
        <v>21</v>
      </c>
      <c r="L33" s="24">
        <v>1</v>
      </c>
      <c r="M33" s="38">
        <v>215054</v>
      </c>
      <c r="N33" s="38">
        <f t="shared" si="1"/>
        <v>215054</v>
      </c>
      <c r="O33" s="24" t="s">
        <v>22</v>
      </c>
      <c r="P33" s="24">
        <v>30</v>
      </c>
    </row>
    <row r="34" spans="1:16" ht="15" customHeight="1" x14ac:dyDescent="0.2">
      <c r="A34" s="24" t="s">
        <v>18</v>
      </c>
      <c r="B34" s="24" t="s">
        <v>1411</v>
      </c>
      <c r="C34" s="24">
        <f t="shared" si="0"/>
        <v>124</v>
      </c>
      <c r="D34" s="24">
        <v>1</v>
      </c>
      <c r="G34" s="37" t="s">
        <v>784</v>
      </c>
      <c r="H34" s="24" t="s">
        <v>2267</v>
      </c>
      <c r="I34" s="24">
        <v>131</v>
      </c>
      <c r="J34" s="24">
        <v>5113</v>
      </c>
      <c r="K34" s="24" t="s">
        <v>21</v>
      </c>
      <c r="L34" s="24">
        <v>1</v>
      </c>
      <c r="M34" s="38">
        <v>21505376</v>
      </c>
      <c r="N34" s="38">
        <f t="shared" si="1"/>
        <v>21505376</v>
      </c>
      <c r="O34" s="24" t="s">
        <v>22</v>
      </c>
      <c r="P34" s="24">
        <v>31</v>
      </c>
    </row>
    <row r="35" spans="1:16" ht="15" customHeight="1" x14ac:dyDescent="0.2">
      <c r="A35" s="24" t="s">
        <v>18</v>
      </c>
      <c r="B35" s="24" t="s">
        <v>1411</v>
      </c>
      <c r="C35" s="24">
        <f t="shared" si="0"/>
        <v>125</v>
      </c>
      <c r="D35" s="24">
        <v>1</v>
      </c>
      <c r="G35" s="37" t="s">
        <v>784</v>
      </c>
      <c r="H35" s="24" t="s">
        <v>2268</v>
      </c>
      <c r="I35" s="24">
        <v>333821</v>
      </c>
      <c r="J35" s="24">
        <v>131</v>
      </c>
      <c r="K35" s="24" t="s">
        <v>21</v>
      </c>
      <c r="L35" s="24">
        <v>1</v>
      </c>
      <c r="M35" s="38">
        <v>215054</v>
      </c>
      <c r="N35" s="38">
        <f t="shared" si="1"/>
        <v>215054</v>
      </c>
      <c r="O35" s="24" t="s">
        <v>22</v>
      </c>
      <c r="P35" s="24">
        <v>32</v>
      </c>
    </row>
    <row r="36" spans="1:16" ht="15" customHeight="1" x14ac:dyDescent="0.2">
      <c r="A36" s="24" t="s">
        <v>18</v>
      </c>
      <c r="B36" s="24" t="s">
        <v>1412</v>
      </c>
      <c r="C36" s="24">
        <f t="shared" si="0"/>
        <v>126</v>
      </c>
      <c r="D36" s="24">
        <v>1</v>
      </c>
      <c r="G36" s="37" t="s">
        <v>1818</v>
      </c>
      <c r="H36" s="24" t="s">
        <v>2269</v>
      </c>
      <c r="I36" s="24">
        <v>131</v>
      </c>
      <c r="J36" s="24">
        <v>5113</v>
      </c>
      <c r="K36" s="24" t="s">
        <v>21</v>
      </c>
      <c r="L36" s="24">
        <v>1</v>
      </c>
      <c r="M36" s="38">
        <v>21505376</v>
      </c>
      <c r="N36" s="38">
        <f t="shared" si="1"/>
        <v>21505376</v>
      </c>
      <c r="O36" s="24" t="s">
        <v>22</v>
      </c>
      <c r="P36" s="24">
        <v>33</v>
      </c>
    </row>
    <row r="37" spans="1:16" ht="15" customHeight="1" x14ac:dyDescent="0.2">
      <c r="A37" s="24" t="s">
        <v>18</v>
      </c>
      <c r="B37" s="24" t="s">
        <v>1412</v>
      </c>
      <c r="C37" s="24">
        <f t="shared" si="0"/>
        <v>127</v>
      </c>
      <c r="D37" s="24">
        <v>1</v>
      </c>
      <c r="G37" s="37" t="s">
        <v>1818</v>
      </c>
      <c r="H37" s="24" t="s">
        <v>2270</v>
      </c>
      <c r="I37" s="24">
        <v>333821</v>
      </c>
      <c r="J37" s="24">
        <v>131</v>
      </c>
      <c r="K37" s="24" t="s">
        <v>21</v>
      </c>
      <c r="L37" s="24">
        <v>1</v>
      </c>
      <c r="M37" s="38">
        <v>215054</v>
      </c>
      <c r="N37" s="38">
        <f t="shared" si="1"/>
        <v>215054</v>
      </c>
      <c r="O37" s="24" t="s">
        <v>22</v>
      </c>
      <c r="P37" s="24">
        <v>34</v>
      </c>
    </row>
    <row r="38" spans="1:16" ht="15" customHeight="1" x14ac:dyDescent="0.2">
      <c r="A38" s="24" t="s">
        <v>18</v>
      </c>
      <c r="B38" s="24" t="s">
        <v>2124</v>
      </c>
      <c r="C38" s="24">
        <f t="shared" si="0"/>
        <v>128</v>
      </c>
      <c r="D38" s="24">
        <v>1</v>
      </c>
      <c r="G38" s="37" t="s">
        <v>55</v>
      </c>
      <c r="H38" s="24" t="s">
        <v>2271</v>
      </c>
      <c r="I38" s="24">
        <v>131</v>
      </c>
      <c r="J38" s="24">
        <v>5113</v>
      </c>
      <c r="K38" s="24" t="s">
        <v>21</v>
      </c>
      <c r="L38" s="24">
        <v>1</v>
      </c>
      <c r="M38" s="38">
        <v>38709677</v>
      </c>
      <c r="N38" s="38">
        <f t="shared" si="1"/>
        <v>38709677</v>
      </c>
      <c r="O38" s="24" t="s">
        <v>22</v>
      </c>
      <c r="P38" s="24">
        <v>35</v>
      </c>
    </row>
    <row r="39" spans="1:16" ht="15" customHeight="1" x14ac:dyDescent="0.2">
      <c r="A39" s="24" t="s">
        <v>18</v>
      </c>
      <c r="B39" s="24" t="s">
        <v>2124</v>
      </c>
      <c r="C39" s="24">
        <f t="shared" si="0"/>
        <v>129</v>
      </c>
      <c r="D39" s="24">
        <v>1</v>
      </c>
      <c r="G39" s="37" t="s">
        <v>55</v>
      </c>
      <c r="H39" s="24" t="s">
        <v>2272</v>
      </c>
      <c r="I39" s="24">
        <v>333821</v>
      </c>
      <c r="J39" s="24">
        <v>131</v>
      </c>
      <c r="K39" s="24" t="s">
        <v>21</v>
      </c>
      <c r="L39" s="24">
        <v>1</v>
      </c>
      <c r="M39" s="38">
        <v>387097</v>
      </c>
      <c r="N39" s="38">
        <f t="shared" si="1"/>
        <v>387097</v>
      </c>
      <c r="O39" s="24" t="s">
        <v>22</v>
      </c>
      <c r="P39" s="24">
        <v>36</v>
      </c>
    </row>
    <row r="40" spans="1:16" ht="15" customHeight="1" x14ac:dyDescent="0.2">
      <c r="A40" s="24" t="s">
        <v>18</v>
      </c>
      <c r="B40" s="24" t="s">
        <v>2124</v>
      </c>
      <c r="C40" s="24">
        <f t="shared" si="0"/>
        <v>130</v>
      </c>
      <c r="D40" s="24">
        <v>1</v>
      </c>
      <c r="G40" s="37" t="s">
        <v>1627</v>
      </c>
      <c r="H40" s="24" t="s">
        <v>2273</v>
      </c>
      <c r="I40" s="24">
        <v>131</v>
      </c>
      <c r="J40" s="24">
        <v>5113</v>
      </c>
      <c r="K40" s="24" t="s">
        <v>21</v>
      </c>
      <c r="L40" s="24">
        <v>1</v>
      </c>
      <c r="M40" s="38">
        <v>12903226</v>
      </c>
      <c r="N40" s="38">
        <f t="shared" si="1"/>
        <v>12903226</v>
      </c>
      <c r="O40" s="24" t="s">
        <v>22</v>
      </c>
      <c r="P40" s="24">
        <v>37</v>
      </c>
    </row>
    <row r="41" spans="1:16" ht="15" customHeight="1" x14ac:dyDescent="0.2">
      <c r="A41" s="24" t="s">
        <v>18</v>
      </c>
      <c r="B41" s="24" t="s">
        <v>2124</v>
      </c>
      <c r="C41" s="24">
        <f t="shared" si="0"/>
        <v>131</v>
      </c>
      <c r="D41" s="24">
        <v>1</v>
      </c>
      <c r="G41" s="37" t="s">
        <v>1627</v>
      </c>
      <c r="H41" s="24" t="s">
        <v>2274</v>
      </c>
      <c r="I41" s="24">
        <v>333821</v>
      </c>
      <c r="J41" s="24">
        <v>131</v>
      </c>
      <c r="K41" s="24" t="s">
        <v>21</v>
      </c>
      <c r="L41" s="24">
        <v>1</v>
      </c>
      <c r="M41" s="38">
        <v>129032</v>
      </c>
      <c r="N41" s="38">
        <f t="shared" si="1"/>
        <v>129032</v>
      </c>
      <c r="O41" s="24" t="s">
        <v>22</v>
      </c>
      <c r="P41" s="24">
        <v>38</v>
      </c>
    </row>
    <row r="42" spans="1:16" ht="15" customHeight="1" x14ac:dyDescent="0.2">
      <c r="A42" s="24" t="s">
        <v>18</v>
      </c>
      <c r="B42" s="24" t="s">
        <v>1416</v>
      </c>
      <c r="C42" s="24">
        <f t="shared" si="0"/>
        <v>132</v>
      </c>
      <c r="D42" s="24">
        <v>1</v>
      </c>
      <c r="G42" s="37" t="s">
        <v>1824</v>
      </c>
      <c r="H42" s="24" t="s">
        <v>2275</v>
      </c>
      <c r="I42" s="24">
        <v>131</v>
      </c>
      <c r="J42" s="24">
        <v>5113</v>
      </c>
      <c r="K42" s="24" t="s">
        <v>21</v>
      </c>
      <c r="L42" s="24">
        <v>1</v>
      </c>
      <c r="M42" s="38">
        <v>18817204</v>
      </c>
      <c r="N42" s="38">
        <f t="shared" si="1"/>
        <v>18817204</v>
      </c>
      <c r="O42" s="24" t="s">
        <v>22</v>
      </c>
      <c r="P42" s="24">
        <v>39</v>
      </c>
    </row>
    <row r="43" spans="1:16" ht="15" customHeight="1" x14ac:dyDescent="0.2">
      <c r="A43" s="24" t="s">
        <v>18</v>
      </c>
      <c r="B43" s="24" t="s">
        <v>1416</v>
      </c>
      <c r="C43" s="24">
        <f t="shared" si="0"/>
        <v>133</v>
      </c>
      <c r="D43" s="24">
        <v>1</v>
      </c>
      <c r="G43" s="37" t="s">
        <v>1824</v>
      </c>
      <c r="H43" s="24" t="s">
        <v>2276</v>
      </c>
      <c r="I43" s="24">
        <v>333821</v>
      </c>
      <c r="J43" s="24">
        <v>131</v>
      </c>
      <c r="K43" s="24" t="s">
        <v>21</v>
      </c>
      <c r="L43" s="24">
        <v>1</v>
      </c>
      <c r="M43" s="38">
        <v>188172</v>
      </c>
      <c r="N43" s="38">
        <f t="shared" si="1"/>
        <v>188172</v>
      </c>
      <c r="O43" s="24" t="s">
        <v>22</v>
      </c>
      <c r="P43" s="24">
        <v>40</v>
      </c>
    </row>
    <row r="44" spans="1:16" ht="15" customHeight="1" x14ac:dyDescent="0.2">
      <c r="A44" s="24" t="s">
        <v>18</v>
      </c>
      <c r="B44" s="24" t="s">
        <v>2076</v>
      </c>
      <c r="C44" s="24">
        <f t="shared" si="0"/>
        <v>134</v>
      </c>
      <c r="D44" s="24">
        <v>1</v>
      </c>
      <c r="G44" s="37" t="s">
        <v>2235</v>
      </c>
      <c r="H44" s="24" t="s">
        <v>2277</v>
      </c>
      <c r="I44" s="24">
        <v>131</v>
      </c>
      <c r="J44" s="24">
        <v>5113</v>
      </c>
      <c r="K44" s="24" t="s">
        <v>21</v>
      </c>
      <c r="L44" s="24">
        <v>1</v>
      </c>
      <c r="M44" s="38">
        <v>32258065</v>
      </c>
      <c r="N44" s="38">
        <f t="shared" si="1"/>
        <v>32258065</v>
      </c>
      <c r="O44" s="24" t="s">
        <v>22</v>
      </c>
      <c r="P44" s="24">
        <v>41</v>
      </c>
    </row>
    <row r="45" spans="1:16" ht="15" customHeight="1" x14ac:dyDescent="0.2">
      <c r="A45" s="24" t="s">
        <v>18</v>
      </c>
      <c r="B45" s="24" t="s">
        <v>2076</v>
      </c>
      <c r="C45" s="24">
        <f t="shared" si="0"/>
        <v>135</v>
      </c>
      <c r="D45" s="24">
        <v>1</v>
      </c>
      <c r="G45" s="37" t="s">
        <v>2235</v>
      </c>
      <c r="H45" s="24" t="s">
        <v>2278</v>
      </c>
      <c r="I45" s="24">
        <v>333821</v>
      </c>
      <c r="J45" s="24">
        <v>131</v>
      </c>
      <c r="K45" s="24" t="s">
        <v>21</v>
      </c>
      <c r="L45" s="24">
        <v>1</v>
      </c>
      <c r="M45" s="38">
        <v>322581</v>
      </c>
      <c r="N45" s="38">
        <f t="shared" si="1"/>
        <v>322581</v>
      </c>
      <c r="O45" s="24" t="s">
        <v>22</v>
      </c>
      <c r="P45" s="24">
        <v>42</v>
      </c>
    </row>
    <row r="46" spans="1:16" ht="15" customHeight="1" x14ac:dyDescent="0.2">
      <c r="A46" s="24" t="s">
        <v>18</v>
      </c>
      <c r="B46" s="24" t="s">
        <v>1418</v>
      </c>
      <c r="C46" s="24">
        <f t="shared" si="0"/>
        <v>136</v>
      </c>
      <c r="D46" s="24">
        <v>1</v>
      </c>
      <c r="G46" s="37" t="s">
        <v>55</v>
      </c>
      <c r="H46" s="24" t="s">
        <v>2279</v>
      </c>
      <c r="I46" s="24">
        <v>131</v>
      </c>
      <c r="J46" s="24">
        <v>5113</v>
      </c>
      <c r="K46" s="24" t="s">
        <v>21</v>
      </c>
      <c r="L46" s="24">
        <v>1</v>
      </c>
      <c r="M46" s="38">
        <v>21505376</v>
      </c>
      <c r="N46" s="38">
        <f t="shared" si="1"/>
        <v>21505376</v>
      </c>
      <c r="O46" s="24" t="s">
        <v>22</v>
      </c>
      <c r="P46" s="24">
        <v>43</v>
      </c>
    </row>
    <row r="47" spans="1:16" ht="15" customHeight="1" x14ac:dyDescent="0.2">
      <c r="A47" s="24" t="s">
        <v>18</v>
      </c>
      <c r="B47" s="24" t="s">
        <v>1418</v>
      </c>
      <c r="C47" s="24">
        <f t="shared" si="0"/>
        <v>137</v>
      </c>
      <c r="D47" s="24">
        <v>1</v>
      </c>
      <c r="G47" s="37" t="s">
        <v>55</v>
      </c>
      <c r="H47" s="24" t="s">
        <v>2280</v>
      </c>
      <c r="I47" s="24">
        <v>333821</v>
      </c>
      <c r="J47" s="24">
        <v>131</v>
      </c>
      <c r="K47" s="24" t="s">
        <v>21</v>
      </c>
      <c r="L47" s="24">
        <v>1</v>
      </c>
      <c r="M47" s="38">
        <v>215054</v>
      </c>
      <c r="N47" s="38">
        <f t="shared" si="1"/>
        <v>215054</v>
      </c>
      <c r="O47" s="24" t="s">
        <v>22</v>
      </c>
      <c r="P47" s="24">
        <v>44</v>
      </c>
    </row>
    <row r="48" spans="1:16" ht="15" customHeight="1" x14ac:dyDescent="0.2">
      <c r="A48" s="24" t="s">
        <v>18</v>
      </c>
      <c r="B48" s="24" t="s">
        <v>1478</v>
      </c>
      <c r="C48" s="24">
        <f t="shared" si="0"/>
        <v>138</v>
      </c>
      <c r="D48" s="24">
        <v>1</v>
      </c>
      <c r="G48" s="37" t="s">
        <v>2234</v>
      </c>
      <c r="H48" s="24" t="s">
        <v>2281</v>
      </c>
      <c r="I48" s="24">
        <v>131</v>
      </c>
      <c r="J48" s="24">
        <v>5113</v>
      </c>
      <c r="K48" s="24" t="s">
        <v>21</v>
      </c>
      <c r="L48" s="24">
        <v>1</v>
      </c>
      <c r="M48" s="38">
        <v>21505376</v>
      </c>
      <c r="N48" s="38">
        <f t="shared" si="1"/>
        <v>21505376</v>
      </c>
      <c r="O48" s="24" t="s">
        <v>22</v>
      </c>
      <c r="P48" s="24">
        <v>45</v>
      </c>
    </row>
    <row r="49" spans="1:16" ht="15" customHeight="1" x14ac:dyDescent="0.2">
      <c r="A49" s="24" t="s">
        <v>18</v>
      </c>
      <c r="B49" s="24" t="s">
        <v>1478</v>
      </c>
      <c r="C49" s="24">
        <f t="shared" si="0"/>
        <v>139</v>
      </c>
      <c r="D49" s="24">
        <v>1</v>
      </c>
      <c r="G49" s="37" t="s">
        <v>2234</v>
      </c>
      <c r="H49" s="24" t="s">
        <v>2282</v>
      </c>
      <c r="I49" s="24">
        <v>333821</v>
      </c>
      <c r="J49" s="24">
        <v>131</v>
      </c>
      <c r="K49" s="24" t="s">
        <v>21</v>
      </c>
      <c r="L49" s="24">
        <v>1</v>
      </c>
      <c r="M49" s="38">
        <v>215054</v>
      </c>
      <c r="N49" s="38">
        <f t="shared" si="1"/>
        <v>215054</v>
      </c>
      <c r="O49" s="24" t="s">
        <v>22</v>
      </c>
      <c r="P49" s="24">
        <v>46</v>
      </c>
    </row>
    <row r="50" spans="1:16" ht="15" customHeight="1" x14ac:dyDescent="0.2">
      <c r="A50" s="24" t="s">
        <v>18</v>
      </c>
      <c r="B50" s="24" t="s">
        <v>2077</v>
      </c>
      <c r="C50" s="24">
        <f t="shared" si="0"/>
        <v>140</v>
      </c>
      <c r="D50" s="24">
        <v>1</v>
      </c>
      <c r="G50" s="37" t="s">
        <v>756</v>
      </c>
      <c r="H50" s="24" t="s">
        <v>2283</v>
      </c>
      <c r="I50" s="24">
        <v>131</v>
      </c>
      <c r="J50" s="24">
        <v>5113</v>
      </c>
      <c r="K50" s="24" t="s">
        <v>21</v>
      </c>
      <c r="L50" s="24">
        <v>1</v>
      </c>
      <c r="M50" s="38">
        <v>21505376</v>
      </c>
      <c r="N50" s="38">
        <f t="shared" si="1"/>
        <v>21505376</v>
      </c>
      <c r="O50" s="24" t="s">
        <v>22</v>
      </c>
      <c r="P50" s="24">
        <v>47</v>
      </c>
    </row>
    <row r="51" spans="1:16" ht="15" customHeight="1" x14ac:dyDescent="0.2">
      <c r="A51" s="24" t="s">
        <v>18</v>
      </c>
      <c r="B51" s="24" t="s">
        <v>2077</v>
      </c>
      <c r="C51" s="24">
        <f t="shared" si="0"/>
        <v>141</v>
      </c>
      <c r="D51" s="24">
        <v>1</v>
      </c>
      <c r="G51" s="37" t="s">
        <v>756</v>
      </c>
      <c r="H51" s="24" t="s">
        <v>2284</v>
      </c>
      <c r="I51" s="24">
        <v>333821</v>
      </c>
      <c r="J51" s="24">
        <v>131</v>
      </c>
      <c r="K51" s="24" t="s">
        <v>21</v>
      </c>
      <c r="L51" s="24">
        <v>1</v>
      </c>
      <c r="M51" s="38">
        <v>215054</v>
      </c>
      <c r="N51" s="38">
        <f t="shared" si="1"/>
        <v>215054</v>
      </c>
      <c r="O51" s="24" t="s">
        <v>22</v>
      </c>
      <c r="P51" s="24">
        <v>48</v>
      </c>
    </row>
    <row r="52" spans="1:16" ht="15" customHeight="1" x14ac:dyDescent="0.2">
      <c r="A52" s="24" t="s">
        <v>18</v>
      </c>
      <c r="B52" s="24" t="s">
        <v>1420</v>
      </c>
      <c r="C52" s="24">
        <f t="shared" si="0"/>
        <v>142</v>
      </c>
      <c r="D52" s="24">
        <v>1</v>
      </c>
      <c r="G52" s="37" t="s">
        <v>1627</v>
      </c>
      <c r="H52" s="24" t="s">
        <v>2285</v>
      </c>
      <c r="I52" s="24">
        <v>131</v>
      </c>
      <c r="J52" s="24">
        <v>5113</v>
      </c>
      <c r="K52" s="24" t="s">
        <v>21</v>
      </c>
      <c r="L52" s="24">
        <v>1</v>
      </c>
      <c r="M52" s="38">
        <v>21505376</v>
      </c>
      <c r="N52" s="38">
        <f t="shared" si="1"/>
        <v>21505376</v>
      </c>
      <c r="O52" s="24" t="s">
        <v>22</v>
      </c>
      <c r="P52" s="24">
        <v>49</v>
      </c>
    </row>
    <row r="53" spans="1:16" ht="15" customHeight="1" x14ac:dyDescent="0.2">
      <c r="A53" s="24" t="s">
        <v>18</v>
      </c>
      <c r="B53" s="24" t="s">
        <v>1420</v>
      </c>
      <c r="C53" s="24">
        <f t="shared" si="0"/>
        <v>143</v>
      </c>
      <c r="D53" s="24">
        <v>1</v>
      </c>
      <c r="G53" s="37" t="s">
        <v>1627</v>
      </c>
      <c r="H53" s="24" t="s">
        <v>2286</v>
      </c>
      <c r="I53" s="24">
        <v>333821</v>
      </c>
      <c r="J53" s="24">
        <v>131</v>
      </c>
      <c r="K53" s="24" t="s">
        <v>21</v>
      </c>
      <c r="L53" s="24">
        <v>1</v>
      </c>
      <c r="M53" s="38">
        <v>215054</v>
      </c>
      <c r="N53" s="38">
        <f t="shared" si="1"/>
        <v>215054</v>
      </c>
      <c r="O53" s="24" t="s">
        <v>22</v>
      </c>
      <c r="P53" s="24">
        <v>50</v>
      </c>
    </row>
    <row r="54" spans="1:16" ht="15" customHeight="1" x14ac:dyDescent="0.2">
      <c r="A54" s="24" t="s">
        <v>18</v>
      </c>
      <c r="B54" s="24" t="s">
        <v>1420</v>
      </c>
      <c r="C54" s="24">
        <f t="shared" si="0"/>
        <v>144</v>
      </c>
      <c r="D54" s="24">
        <v>1</v>
      </c>
      <c r="G54" s="37" t="s">
        <v>784</v>
      </c>
      <c r="H54" s="24" t="s">
        <v>2287</v>
      </c>
      <c r="I54" s="24">
        <v>131</v>
      </c>
      <c r="J54" s="24">
        <v>5113</v>
      </c>
      <c r="K54" s="24" t="s">
        <v>21</v>
      </c>
      <c r="L54" s="24">
        <v>1</v>
      </c>
      <c r="M54" s="38">
        <v>21505376</v>
      </c>
      <c r="N54" s="38">
        <f t="shared" si="1"/>
        <v>21505376</v>
      </c>
      <c r="O54" s="24" t="s">
        <v>22</v>
      </c>
      <c r="P54" s="24">
        <v>51</v>
      </c>
    </row>
    <row r="55" spans="1:16" ht="15" customHeight="1" x14ac:dyDescent="0.2">
      <c r="A55" s="24" t="s">
        <v>18</v>
      </c>
      <c r="B55" s="24" t="s">
        <v>1420</v>
      </c>
      <c r="C55" s="24">
        <f t="shared" si="0"/>
        <v>145</v>
      </c>
      <c r="D55" s="24">
        <v>1</v>
      </c>
      <c r="G55" s="37" t="s">
        <v>784</v>
      </c>
      <c r="H55" s="24" t="s">
        <v>2288</v>
      </c>
      <c r="I55" s="24">
        <v>333821</v>
      </c>
      <c r="J55" s="24">
        <v>131</v>
      </c>
      <c r="K55" s="24" t="s">
        <v>21</v>
      </c>
      <c r="L55" s="24">
        <v>1</v>
      </c>
      <c r="M55" s="38">
        <v>215054</v>
      </c>
      <c r="N55" s="38">
        <f t="shared" si="1"/>
        <v>215054</v>
      </c>
      <c r="O55" s="24" t="s">
        <v>22</v>
      </c>
      <c r="P55" s="24">
        <v>52</v>
      </c>
    </row>
    <row r="56" spans="1:16" ht="15" customHeight="1" x14ac:dyDescent="0.2">
      <c r="A56" s="24" t="s">
        <v>18</v>
      </c>
      <c r="B56" s="24" t="s">
        <v>1421</v>
      </c>
      <c r="C56" s="24">
        <f t="shared" si="0"/>
        <v>146</v>
      </c>
      <c r="D56" s="24">
        <v>1</v>
      </c>
      <c r="G56" s="37" t="s">
        <v>1627</v>
      </c>
      <c r="H56" s="24" t="s">
        <v>2289</v>
      </c>
      <c r="I56" s="24">
        <v>131</v>
      </c>
      <c r="J56" s="24">
        <v>5113</v>
      </c>
      <c r="K56" s="24" t="s">
        <v>21</v>
      </c>
      <c r="L56" s="24">
        <v>1</v>
      </c>
      <c r="M56" s="38">
        <v>21505376</v>
      </c>
      <c r="N56" s="38">
        <f t="shared" si="1"/>
        <v>21505376</v>
      </c>
      <c r="O56" s="24" t="s">
        <v>22</v>
      </c>
      <c r="P56" s="24">
        <v>53</v>
      </c>
    </row>
    <row r="57" spans="1:16" ht="15" customHeight="1" x14ac:dyDescent="0.2">
      <c r="A57" s="24" t="s">
        <v>18</v>
      </c>
      <c r="B57" s="24" t="s">
        <v>1421</v>
      </c>
      <c r="C57" s="24">
        <f t="shared" si="0"/>
        <v>147</v>
      </c>
      <c r="D57" s="24">
        <v>1</v>
      </c>
      <c r="G57" s="37" t="s">
        <v>1627</v>
      </c>
      <c r="H57" s="24" t="s">
        <v>2290</v>
      </c>
      <c r="I57" s="24">
        <v>333821</v>
      </c>
      <c r="J57" s="24">
        <v>131</v>
      </c>
      <c r="K57" s="24" t="s">
        <v>21</v>
      </c>
      <c r="L57" s="24">
        <v>1</v>
      </c>
      <c r="M57" s="38">
        <v>215054</v>
      </c>
      <c r="N57" s="38">
        <f t="shared" si="1"/>
        <v>215054</v>
      </c>
      <c r="O57" s="24" t="s">
        <v>22</v>
      </c>
      <c r="P57" s="24">
        <v>54</v>
      </c>
    </row>
    <row r="58" spans="1:16" ht="15" customHeight="1" x14ac:dyDescent="0.2">
      <c r="A58" s="24" t="s">
        <v>18</v>
      </c>
      <c r="B58" s="24" t="s">
        <v>1481</v>
      </c>
      <c r="C58" s="24">
        <f t="shared" si="0"/>
        <v>148</v>
      </c>
      <c r="D58" s="24">
        <v>1</v>
      </c>
      <c r="G58" s="37" t="s">
        <v>2236</v>
      </c>
      <c r="H58" s="24" t="s">
        <v>2291</v>
      </c>
      <c r="I58" s="24">
        <v>131</v>
      </c>
      <c r="J58" s="24">
        <v>5113</v>
      </c>
      <c r="K58" s="24" t="s">
        <v>21</v>
      </c>
      <c r="L58" s="24">
        <v>1</v>
      </c>
      <c r="M58" s="38">
        <v>32258065</v>
      </c>
      <c r="N58" s="38">
        <f t="shared" si="1"/>
        <v>32258065</v>
      </c>
      <c r="O58" s="24" t="s">
        <v>22</v>
      </c>
      <c r="P58" s="24">
        <v>55</v>
      </c>
    </row>
    <row r="59" spans="1:16" ht="15" customHeight="1" x14ac:dyDescent="0.2">
      <c r="A59" s="24" t="s">
        <v>18</v>
      </c>
      <c r="B59" s="24" t="s">
        <v>1481</v>
      </c>
      <c r="C59" s="24">
        <f t="shared" si="0"/>
        <v>149</v>
      </c>
      <c r="D59" s="24">
        <v>1</v>
      </c>
      <c r="G59" s="37" t="s">
        <v>2236</v>
      </c>
      <c r="H59" s="24" t="s">
        <v>2292</v>
      </c>
      <c r="I59" s="24">
        <v>333821</v>
      </c>
      <c r="J59" s="24">
        <v>131</v>
      </c>
      <c r="K59" s="24" t="s">
        <v>21</v>
      </c>
      <c r="L59" s="24">
        <v>1</v>
      </c>
      <c r="M59" s="38">
        <v>322581</v>
      </c>
      <c r="N59" s="38">
        <f t="shared" si="1"/>
        <v>322581</v>
      </c>
      <c r="O59" s="24" t="s">
        <v>22</v>
      </c>
      <c r="P59" s="24">
        <v>56</v>
      </c>
    </row>
    <row r="60" spans="1:16" ht="15" customHeight="1" x14ac:dyDescent="0.2">
      <c r="A60" s="24" t="s">
        <v>18</v>
      </c>
      <c r="B60" s="24" t="s">
        <v>2078</v>
      </c>
      <c r="C60" s="24">
        <f t="shared" si="0"/>
        <v>150</v>
      </c>
      <c r="D60" s="24">
        <v>1</v>
      </c>
      <c r="G60" s="37" t="s">
        <v>1015</v>
      </c>
      <c r="H60" s="24" t="s">
        <v>2293</v>
      </c>
      <c r="I60" s="24">
        <v>131</v>
      </c>
      <c r="J60" s="24">
        <v>5113</v>
      </c>
      <c r="K60" s="24" t="s">
        <v>21</v>
      </c>
      <c r="L60" s="24">
        <v>1</v>
      </c>
      <c r="M60" s="38">
        <v>21505376</v>
      </c>
      <c r="N60" s="38">
        <f t="shared" si="1"/>
        <v>21505376</v>
      </c>
      <c r="O60" s="24" t="s">
        <v>22</v>
      </c>
      <c r="P60" s="24">
        <v>57</v>
      </c>
    </row>
    <row r="61" spans="1:16" ht="15" customHeight="1" x14ac:dyDescent="0.2">
      <c r="A61" s="24" t="s">
        <v>18</v>
      </c>
      <c r="B61" s="24" t="s">
        <v>2078</v>
      </c>
      <c r="C61" s="24">
        <f t="shared" si="0"/>
        <v>151</v>
      </c>
      <c r="D61" s="24">
        <v>1</v>
      </c>
      <c r="G61" s="37" t="s">
        <v>1015</v>
      </c>
      <c r="H61" s="24" t="s">
        <v>2294</v>
      </c>
      <c r="I61" s="24">
        <v>333821</v>
      </c>
      <c r="J61" s="24">
        <v>131</v>
      </c>
      <c r="K61" s="24" t="s">
        <v>21</v>
      </c>
      <c r="L61" s="24">
        <v>1</v>
      </c>
      <c r="M61" s="38">
        <v>215054</v>
      </c>
      <c r="N61" s="38">
        <f t="shared" si="1"/>
        <v>215054</v>
      </c>
      <c r="O61" s="24" t="s">
        <v>22</v>
      </c>
      <c r="P61" s="24">
        <v>58</v>
      </c>
    </row>
    <row r="62" spans="1:16" ht="15" customHeight="1" x14ac:dyDescent="0.2">
      <c r="A62" s="24" t="s">
        <v>18</v>
      </c>
      <c r="B62" s="24" t="s">
        <v>2051</v>
      </c>
      <c r="C62" s="24">
        <f t="shared" si="0"/>
        <v>152</v>
      </c>
      <c r="D62" s="24">
        <v>1</v>
      </c>
      <c r="G62" s="37" t="s">
        <v>1943</v>
      </c>
      <c r="H62" s="24" t="s">
        <v>2295</v>
      </c>
      <c r="I62" s="24">
        <v>131</v>
      </c>
      <c r="J62" s="24">
        <v>5113</v>
      </c>
      <c r="K62" s="24" t="s">
        <v>21</v>
      </c>
      <c r="L62" s="24">
        <v>1</v>
      </c>
      <c r="M62" s="38">
        <v>13372760</v>
      </c>
      <c r="N62" s="38">
        <f t="shared" si="1"/>
        <v>13372760</v>
      </c>
      <c r="O62" s="24" t="s">
        <v>22</v>
      </c>
      <c r="P62" s="24">
        <v>59</v>
      </c>
    </row>
    <row r="63" spans="1:16" ht="15" customHeight="1" x14ac:dyDescent="0.2">
      <c r="A63" s="24" t="s">
        <v>18</v>
      </c>
      <c r="B63" s="24" t="s">
        <v>2051</v>
      </c>
      <c r="C63" s="24">
        <f t="shared" si="0"/>
        <v>153</v>
      </c>
      <c r="D63" s="24">
        <v>1</v>
      </c>
      <c r="G63" s="37" t="s">
        <v>1943</v>
      </c>
      <c r="H63" s="24" t="s">
        <v>2296</v>
      </c>
      <c r="I63" s="24">
        <v>333821</v>
      </c>
      <c r="J63" s="24">
        <v>131</v>
      </c>
      <c r="K63" s="24" t="s">
        <v>21</v>
      </c>
      <c r="L63" s="24">
        <v>1</v>
      </c>
      <c r="M63" s="38">
        <v>133728</v>
      </c>
      <c r="N63" s="38">
        <f t="shared" si="1"/>
        <v>133728</v>
      </c>
      <c r="O63" s="24" t="s">
        <v>22</v>
      </c>
      <c r="P63" s="24">
        <v>60</v>
      </c>
    </row>
    <row r="64" spans="1:16" ht="15" customHeight="1" x14ac:dyDescent="0.2">
      <c r="A64" s="24" t="s">
        <v>18</v>
      </c>
      <c r="B64" s="24" t="s">
        <v>2233</v>
      </c>
      <c r="C64" s="24">
        <f t="shared" si="0"/>
        <v>154</v>
      </c>
      <c r="D64" s="24">
        <v>1</v>
      </c>
      <c r="G64" s="37" t="s">
        <v>1136</v>
      </c>
      <c r="H64" s="24" t="s">
        <v>2297</v>
      </c>
      <c r="I64" s="24">
        <v>131</v>
      </c>
      <c r="J64" s="24">
        <v>5113</v>
      </c>
      <c r="K64" s="24" t="s">
        <v>21</v>
      </c>
      <c r="L64" s="24">
        <v>1</v>
      </c>
      <c r="M64" s="38">
        <v>21505376</v>
      </c>
      <c r="N64" s="38">
        <f t="shared" si="1"/>
        <v>21505376</v>
      </c>
      <c r="O64" s="24" t="s">
        <v>22</v>
      </c>
      <c r="P64" s="24">
        <v>61</v>
      </c>
    </row>
    <row r="65" spans="1:16" ht="15" customHeight="1" x14ac:dyDescent="0.2">
      <c r="A65" s="24" t="s">
        <v>18</v>
      </c>
      <c r="B65" s="24" t="s">
        <v>2233</v>
      </c>
      <c r="C65" s="24">
        <f t="shared" si="0"/>
        <v>155</v>
      </c>
      <c r="D65" s="24">
        <v>1</v>
      </c>
      <c r="G65" s="37" t="s">
        <v>1136</v>
      </c>
      <c r="H65" s="24" t="s">
        <v>2298</v>
      </c>
      <c r="I65" s="24">
        <v>333821</v>
      </c>
      <c r="J65" s="24">
        <v>131</v>
      </c>
      <c r="K65" s="24" t="s">
        <v>21</v>
      </c>
      <c r="L65" s="24">
        <v>1</v>
      </c>
      <c r="M65" s="38">
        <v>215054</v>
      </c>
      <c r="N65" s="38">
        <f t="shared" ref="N65:N73" si="2">L65*M65</f>
        <v>215054</v>
      </c>
      <c r="O65" s="24" t="s">
        <v>22</v>
      </c>
      <c r="P65" s="24">
        <v>62</v>
      </c>
    </row>
    <row r="66" spans="1:16" ht="15" customHeight="1" x14ac:dyDescent="0.2">
      <c r="A66" s="24" t="s">
        <v>18</v>
      </c>
      <c r="B66" s="24" t="s">
        <v>2299</v>
      </c>
      <c r="C66" s="24">
        <f t="shared" si="0"/>
        <v>156</v>
      </c>
      <c r="D66" s="24">
        <v>1</v>
      </c>
      <c r="G66" s="37" t="s">
        <v>158</v>
      </c>
      <c r="H66" s="24" t="s">
        <v>2301</v>
      </c>
      <c r="I66" s="24">
        <v>64277</v>
      </c>
      <c r="J66" s="24">
        <v>331</v>
      </c>
      <c r="K66" s="24" t="s">
        <v>21</v>
      </c>
      <c r="L66" s="24">
        <v>1</v>
      </c>
      <c r="M66" s="38">
        <v>3240000</v>
      </c>
      <c r="N66" s="38">
        <f t="shared" si="2"/>
        <v>3240000</v>
      </c>
      <c r="O66" s="24" t="s">
        <v>22</v>
      </c>
      <c r="P66" s="24">
        <v>63</v>
      </c>
    </row>
    <row r="67" spans="1:16" ht="15" customHeight="1" x14ac:dyDescent="0.2">
      <c r="A67" s="24" t="s">
        <v>18</v>
      </c>
      <c r="B67" s="24" t="s">
        <v>2114</v>
      </c>
      <c r="C67" s="24">
        <f t="shared" si="0"/>
        <v>157</v>
      </c>
      <c r="D67" s="24">
        <v>1</v>
      </c>
      <c r="G67" s="37" t="s">
        <v>1703</v>
      </c>
      <c r="H67" s="24" t="s">
        <v>2305</v>
      </c>
      <c r="I67" s="24">
        <v>64277</v>
      </c>
      <c r="J67" s="24">
        <v>331</v>
      </c>
      <c r="K67" s="24" t="s">
        <v>21</v>
      </c>
      <c r="L67" s="24">
        <v>1</v>
      </c>
      <c r="M67" s="38">
        <v>1730160</v>
      </c>
      <c r="N67" s="38">
        <f t="shared" si="2"/>
        <v>1730160</v>
      </c>
      <c r="O67" s="24" t="s">
        <v>22</v>
      </c>
      <c r="P67" s="24">
        <v>64</v>
      </c>
    </row>
    <row r="68" spans="1:16" ht="15" customHeight="1" x14ac:dyDescent="0.2">
      <c r="A68" s="24" t="s">
        <v>18</v>
      </c>
      <c r="B68" s="24" t="s">
        <v>2300</v>
      </c>
      <c r="C68" s="24">
        <f t="shared" si="0"/>
        <v>158</v>
      </c>
      <c r="D68" s="24">
        <v>1</v>
      </c>
      <c r="G68" s="37" t="s">
        <v>209</v>
      </c>
      <c r="H68" s="24" t="s">
        <v>2306</v>
      </c>
      <c r="I68" s="24">
        <v>64277</v>
      </c>
      <c r="J68" s="24">
        <v>331</v>
      </c>
      <c r="K68" s="24" t="s">
        <v>21</v>
      </c>
      <c r="L68" s="24">
        <v>1</v>
      </c>
      <c r="M68" s="38">
        <v>1269000</v>
      </c>
      <c r="N68" s="38">
        <f t="shared" si="2"/>
        <v>1269000</v>
      </c>
      <c r="O68" s="24" t="s">
        <v>22</v>
      </c>
      <c r="P68" s="24">
        <v>65</v>
      </c>
    </row>
    <row r="69" spans="1:16" ht="15" customHeight="1" x14ac:dyDescent="0.2">
      <c r="A69" s="24" t="s">
        <v>18</v>
      </c>
      <c r="B69" s="24" t="s">
        <v>2121</v>
      </c>
      <c r="C69" s="24">
        <f t="shared" ref="C69:C132" si="3">C68+D69</f>
        <v>159</v>
      </c>
      <c r="D69" s="24">
        <v>1</v>
      </c>
      <c r="G69" s="37" t="s">
        <v>158</v>
      </c>
      <c r="H69" s="24" t="s">
        <v>2302</v>
      </c>
      <c r="I69" s="24">
        <v>64277</v>
      </c>
      <c r="J69" s="24">
        <v>331</v>
      </c>
      <c r="K69" s="24" t="s">
        <v>21</v>
      </c>
      <c r="L69" s="24">
        <v>1</v>
      </c>
      <c r="M69" s="38">
        <v>3240000</v>
      </c>
      <c r="N69" s="38">
        <f t="shared" si="2"/>
        <v>3240000</v>
      </c>
      <c r="O69" s="24" t="s">
        <v>22</v>
      </c>
      <c r="P69" s="24">
        <v>66</v>
      </c>
    </row>
    <row r="70" spans="1:16" ht="15" customHeight="1" x14ac:dyDescent="0.2">
      <c r="A70" s="24" t="s">
        <v>18</v>
      </c>
      <c r="B70" s="24" t="s">
        <v>1479</v>
      </c>
      <c r="C70" s="24">
        <f t="shared" si="3"/>
        <v>160</v>
      </c>
      <c r="D70" s="24">
        <v>1</v>
      </c>
      <c r="G70" s="37" t="s">
        <v>158</v>
      </c>
      <c r="H70" s="24" t="s">
        <v>2303</v>
      </c>
      <c r="I70" s="24">
        <v>64277</v>
      </c>
      <c r="J70" s="24">
        <v>331</v>
      </c>
      <c r="K70" s="24" t="s">
        <v>21</v>
      </c>
      <c r="L70" s="24">
        <v>1</v>
      </c>
      <c r="M70" s="38">
        <v>3240000</v>
      </c>
      <c r="N70" s="38">
        <f t="shared" si="2"/>
        <v>3240000</v>
      </c>
      <c r="O70" s="24" t="s">
        <v>22</v>
      </c>
      <c r="P70" s="24">
        <v>67</v>
      </c>
    </row>
    <row r="71" spans="1:16" ht="15" customHeight="1" x14ac:dyDescent="0.2">
      <c r="A71" s="24" t="s">
        <v>18</v>
      </c>
      <c r="B71" s="24" t="s">
        <v>1425</v>
      </c>
      <c r="C71" s="24">
        <f t="shared" si="3"/>
        <v>161</v>
      </c>
      <c r="D71" s="24">
        <v>1</v>
      </c>
      <c r="G71" s="37" t="s">
        <v>695</v>
      </c>
      <c r="H71" s="24" t="s">
        <v>2304</v>
      </c>
      <c r="I71" s="24">
        <v>64277</v>
      </c>
      <c r="J71" s="24">
        <v>331</v>
      </c>
      <c r="K71" s="24" t="s">
        <v>21</v>
      </c>
      <c r="L71" s="24">
        <v>1</v>
      </c>
      <c r="M71" s="38">
        <v>99000</v>
      </c>
      <c r="N71" s="38">
        <f t="shared" si="2"/>
        <v>99000</v>
      </c>
      <c r="O71" s="24" t="s">
        <v>22</v>
      </c>
      <c r="P71" s="24">
        <v>68</v>
      </c>
    </row>
    <row r="72" spans="1:16" ht="15" customHeight="1" x14ac:dyDescent="0.2">
      <c r="A72" s="24" t="s">
        <v>18</v>
      </c>
      <c r="B72" s="24" t="s">
        <v>1478</v>
      </c>
      <c r="C72" s="24">
        <f t="shared" si="3"/>
        <v>162</v>
      </c>
      <c r="D72" s="24">
        <v>1</v>
      </c>
      <c r="G72" s="37" t="s">
        <v>1671</v>
      </c>
      <c r="H72" s="24" t="s">
        <v>2307</v>
      </c>
      <c r="I72" s="24">
        <v>64276</v>
      </c>
      <c r="J72" s="24">
        <v>331</v>
      </c>
      <c r="K72" s="24" t="s">
        <v>21</v>
      </c>
      <c r="L72" s="24">
        <v>1</v>
      </c>
      <c r="M72" s="38">
        <v>10422000</v>
      </c>
      <c r="N72" s="38">
        <f t="shared" si="2"/>
        <v>10422000</v>
      </c>
      <c r="O72" s="24" t="s">
        <v>22</v>
      </c>
      <c r="P72" s="24">
        <v>69</v>
      </c>
    </row>
    <row r="73" spans="1:16" ht="15" customHeight="1" x14ac:dyDescent="0.2">
      <c r="A73" s="24" t="s">
        <v>18</v>
      </c>
      <c r="B73" s="24" t="s">
        <v>2078</v>
      </c>
      <c r="C73" s="24">
        <f t="shared" si="3"/>
        <v>163</v>
      </c>
      <c r="D73" s="24">
        <v>1</v>
      </c>
      <c r="G73" s="37" t="s">
        <v>1713</v>
      </c>
      <c r="H73" s="24" t="s">
        <v>2308</v>
      </c>
      <c r="I73" s="24">
        <v>64277</v>
      </c>
      <c r="J73" s="24">
        <v>331</v>
      </c>
      <c r="K73" s="24" t="s">
        <v>21</v>
      </c>
      <c r="L73" s="24">
        <v>1</v>
      </c>
      <c r="M73" s="38">
        <v>2762640</v>
      </c>
      <c r="N73" s="38">
        <f t="shared" si="2"/>
        <v>2762640</v>
      </c>
      <c r="O73" s="24" t="s">
        <v>22</v>
      </c>
      <c r="P73" s="24">
        <v>70</v>
      </c>
    </row>
    <row r="74" spans="1:16" ht="15" customHeight="1" x14ac:dyDescent="0.2">
      <c r="A74" s="24" t="s">
        <v>368</v>
      </c>
      <c r="B74" s="24" t="s">
        <v>2299</v>
      </c>
      <c r="C74" s="24">
        <f t="shared" si="3"/>
        <v>164</v>
      </c>
      <c r="D74" s="24">
        <v>1</v>
      </c>
      <c r="G74" s="37" t="s">
        <v>158</v>
      </c>
      <c r="H74" s="24" t="s">
        <v>2301</v>
      </c>
      <c r="I74" s="24">
        <v>331</v>
      </c>
      <c r="J74" s="24">
        <v>1111</v>
      </c>
      <c r="K74" s="24" t="s">
        <v>21</v>
      </c>
      <c r="L74" s="24">
        <v>1</v>
      </c>
      <c r="M74" s="38">
        <v>3240000</v>
      </c>
      <c r="N74" s="38">
        <f t="shared" ref="N74:N81" si="4">L74*M74</f>
        <v>3240000</v>
      </c>
      <c r="O74" s="24" t="s">
        <v>22</v>
      </c>
      <c r="P74" s="24">
        <v>71</v>
      </c>
    </row>
    <row r="75" spans="1:16" ht="15" customHeight="1" x14ac:dyDescent="0.2">
      <c r="A75" s="24" t="s">
        <v>368</v>
      </c>
      <c r="B75" s="24" t="s">
        <v>2114</v>
      </c>
      <c r="C75" s="24">
        <f t="shared" si="3"/>
        <v>165</v>
      </c>
      <c r="D75" s="24">
        <v>1</v>
      </c>
      <c r="G75" s="37" t="s">
        <v>1703</v>
      </c>
      <c r="H75" s="24" t="s">
        <v>2305</v>
      </c>
      <c r="I75" s="24">
        <v>331</v>
      </c>
      <c r="J75" s="24">
        <v>1111</v>
      </c>
      <c r="K75" s="24" t="s">
        <v>21</v>
      </c>
      <c r="L75" s="24">
        <v>1</v>
      </c>
      <c r="M75" s="38">
        <v>1730160</v>
      </c>
      <c r="N75" s="38">
        <f t="shared" si="4"/>
        <v>1730160</v>
      </c>
      <c r="O75" s="24" t="s">
        <v>22</v>
      </c>
      <c r="P75" s="24">
        <v>72</v>
      </c>
    </row>
    <row r="76" spans="1:16" ht="15" customHeight="1" x14ac:dyDescent="0.2">
      <c r="A76" s="24" t="s">
        <v>368</v>
      </c>
      <c r="B76" s="24" t="s">
        <v>2300</v>
      </c>
      <c r="C76" s="24">
        <f t="shared" si="3"/>
        <v>166</v>
      </c>
      <c r="D76" s="24">
        <v>1</v>
      </c>
      <c r="G76" s="37" t="s">
        <v>209</v>
      </c>
      <c r="H76" s="24" t="s">
        <v>2306</v>
      </c>
      <c r="I76" s="24">
        <v>331</v>
      </c>
      <c r="J76" s="24">
        <v>1111</v>
      </c>
      <c r="K76" s="24" t="s">
        <v>21</v>
      </c>
      <c r="L76" s="24">
        <v>1</v>
      </c>
      <c r="M76" s="38">
        <v>1269000</v>
      </c>
      <c r="N76" s="38">
        <f t="shared" si="4"/>
        <v>1269000</v>
      </c>
      <c r="O76" s="24" t="s">
        <v>22</v>
      </c>
      <c r="P76" s="24">
        <v>73</v>
      </c>
    </row>
    <row r="77" spans="1:16" ht="15" customHeight="1" x14ac:dyDescent="0.2">
      <c r="A77" s="24" t="s">
        <v>368</v>
      </c>
      <c r="B77" s="24" t="s">
        <v>2121</v>
      </c>
      <c r="C77" s="24">
        <f t="shared" si="3"/>
        <v>167</v>
      </c>
      <c r="D77" s="24">
        <v>1</v>
      </c>
      <c r="G77" s="37" t="s">
        <v>158</v>
      </c>
      <c r="H77" s="24" t="s">
        <v>2302</v>
      </c>
      <c r="I77" s="24">
        <v>331</v>
      </c>
      <c r="J77" s="24">
        <v>1111</v>
      </c>
      <c r="K77" s="24" t="s">
        <v>21</v>
      </c>
      <c r="L77" s="24">
        <v>1</v>
      </c>
      <c r="M77" s="38">
        <v>3240000</v>
      </c>
      <c r="N77" s="38">
        <f t="shared" si="4"/>
        <v>3240000</v>
      </c>
      <c r="O77" s="24" t="s">
        <v>22</v>
      </c>
      <c r="P77" s="24">
        <v>74</v>
      </c>
    </row>
    <row r="78" spans="1:16" ht="15" customHeight="1" x14ac:dyDescent="0.2">
      <c r="A78" s="24" t="s">
        <v>368</v>
      </c>
      <c r="B78" s="24" t="s">
        <v>1479</v>
      </c>
      <c r="C78" s="24">
        <f t="shared" si="3"/>
        <v>168</v>
      </c>
      <c r="D78" s="24">
        <v>1</v>
      </c>
      <c r="G78" s="37" t="s">
        <v>158</v>
      </c>
      <c r="H78" s="24" t="s">
        <v>2303</v>
      </c>
      <c r="I78" s="24">
        <v>331</v>
      </c>
      <c r="J78" s="24">
        <v>1111</v>
      </c>
      <c r="K78" s="24" t="s">
        <v>21</v>
      </c>
      <c r="L78" s="24">
        <v>1</v>
      </c>
      <c r="M78" s="38">
        <v>3240000</v>
      </c>
      <c r="N78" s="38">
        <f t="shared" si="4"/>
        <v>3240000</v>
      </c>
      <c r="O78" s="24" t="s">
        <v>22</v>
      </c>
      <c r="P78" s="24">
        <v>75</v>
      </c>
    </row>
    <row r="79" spans="1:16" ht="15" customHeight="1" x14ac:dyDescent="0.2">
      <c r="A79" s="24" t="s">
        <v>368</v>
      </c>
      <c r="B79" s="24" t="s">
        <v>1425</v>
      </c>
      <c r="C79" s="24">
        <f t="shared" si="3"/>
        <v>169</v>
      </c>
      <c r="D79" s="24">
        <v>1</v>
      </c>
      <c r="G79" s="37" t="s">
        <v>695</v>
      </c>
      <c r="H79" s="24" t="s">
        <v>2304</v>
      </c>
      <c r="I79" s="24">
        <v>331</v>
      </c>
      <c r="J79" s="24">
        <v>1111</v>
      </c>
      <c r="K79" s="24" t="s">
        <v>21</v>
      </c>
      <c r="L79" s="24">
        <v>1</v>
      </c>
      <c r="M79" s="38">
        <v>99000</v>
      </c>
      <c r="N79" s="38">
        <f t="shared" si="4"/>
        <v>99000</v>
      </c>
      <c r="O79" s="24" t="s">
        <v>22</v>
      </c>
      <c r="P79" s="24">
        <v>76</v>
      </c>
    </row>
    <row r="80" spans="1:16" ht="15" customHeight="1" x14ac:dyDescent="0.2">
      <c r="A80" s="24" t="s">
        <v>368</v>
      </c>
      <c r="B80" s="24" t="s">
        <v>1478</v>
      </c>
      <c r="C80" s="24">
        <f t="shared" si="3"/>
        <v>170</v>
      </c>
      <c r="D80" s="24">
        <v>1</v>
      </c>
      <c r="G80" s="37" t="s">
        <v>1671</v>
      </c>
      <c r="H80" s="24" t="s">
        <v>2307</v>
      </c>
      <c r="I80" s="24">
        <v>331</v>
      </c>
      <c r="J80" s="24">
        <v>1111</v>
      </c>
      <c r="K80" s="24" t="s">
        <v>21</v>
      </c>
      <c r="L80" s="24">
        <v>1</v>
      </c>
      <c r="M80" s="38">
        <v>10422000</v>
      </c>
      <c r="N80" s="38">
        <f t="shared" si="4"/>
        <v>10422000</v>
      </c>
      <c r="O80" s="24" t="s">
        <v>22</v>
      </c>
      <c r="P80" s="24">
        <v>77</v>
      </c>
    </row>
    <row r="81" spans="1:16" ht="15" customHeight="1" x14ac:dyDescent="0.2">
      <c r="A81" s="24" t="s">
        <v>368</v>
      </c>
      <c r="B81" s="24" t="s">
        <v>2078</v>
      </c>
      <c r="C81" s="24">
        <f t="shared" si="3"/>
        <v>171</v>
      </c>
      <c r="D81" s="24">
        <v>1</v>
      </c>
      <c r="G81" s="37" t="s">
        <v>1713</v>
      </c>
      <c r="H81" s="24" t="s">
        <v>2308</v>
      </c>
      <c r="I81" s="24">
        <v>331</v>
      </c>
      <c r="J81" s="24">
        <v>1111</v>
      </c>
      <c r="K81" s="24" t="s">
        <v>21</v>
      </c>
      <c r="L81" s="24">
        <v>1</v>
      </c>
      <c r="M81" s="38">
        <v>2762640</v>
      </c>
      <c r="N81" s="38">
        <f t="shared" si="4"/>
        <v>2762640</v>
      </c>
      <c r="O81" s="24" t="s">
        <v>22</v>
      </c>
      <c r="P81" s="24">
        <v>78</v>
      </c>
    </row>
    <row r="82" spans="1:16" ht="15" customHeight="1" x14ac:dyDescent="0.2">
      <c r="A82" s="46" t="s">
        <v>18</v>
      </c>
      <c r="B82" s="84">
        <v>45869</v>
      </c>
      <c r="C82" s="24">
        <f t="shared" si="3"/>
        <v>172</v>
      </c>
      <c r="D82" s="24">
        <v>1</v>
      </c>
      <c r="E82" s="46"/>
      <c r="F82" s="46"/>
      <c r="G82" s="79" t="s">
        <v>252</v>
      </c>
      <c r="H82" s="46" t="s">
        <v>147</v>
      </c>
      <c r="I82" s="46">
        <v>64271</v>
      </c>
      <c r="J82" s="46">
        <v>3383</v>
      </c>
      <c r="K82" s="46" t="s">
        <v>21</v>
      </c>
      <c r="L82" s="46">
        <v>1</v>
      </c>
      <c r="M82" s="85">
        <v>690300</v>
      </c>
      <c r="N82" s="86">
        <f>L82*M82</f>
        <v>690300</v>
      </c>
      <c r="O82" s="24" t="s">
        <v>22</v>
      </c>
      <c r="P82" s="24">
        <v>79</v>
      </c>
    </row>
    <row r="83" spans="1:16" ht="15" customHeight="1" x14ac:dyDescent="0.2">
      <c r="A83" s="46" t="s">
        <v>18</v>
      </c>
      <c r="B83" s="84">
        <v>45900</v>
      </c>
      <c r="C83" s="24">
        <f t="shared" si="3"/>
        <v>173</v>
      </c>
      <c r="D83" s="24">
        <v>1</v>
      </c>
      <c r="E83" s="46"/>
      <c r="F83" s="46"/>
      <c r="G83" s="79" t="s">
        <v>252</v>
      </c>
      <c r="H83" s="46" t="s">
        <v>280</v>
      </c>
      <c r="I83" s="46">
        <v>64271</v>
      </c>
      <c r="J83" s="46">
        <v>3383</v>
      </c>
      <c r="K83" s="46" t="s">
        <v>21</v>
      </c>
      <c r="L83" s="46">
        <v>1</v>
      </c>
      <c r="M83" s="85">
        <v>690300</v>
      </c>
      <c r="N83" s="86">
        <f>L83*M83</f>
        <v>690300</v>
      </c>
      <c r="O83" s="24" t="s">
        <v>22</v>
      </c>
      <c r="P83" s="24">
        <v>80</v>
      </c>
    </row>
    <row r="84" spans="1:16" ht="15" customHeight="1" x14ac:dyDescent="0.2">
      <c r="A84" s="46" t="s">
        <v>18</v>
      </c>
      <c r="B84" s="84">
        <v>45930</v>
      </c>
      <c r="C84" s="24">
        <f t="shared" si="3"/>
        <v>174</v>
      </c>
      <c r="D84" s="24">
        <v>1</v>
      </c>
      <c r="E84" s="46"/>
      <c r="F84" s="46"/>
      <c r="G84" s="79" t="s">
        <v>252</v>
      </c>
      <c r="H84" s="46" t="s">
        <v>367</v>
      </c>
      <c r="I84" s="46">
        <v>64271</v>
      </c>
      <c r="J84" s="46">
        <v>3383</v>
      </c>
      <c r="K84" s="46" t="s">
        <v>21</v>
      </c>
      <c r="L84" s="46">
        <v>1</v>
      </c>
      <c r="M84" s="85">
        <v>690300</v>
      </c>
      <c r="N84" s="86">
        <f>L84*M84</f>
        <v>690300</v>
      </c>
      <c r="O84" s="24" t="s">
        <v>22</v>
      </c>
      <c r="P84" s="24">
        <v>81</v>
      </c>
    </row>
    <row r="85" spans="1:16" ht="15" customHeight="1" x14ac:dyDescent="0.2">
      <c r="A85" s="24" t="s">
        <v>33</v>
      </c>
      <c r="B85" s="36">
        <v>45839</v>
      </c>
      <c r="C85" s="24">
        <f t="shared" si="3"/>
        <v>175</v>
      </c>
      <c r="D85" s="24">
        <v>1</v>
      </c>
      <c r="G85" s="37" t="s">
        <v>55</v>
      </c>
      <c r="H85" s="24" t="s">
        <v>2309</v>
      </c>
      <c r="I85" s="24">
        <v>112111</v>
      </c>
      <c r="J85" s="24">
        <v>131</v>
      </c>
      <c r="K85" s="46" t="s">
        <v>21</v>
      </c>
      <c r="L85" s="46">
        <v>1</v>
      </c>
      <c r="M85" s="38">
        <v>21505376</v>
      </c>
      <c r="N85" s="86">
        <f t="shared" ref="N85:N100" si="5">L85*M85</f>
        <v>21505376</v>
      </c>
      <c r="O85" s="24" t="s">
        <v>22</v>
      </c>
      <c r="P85" s="24">
        <v>82</v>
      </c>
    </row>
    <row r="86" spans="1:16" ht="15" customHeight="1" x14ac:dyDescent="0.2">
      <c r="A86" s="24" t="s">
        <v>89</v>
      </c>
      <c r="B86" s="36">
        <v>45841</v>
      </c>
      <c r="C86" s="24">
        <f t="shared" si="3"/>
        <v>176</v>
      </c>
      <c r="D86" s="24">
        <v>1</v>
      </c>
      <c r="G86" s="37" t="s">
        <v>1986</v>
      </c>
      <c r="H86" s="42" t="s">
        <v>1008</v>
      </c>
      <c r="I86" s="24">
        <v>1111</v>
      </c>
      <c r="J86" s="24">
        <v>112111</v>
      </c>
      <c r="K86" s="46" t="s">
        <v>21</v>
      </c>
      <c r="L86" s="46">
        <v>1</v>
      </c>
      <c r="M86" s="38">
        <v>75000000</v>
      </c>
      <c r="N86" s="86">
        <f t="shared" si="5"/>
        <v>75000000</v>
      </c>
      <c r="O86" s="24" t="s">
        <v>22</v>
      </c>
      <c r="P86" s="24">
        <v>83</v>
      </c>
    </row>
    <row r="87" spans="1:16" ht="15" customHeight="1" x14ac:dyDescent="0.2">
      <c r="A87" s="24" t="s">
        <v>33</v>
      </c>
      <c r="B87" s="36">
        <v>45843</v>
      </c>
      <c r="C87" s="24">
        <f t="shared" si="3"/>
        <v>177</v>
      </c>
      <c r="D87" s="24">
        <v>1</v>
      </c>
      <c r="G87" s="15" t="s">
        <v>252</v>
      </c>
      <c r="H87" s="13" t="s">
        <v>1579</v>
      </c>
      <c r="I87" s="24">
        <v>112111</v>
      </c>
      <c r="J87" s="13">
        <v>131</v>
      </c>
      <c r="K87" s="46" t="s">
        <v>21</v>
      </c>
      <c r="L87" s="46">
        <v>1</v>
      </c>
      <c r="M87" s="38">
        <v>11468852</v>
      </c>
      <c r="N87" s="86">
        <f t="shared" si="5"/>
        <v>11468852</v>
      </c>
      <c r="O87" s="24" t="s">
        <v>22</v>
      </c>
      <c r="P87" s="24">
        <v>84</v>
      </c>
    </row>
    <row r="88" spans="1:16" ht="15" customHeight="1" x14ac:dyDescent="0.2">
      <c r="A88" s="24" t="s">
        <v>33</v>
      </c>
      <c r="B88" s="36">
        <v>45843</v>
      </c>
      <c r="C88" s="24">
        <f t="shared" si="3"/>
        <v>178</v>
      </c>
      <c r="D88" s="24">
        <v>1</v>
      </c>
      <c r="G88" s="15" t="s">
        <v>252</v>
      </c>
      <c r="H88" s="13" t="s">
        <v>1579</v>
      </c>
      <c r="I88" s="24">
        <v>112111</v>
      </c>
      <c r="J88" s="13">
        <v>131</v>
      </c>
      <c r="K88" s="46" t="s">
        <v>21</v>
      </c>
      <c r="L88" s="46">
        <v>1</v>
      </c>
      <c r="M88" s="38">
        <v>17798452</v>
      </c>
      <c r="N88" s="86">
        <f t="shared" si="5"/>
        <v>17798452</v>
      </c>
      <c r="O88" s="24" t="s">
        <v>22</v>
      </c>
      <c r="P88" s="24">
        <v>85</v>
      </c>
    </row>
    <row r="89" spans="1:16" ht="15" customHeight="1" x14ac:dyDescent="0.2">
      <c r="A89" s="24" t="s">
        <v>18</v>
      </c>
      <c r="B89" s="36">
        <v>45843</v>
      </c>
      <c r="C89" s="24">
        <f t="shared" si="3"/>
        <v>179</v>
      </c>
      <c r="D89" s="24">
        <v>1</v>
      </c>
      <c r="G89" s="15" t="s">
        <v>252</v>
      </c>
      <c r="H89" s="13" t="s">
        <v>1578</v>
      </c>
      <c r="I89" s="13">
        <v>131</v>
      </c>
      <c r="J89" s="13">
        <v>5118</v>
      </c>
      <c r="K89" s="46" t="s">
        <v>21</v>
      </c>
      <c r="L89" s="46">
        <v>1</v>
      </c>
      <c r="M89" s="38">
        <v>11468852</v>
      </c>
      <c r="N89" s="86">
        <f t="shared" si="5"/>
        <v>11468852</v>
      </c>
      <c r="O89" s="24" t="s">
        <v>22</v>
      </c>
      <c r="P89" s="24">
        <v>86</v>
      </c>
    </row>
    <row r="90" spans="1:16" ht="15" customHeight="1" x14ac:dyDescent="0.2">
      <c r="A90" s="24" t="s">
        <v>18</v>
      </c>
      <c r="B90" s="36">
        <v>45843</v>
      </c>
      <c r="C90" s="24">
        <f t="shared" si="3"/>
        <v>180</v>
      </c>
      <c r="D90" s="24">
        <v>1</v>
      </c>
      <c r="G90" s="15" t="s">
        <v>252</v>
      </c>
      <c r="H90" s="13" t="s">
        <v>1578</v>
      </c>
      <c r="I90" s="13">
        <v>131</v>
      </c>
      <c r="J90" s="13">
        <v>5118</v>
      </c>
      <c r="K90" s="46" t="s">
        <v>21</v>
      </c>
      <c r="L90" s="46">
        <v>1</v>
      </c>
      <c r="M90" s="38">
        <v>17798452</v>
      </c>
      <c r="N90" s="86">
        <f t="shared" si="5"/>
        <v>17798452</v>
      </c>
      <c r="O90" s="24" t="s">
        <v>22</v>
      </c>
      <c r="P90" s="24">
        <v>87</v>
      </c>
    </row>
    <row r="91" spans="1:16" ht="15" customHeight="1" x14ac:dyDescent="0.2">
      <c r="A91" s="24" t="s">
        <v>89</v>
      </c>
      <c r="B91" s="36">
        <v>45843</v>
      </c>
      <c r="C91" s="24">
        <f t="shared" si="3"/>
        <v>181</v>
      </c>
      <c r="D91" s="24">
        <v>1</v>
      </c>
      <c r="G91" s="37" t="s">
        <v>1986</v>
      </c>
      <c r="H91" s="42" t="s">
        <v>1008</v>
      </c>
      <c r="I91" s="24">
        <v>1111</v>
      </c>
      <c r="J91" s="24">
        <v>112111</v>
      </c>
      <c r="K91" s="46" t="s">
        <v>21</v>
      </c>
      <c r="L91" s="46">
        <v>1</v>
      </c>
      <c r="M91" s="38">
        <v>20000000</v>
      </c>
      <c r="N91" s="86">
        <f t="shared" si="5"/>
        <v>20000000</v>
      </c>
      <c r="O91" s="24" t="s">
        <v>22</v>
      </c>
      <c r="P91" s="24">
        <v>88</v>
      </c>
    </row>
    <row r="92" spans="1:16" ht="15" customHeight="1" x14ac:dyDescent="0.2">
      <c r="A92" s="24" t="s">
        <v>33</v>
      </c>
      <c r="B92" s="36">
        <v>45855</v>
      </c>
      <c r="C92" s="24">
        <f t="shared" si="3"/>
        <v>182</v>
      </c>
      <c r="D92" s="24">
        <v>1</v>
      </c>
      <c r="G92" s="37" t="s">
        <v>55</v>
      </c>
      <c r="H92" s="24" t="s">
        <v>2310</v>
      </c>
      <c r="I92" s="24">
        <v>112111</v>
      </c>
      <c r="J92" s="13">
        <v>131</v>
      </c>
      <c r="K92" s="46" t="s">
        <v>21</v>
      </c>
      <c r="L92" s="46">
        <v>1</v>
      </c>
      <c r="M92" s="38">
        <v>21505376</v>
      </c>
      <c r="N92" s="86">
        <f t="shared" si="5"/>
        <v>21505376</v>
      </c>
      <c r="O92" s="24" t="s">
        <v>22</v>
      </c>
      <c r="P92" s="24">
        <v>89</v>
      </c>
    </row>
    <row r="93" spans="1:16" ht="15" customHeight="1" x14ac:dyDescent="0.2">
      <c r="A93" s="24" t="s">
        <v>33</v>
      </c>
      <c r="B93" s="36">
        <v>45858</v>
      </c>
      <c r="C93" s="24">
        <f t="shared" si="3"/>
        <v>183</v>
      </c>
      <c r="D93" s="24">
        <v>1</v>
      </c>
      <c r="G93" s="37" t="s">
        <v>851</v>
      </c>
      <c r="H93" s="24" t="s">
        <v>129</v>
      </c>
      <c r="I93" s="24">
        <v>112111</v>
      </c>
      <c r="J93" s="24">
        <v>5154</v>
      </c>
      <c r="K93" s="46" t="s">
        <v>21</v>
      </c>
      <c r="L93" s="46">
        <v>1</v>
      </c>
      <c r="M93" s="38">
        <v>1469</v>
      </c>
      <c r="N93" s="86">
        <f t="shared" si="5"/>
        <v>1469</v>
      </c>
      <c r="O93" s="24" t="s">
        <v>22</v>
      </c>
      <c r="P93" s="24">
        <v>90</v>
      </c>
    </row>
    <row r="94" spans="1:16" ht="15" customHeight="1" x14ac:dyDescent="0.2">
      <c r="A94" s="24" t="s">
        <v>89</v>
      </c>
      <c r="B94" s="36">
        <v>45858</v>
      </c>
      <c r="C94" s="24">
        <f t="shared" si="3"/>
        <v>184</v>
      </c>
      <c r="D94" s="24">
        <v>1</v>
      </c>
      <c r="G94" s="37" t="s">
        <v>29</v>
      </c>
      <c r="H94" s="24" t="s">
        <v>864</v>
      </c>
      <c r="I94" s="24">
        <v>333822</v>
      </c>
      <c r="J94" s="24">
        <v>112111</v>
      </c>
      <c r="K94" s="46" t="s">
        <v>21</v>
      </c>
      <c r="L94" s="46">
        <v>1</v>
      </c>
      <c r="M94" s="38">
        <v>812000</v>
      </c>
      <c r="N94" s="86">
        <f t="shared" si="5"/>
        <v>812000</v>
      </c>
      <c r="O94" s="24" t="s">
        <v>22</v>
      </c>
      <c r="P94" s="24">
        <v>91</v>
      </c>
    </row>
    <row r="95" spans="1:16" ht="15" customHeight="1" x14ac:dyDescent="0.2">
      <c r="A95" s="24" t="s">
        <v>33</v>
      </c>
      <c r="B95" s="36">
        <v>45859</v>
      </c>
      <c r="C95" s="24">
        <f t="shared" si="3"/>
        <v>185</v>
      </c>
      <c r="D95" s="24">
        <v>1</v>
      </c>
      <c r="G95" s="37" t="s">
        <v>2234</v>
      </c>
      <c r="H95" s="24" t="s">
        <v>2311</v>
      </c>
      <c r="I95" s="24">
        <v>112111</v>
      </c>
      <c r="J95" s="13">
        <v>131</v>
      </c>
      <c r="K95" s="46" t="s">
        <v>21</v>
      </c>
      <c r="L95" s="46">
        <v>1</v>
      </c>
      <c r="M95" s="38">
        <v>42580645</v>
      </c>
      <c r="N95" s="86">
        <f t="shared" si="5"/>
        <v>42580645</v>
      </c>
      <c r="O95" s="24" t="s">
        <v>22</v>
      </c>
      <c r="P95" s="24">
        <v>92</v>
      </c>
    </row>
    <row r="96" spans="1:16" ht="15" customHeight="1" x14ac:dyDescent="0.2">
      <c r="A96" s="24" t="s">
        <v>89</v>
      </c>
      <c r="B96" s="36">
        <v>45860</v>
      </c>
      <c r="C96" s="24">
        <f t="shared" si="3"/>
        <v>186</v>
      </c>
      <c r="D96" s="24">
        <v>1</v>
      </c>
      <c r="G96" s="37" t="s">
        <v>1986</v>
      </c>
      <c r="H96" s="42" t="s">
        <v>1008</v>
      </c>
      <c r="I96" s="24">
        <v>1111</v>
      </c>
      <c r="J96" s="24">
        <v>112111</v>
      </c>
      <c r="K96" s="46" t="s">
        <v>21</v>
      </c>
      <c r="L96" s="46">
        <v>1</v>
      </c>
      <c r="M96" s="38">
        <v>40000000</v>
      </c>
      <c r="N96" s="86">
        <f t="shared" si="5"/>
        <v>40000000</v>
      </c>
      <c r="O96" s="24" t="s">
        <v>22</v>
      </c>
      <c r="P96" s="24">
        <v>93</v>
      </c>
    </row>
    <row r="97" spans="1:16" ht="15" customHeight="1" x14ac:dyDescent="0.2">
      <c r="A97" s="24" t="s">
        <v>89</v>
      </c>
      <c r="B97" s="36">
        <v>45860</v>
      </c>
      <c r="C97" s="24">
        <f t="shared" si="3"/>
        <v>187</v>
      </c>
      <c r="D97" s="24">
        <v>1</v>
      </c>
      <c r="G97" s="37" t="s">
        <v>29</v>
      </c>
      <c r="H97" s="24" t="s">
        <v>855</v>
      </c>
      <c r="I97" s="24">
        <v>333821</v>
      </c>
      <c r="J97" s="24">
        <v>112111</v>
      </c>
      <c r="K97" s="46" t="s">
        <v>21</v>
      </c>
      <c r="L97" s="46">
        <v>1</v>
      </c>
      <c r="M97" s="38">
        <v>29107656</v>
      </c>
      <c r="N97" s="86">
        <f t="shared" si="5"/>
        <v>29107656</v>
      </c>
      <c r="O97" s="24" t="s">
        <v>22</v>
      </c>
      <c r="P97" s="24">
        <v>94</v>
      </c>
    </row>
    <row r="98" spans="1:16" ht="15" customHeight="1" x14ac:dyDescent="0.2">
      <c r="A98" s="24" t="s">
        <v>33</v>
      </c>
      <c r="B98" s="36">
        <v>45864</v>
      </c>
      <c r="C98" s="24">
        <f t="shared" si="3"/>
        <v>188</v>
      </c>
      <c r="D98" s="24">
        <v>1</v>
      </c>
      <c r="G98" s="37" t="s">
        <v>749</v>
      </c>
      <c r="H98" s="24" t="s">
        <v>2312</v>
      </c>
      <c r="I98" s="24">
        <v>112111</v>
      </c>
      <c r="J98" s="13">
        <v>131</v>
      </c>
      <c r="K98" s="46" t="s">
        <v>21</v>
      </c>
      <c r="L98" s="46">
        <v>1</v>
      </c>
      <c r="M98" s="38">
        <v>21290322</v>
      </c>
      <c r="N98" s="86">
        <f t="shared" si="5"/>
        <v>21290322</v>
      </c>
      <c r="O98" s="24" t="s">
        <v>22</v>
      </c>
      <c r="P98" s="24">
        <v>95</v>
      </c>
    </row>
    <row r="99" spans="1:16" ht="15" customHeight="1" x14ac:dyDescent="0.2">
      <c r="A99" s="24" t="s">
        <v>18</v>
      </c>
      <c r="B99" s="36">
        <v>45864</v>
      </c>
      <c r="C99" s="24">
        <f t="shared" si="3"/>
        <v>189</v>
      </c>
      <c r="D99" s="24">
        <v>1</v>
      </c>
      <c r="G99" s="15" t="s">
        <v>252</v>
      </c>
      <c r="H99" s="13" t="s">
        <v>1578</v>
      </c>
      <c r="I99" s="13">
        <v>131</v>
      </c>
      <c r="J99" s="13">
        <v>5118</v>
      </c>
      <c r="K99" s="46" t="s">
        <v>21</v>
      </c>
      <c r="L99" s="46">
        <v>1</v>
      </c>
      <c r="M99" s="38">
        <v>19776453</v>
      </c>
      <c r="N99" s="86">
        <f t="shared" si="5"/>
        <v>19776453</v>
      </c>
      <c r="O99" s="24" t="s">
        <v>22</v>
      </c>
      <c r="P99" s="24">
        <v>96</v>
      </c>
    </row>
    <row r="100" spans="1:16" ht="15" customHeight="1" x14ac:dyDescent="0.2">
      <c r="A100" s="24" t="s">
        <v>18</v>
      </c>
      <c r="B100" s="36">
        <v>45864</v>
      </c>
      <c r="C100" s="24">
        <f t="shared" si="3"/>
        <v>190</v>
      </c>
      <c r="D100" s="24">
        <v>1</v>
      </c>
      <c r="G100" s="15" t="s">
        <v>252</v>
      </c>
      <c r="H100" s="13" t="s">
        <v>1578</v>
      </c>
      <c r="I100" s="13">
        <v>131</v>
      </c>
      <c r="J100" s="13">
        <v>5118</v>
      </c>
      <c r="K100" s="46" t="s">
        <v>21</v>
      </c>
      <c r="L100" s="46">
        <v>1</v>
      </c>
      <c r="M100" s="38">
        <v>12853453</v>
      </c>
      <c r="N100" s="86">
        <f t="shared" si="5"/>
        <v>12853453</v>
      </c>
      <c r="O100" s="24" t="s">
        <v>22</v>
      </c>
      <c r="P100" s="24">
        <v>97</v>
      </c>
    </row>
    <row r="101" spans="1:16" ht="15" customHeight="1" x14ac:dyDescent="0.2">
      <c r="A101" s="24" t="s">
        <v>33</v>
      </c>
      <c r="B101" s="36">
        <v>45864</v>
      </c>
      <c r="C101" s="24">
        <f t="shared" si="3"/>
        <v>191</v>
      </c>
      <c r="D101" s="24">
        <v>1</v>
      </c>
      <c r="G101" s="15" t="s">
        <v>252</v>
      </c>
      <c r="H101" s="13" t="s">
        <v>1579</v>
      </c>
      <c r="I101" s="24">
        <v>112111</v>
      </c>
      <c r="J101" s="13">
        <v>131</v>
      </c>
      <c r="K101" s="46" t="s">
        <v>21</v>
      </c>
      <c r="L101" s="46">
        <v>1</v>
      </c>
      <c r="M101" s="38">
        <v>19776453</v>
      </c>
      <c r="N101" s="86">
        <f t="shared" ref="N101:N160" si="6">L101*M101</f>
        <v>19776453</v>
      </c>
      <c r="O101" s="24" t="s">
        <v>22</v>
      </c>
      <c r="P101" s="24">
        <v>98</v>
      </c>
    </row>
    <row r="102" spans="1:16" ht="15" customHeight="1" x14ac:dyDescent="0.2">
      <c r="A102" s="24" t="s">
        <v>33</v>
      </c>
      <c r="B102" s="36">
        <v>45864</v>
      </c>
      <c r="C102" s="24">
        <f t="shared" si="3"/>
        <v>192</v>
      </c>
      <c r="D102" s="24">
        <v>1</v>
      </c>
      <c r="G102" s="15" t="s">
        <v>252</v>
      </c>
      <c r="H102" s="13" t="s">
        <v>1579</v>
      </c>
      <c r="I102" s="24">
        <v>112111</v>
      </c>
      <c r="J102" s="13">
        <v>131</v>
      </c>
      <c r="K102" s="46" t="s">
        <v>21</v>
      </c>
      <c r="L102" s="46">
        <v>1</v>
      </c>
      <c r="M102" s="38">
        <v>12853453</v>
      </c>
      <c r="N102" s="86">
        <f t="shared" si="6"/>
        <v>12853453</v>
      </c>
      <c r="O102" s="24" t="s">
        <v>22</v>
      </c>
      <c r="P102" s="24">
        <v>99</v>
      </c>
    </row>
    <row r="103" spans="1:16" ht="15" customHeight="1" x14ac:dyDescent="0.2">
      <c r="A103" s="24" t="s">
        <v>89</v>
      </c>
      <c r="B103" s="36">
        <v>45864</v>
      </c>
      <c r="C103" s="24">
        <f t="shared" si="3"/>
        <v>193</v>
      </c>
      <c r="D103" s="24">
        <v>1</v>
      </c>
      <c r="G103" s="37" t="s">
        <v>1986</v>
      </c>
      <c r="H103" s="42" t="s">
        <v>1008</v>
      </c>
      <c r="I103" s="24">
        <v>1111</v>
      </c>
      <c r="J103" s="24">
        <v>112111</v>
      </c>
      <c r="K103" s="46" t="s">
        <v>21</v>
      </c>
      <c r="L103" s="46">
        <v>1</v>
      </c>
      <c r="M103" s="38">
        <v>50000000</v>
      </c>
      <c r="N103" s="86">
        <f t="shared" si="6"/>
        <v>50000000</v>
      </c>
      <c r="O103" s="24" t="s">
        <v>22</v>
      </c>
      <c r="P103" s="24">
        <v>100</v>
      </c>
    </row>
    <row r="104" spans="1:16" ht="15" customHeight="1" x14ac:dyDescent="0.2">
      <c r="A104" s="24" t="s">
        <v>33</v>
      </c>
      <c r="B104" s="36">
        <v>45867</v>
      </c>
      <c r="C104" s="24">
        <f t="shared" si="3"/>
        <v>194</v>
      </c>
      <c r="D104" s="24">
        <v>1</v>
      </c>
      <c r="G104" s="37" t="s">
        <v>1640</v>
      </c>
      <c r="H104" s="24" t="s">
        <v>2313</v>
      </c>
      <c r="I104" s="24">
        <v>112111</v>
      </c>
      <c r="J104" s="13">
        <v>131</v>
      </c>
      <c r="K104" s="46" t="s">
        <v>21</v>
      </c>
      <c r="L104" s="46">
        <v>1</v>
      </c>
      <c r="M104" s="38">
        <v>21290322</v>
      </c>
      <c r="N104" s="86">
        <f t="shared" si="6"/>
        <v>21290322</v>
      </c>
      <c r="O104" s="24" t="s">
        <v>22</v>
      </c>
      <c r="P104" s="24">
        <v>101</v>
      </c>
    </row>
    <row r="105" spans="1:16" ht="15" customHeight="1" x14ac:dyDescent="0.2">
      <c r="A105" s="24" t="s">
        <v>89</v>
      </c>
      <c r="B105" s="36">
        <v>45869</v>
      </c>
      <c r="C105" s="24">
        <f t="shared" si="3"/>
        <v>195</v>
      </c>
      <c r="D105" s="24">
        <v>1</v>
      </c>
      <c r="G105" s="37" t="s">
        <v>1986</v>
      </c>
      <c r="H105" s="42" t="s">
        <v>1008</v>
      </c>
      <c r="I105" s="24">
        <v>1111</v>
      </c>
      <c r="J105" s="24">
        <v>112111</v>
      </c>
      <c r="K105" s="46" t="s">
        <v>21</v>
      </c>
      <c r="L105" s="46">
        <v>1</v>
      </c>
      <c r="M105" s="38">
        <v>20000000</v>
      </c>
      <c r="N105" s="86">
        <f t="shared" si="6"/>
        <v>20000000</v>
      </c>
      <c r="O105" s="24" t="s">
        <v>22</v>
      </c>
      <c r="P105" s="24">
        <v>102</v>
      </c>
    </row>
    <row r="106" spans="1:16" ht="15" customHeight="1" x14ac:dyDescent="0.2">
      <c r="A106" s="24" t="s">
        <v>89</v>
      </c>
      <c r="B106" s="36">
        <v>45871</v>
      </c>
      <c r="C106" s="24">
        <f t="shared" si="3"/>
        <v>196</v>
      </c>
      <c r="D106" s="24">
        <v>1</v>
      </c>
      <c r="G106" s="37" t="s">
        <v>29</v>
      </c>
      <c r="H106" s="24" t="s">
        <v>864</v>
      </c>
      <c r="I106" s="24">
        <v>333822</v>
      </c>
      <c r="J106" s="24">
        <v>112111</v>
      </c>
      <c r="K106" s="46" t="s">
        <v>21</v>
      </c>
      <c r="L106" s="46">
        <v>1</v>
      </c>
      <c r="M106" s="38">
        <v>1218</v>
      </c>
      <c r="N106" s="86">
        <f t="shared" si="6"/>
        <v>1218</v>
      </c>
      <c r="O106" s="24" t="s">
        <v>22</v>
      </c>
      <c r="P106" s="24">
        <v>103</v>
      </c>
    </row>
    <row r="107" spans="1:16" ht="15" customHeight="1" x14ac:dyDescent="0.2">
      <c r="A107" s="24" t="s">
        <v>33</v>
      </c>
      <c r="B107" s="36">
        <v>45871</v>
      </c>
      <c r="C107" s="24">
        <f t="shared" si="3"/>
        <v>197</v>
      </c>
      <c r="D107" s="24">
        <v>1</v>
      </c>
      <c r="G107" s="37" t="s">
        <v>1824</v>
      </c>
      <c r="H107" s="24" t="s">
        <v>2314</v>
      </c>
      <c r="I107" s="24">
        <v>112111</v>
      </c>
      <c r="J107" s="13">
        <v>131</v>
      </c>
      <c r="K107" s="46" t="s">
        <v>21</v>
      </c>
      <c r="L107" s="46">
        <v>1</v>
      </c>
      <c r="M107" s="38">
        <v>21290322</v>
      </c>
      <c r="N107" s="86">
        <f t="shared" si="6"/>
        <v>21290322</v>
      </c>
      <c r="O107" s="24" t="s">
        <v>22</v>
      </c>
      <c r="P107" s="24">
        <v>104</v>
      </c>
    </row>
    <row r="108" spans="1:16" ht="15" customHeight="1" x14ac:dyDescent="0.2">
      <c r="A108" s="24" t="s">
        <v>89</v>
      </c>
      <c r="B108" s="36">
        <v>45871</v>
      </c>
      <c r="C108" s="24">
        <f t="shared" si="3"/>
        <v>198</v>
      </c>
      <c r="D108" s="24">
        <v>1</v>
      </c>
      <c r="G108" s="37" t="s">
        <v>29</v>
      </c>
      <c r="H108" s="24" t="s">
        <v>864</v>
      </c>
      <c r="I108" s="24">
        <v>333822</v>
      </c>
      <c r="J108" s="24">
        <v>112111</v>
      </c>
      <c r="K108" s="46" t="s">
        <v>21</v>
      </c>
      <c r="L108" s="46">
        <v>1</v>
      </c>
      <c r="M108" s="38">
        <v>2310000</v>
      </c>
      <c r="N108" s="86">
        <f t="shared" si="6"/>
        <v>2310000</v>
      </c>
      <c r="O108" s="24" t="s">
        <v>22</v>
      </c>
      <c r="P108" s="24">
        <v>105</v>
      </c>
    </row>
    <row r="109" spans="1:16" ht="15" customHeight="1" x14ac:dyDescent="0.2">
      <c r="A109" s="24" t="s">
        <v>89</v>
      </c>
      <c r="B109" s="36">
        <v>45871</v>
      </c>
      <c r="C109" s="24">
        <f t="shared" si="3"/>
        <v>199</v>
      </c>
      <c r="D109" s="24">
        <v>1</v>
      </c>
      <c r="G109" s="37" t="s">
        <v>1986</v>
      </c>
      <c r="H109" s="42" t="s">
        <v>1008</v>
      </c>
      <c r="I109" s="24">
        <v>1111</v>
      </c>
      <c r="J109" s="24">
        <v>112111</v>
      </c>
      <c r="K109" s="46" t="s">
        <v>21</v>
      </c>
      <c r="L109" s="46">
        <v>1</v>
      </c>
      <c r="M109" s="38">
        <v>20000000</v>
      </c>
      <c r="N109" s="86">
        <f t="shared" ref="N109" si="7">L109*M109</f>
        <v>20000000</v>
      </c>
      <c r="O109" s="24" t="s">
        <v>22</v>
      </c>
      <c r="P109" s="24">
        <v>106</v>
      </c>
    </row>
    <row r="110" spans="1:16" ht="15" customHeight="1" x14ac:dyDescent="0.2">
      <c r="A110" s="24" t="s">
        <v>33</v>
      </c>
      <c r="B110" s="36">
        <v>45874</v>
      </c>
      <c r="C110" s="24">
        <f t="shared" si="3"/>
        <v>200</v>
      </c>
      <c r="D110" s="24">
        <v>1</v>
      </c>
      <c r="G110" s="37" t="s">
        <v>930</v>
      </c>
      <c r="H110" s="24" t="s">
        <v>2315</v>
      </c>
      <c r="I110" s="24">
        <v>112111</v>
      </c>
      <c r="J110" s="13">
        <v>131</v>
      </c>
      <c r="K110" s="46" t="s">
        <v>21</v>
      </c>
      <c r="L110" s="46">
        <v>1</v>
      </c>
      <c r="M110" s="38">
        <v>12774194</v>
      </c>
      <c r="N110" s="86">
        <f t="shared" si="6"/>
        <v>12774194</v>
      </c>
      <c r="O110" s="24" t="s">
        <v>22</v>
      </c>
      <c r="P110" s="24">
        <v>107</v>
      </c>
    </row>
    <row r="111" spans="1:16" ht="15" customHeight="1" x14ac:dyDescent="0.2">
      <c r="A111" s="24" t="s">
        <v>33</v>
      </c>
      <c r="B111" s="36">
        <v>45874</v>
      </c>
      <c r="C111" s="24">
        <f t="shared" si="3"/>
        <v>201</v>
      </c>
      <c r="D111" s="24">
        <v>1</v>
      </c>
      <c r="G111" s="37" t="s">
        <v>751</v>
      </c>
      <c r="H111" s="24" t="s">
        <v>2316</v>
      </c>
      <c r="I111" s="24">
        <v>112111</v>
      </c>
      <c r="J111" s="13">
        <v>131</v>
      </c>
      <c r="K111" s="46" t="s">
        <v>21</v>
      </c>
      <c r="L111" s="46">
        <v>1</v>
      </c>
      <c r="M111" s="38">
        <v>12000000</v>
      </c>
      <c r="N111" s="86">
        <f t="shared" si="6"/>
        <v>12000000</v>
      </c>
      <c r="O111" s="24" t="s">
        <v>22</v>
      </c>
      <c r="P111" s="24">
        <v>108</v>
      </c>
    </row>
    <row r="112" spans="1:16" ht="15" customHeight="1" x14ac:dyDescent="0.2">
      <c r="A112" s="24" t="s">
        <v>33</v>
      </c>
      <c r="B112" s="36">
        <v>45875</v>
      </c>
      <c r="C112" s="24">
        <f t="shared" si="3"/>
        <v>202</v>
      </c>
      <c r="D112" s="24">
        <v>1</v>
      </c>
      <c r="G112" s="37" t="s">
        <v>1943</v>
      </c>
      <c r="H112" s="24" t="s">
        <v>2317</v>
      </c>
      <c r="I112" s="24">
        <v>112111</v>
      </c>
      <c r="J112" s="13">
        <v>131</v>
      </c>
      <c r="K112" s="46" t="s">
        <v>21</v>
      </c>
      <c r="L112" s="46">
        <v>1</v>
      </c>
      <c r="M112" s="38">
        <v>11000000</v>
      </c>
      <c r="N112" s="86">
        <f t="shared" si="6"/>
        <v>11000000</v>
      </c>
      <c r="O112" s="24" t="s">
        <v>22</v>
      </c>
      <c r="P112" s="24">
        <v>109</v>
      </c>
    </row>
    <row r="113" spans="1:16" ht="15" customHeight="1" x14ac:dyDescent="0.2">
      <c r="A113" s="24" t="s">
        <v>33</v>
      </c>
      <c r="B113" s="36">
        <v>45877</v>
      </c>
      <c r="C113" s="24">
        <f t="shared" si="3"/>
        <v>203</v>
      </c>
      <c r="D113" s="24">
        <v>1</v>
      </c>
      <c r="G113" s="37" t="s">
        <v>933</v>
      </c>
      <c r="H113" s="24" t="s">
        <v>2318</v>
      </c>
      <c r="I113" s="24">
        <v>112111</v>
      </c>
      <c r="J113" s="13">
        <v>131</v>
      </c>
      <c r="K113" s="46" t="s">
        <v>21</v>
      </c>
      <c r="L113" s="46">
        <v>1</v>
      </c>
      <c r="M113" s="38">
        <v>31935484</v>
      </c>
      <c r="N113" s="86">
        <f t="shared" si="6"/>
        <v>31935484</v>
      </c>
      <c r="O113" s="24" t="s">
        <v>22</v>
      </c>
      <c r="P113" s="24">
        <v>110</v>
      </c>
    </row>
    <row r="114" spans="1:16" ht="15" customHeight="1" x14ac:dyDescent="0.2">
      <c r="A114" s="24" t="s">
        <v>89</v>
      </c>
      <c r="B114" s="36">
        <v>45878</v>
      </c>
      <c r="C114" s="24">
        <f t="shared" si="3"/>
        <v>204</v>
      </c>
      <c r="D114" s="24">
        <v>1</v>
      </c>
      <c r="G114" s="37" t="s">
        <v>1986</v>
      </c>
      <c r="H114" s="42" t="s">
        <v>1008</v>
      </c>
      <c r="I114" s="24">
        <v>1111</v>
      </c>
      <c r="J114" s="24">
        <v>112111</v>
      </c>
      <c r="K114" s="46" t="s">
        <v>21</v>
      </c>
      <c r="L114" s="46">
        <v>1</v>
      </c>
      <c r="M114" s="38">
        <v>70000000</v>
      </c>
      <c r="N114" s="86">
        <f t="shared" si="6"/>
        <v>70000000</v>
      </c>
      <c r="O114" s="24" t="s">
        <v>22</v>
      </c>
      <c r="P114" s="24">
        <v>111</v>
      </c>
    </row>
    <row r="115" spans="1:16" ht="15" customHeight="1" x14ac:dyDescent="0.2">
      <c r="A115" s="24" t="s">
        <v>33</v>
      </c>
      <c r="B115" s="36">
        <v>45880</v>
      </c>
      <c r="C115" s="24">
        <f t="shared" si="3"/>
        <v>205</v>
      </c>
      <c r="D115" s="24">
        <v>1</v>
      </c>
      <c r="G115" s="37" t="s">
        <v>784</v>
      </c>
      <c r="H115" s="24" t="s">
        <v>2335</v>
      </c>
      <c r="I115" s="24">
        <v>112111</v>
      </c>
      <c r="J115" s="13">
        <v>131</v>
      </c>
      <c r="K115" s="46" t="s">
        <v>21</v>
      </c>
      <c r="L115" s="46">
        <v>1</v>
      </c>
      <c r="M115" s="38">
        <v>21290322</v>
      </c>
      <c r="N115" s="86">
        <f t="shared" si="6"/>
        <v>21290322</v>
      </c>
      <c r="O115" s="24" t="s">
        <v>22</v>
      </c>
      <c r="P115" s="24">
        <v>112</v>
      </c>
    </row>
    <row r="116" spans="1:16" ht="15" customHeight="1" x14ac:dyDescent="0.2">
      <c r="A116" s="24" t="s">
        <v>33</v>
      </c>
      <c r="B116" s="36">
        <v>45884</v>
      </c>
      <c r="C116" s="24">
        <f t="shared" si="3"/>
        <v>206</v>
      </c>
      <c r="D116" s="24">
        <v>1</v>
      </c>
      <c r="G116" s="37" t="s">
        <v>1432</v>
      </c>
      <c r="H116" s="24" t="s">
        <v>2319</v>
      </c>
      <c r="I116" s="24">
        <v>112111</v>
      </c>
      <c r="J116" s="13">
        <v>131</v>
      </c>
      <c r="K116" s="46" t="s">
        <v>21</v>
      </c>
      <c r="L116" s="46">
        <v>1</v>
      </c>
      <c r="M116" s="38">
        <v>12774194</v>
      </c>
      <c r="N116" s="86">
        <f t="shared" si="6"/>
        <v>12774194</v>
      </c>
      <c r="O116" s="24" t="s">
        <v>22</v>
      </c>
      <c r="P116" s="24">
        <v>113</v>
      </c>
    </row>
    <row r="117" spans="1:16" ht="15" customHeight="1" x14ac:dyDescent="0.2">
      <c r="A117" s="24" t="s">
        <v>33</v>
      </c>
      <c r="B117" s="36">
        <v>45886</v>
      </c>
      <c r="C117" s="24">
        <f t="shared" si="3"/>
        <v>207</v>
      </c>
      <c r="D117" s="24">
        <v>1</v>
      </c>
      <c r="G117" s="37" t="s">
        <v>851</v>
      </c>
      <c r="H117" s="24" t="s">
        <v>129</v>
      </c>
      <c r="I117" s="24">
        <v>112111</v>
      </c>
      <c r="J117" s="24">
        <v>5154</v>
      </c>
      <c r="K117" s="46" t="s">
        <v>21</v>
      </c>
      <c r="L117" s="46">
        <v>1</v>
      </c>
      <c r="M117" s="38">
        <v>1069</v>
      </c>
      <c r="N117" s="86">
        <f t="shared" si="6"/>
        <v>1069</v>
      </c>
      <c r="O117" s="24" t="s">
        <v>22</v>
      </c>
      <c r="P117" s="24">
        <v>114</v>
      </c>
    </row>
    <row r="118" spans="1:16" ht="15" customHeight="1" x14ac:dyDescent="0.2">
      <c r="A118" s="24" t="s">
        <v>33</v>
      </c>
      <c r="B118" s="36">
        <v>45887</v>
      </c>
      <c r="C118" s="24">
        <f t="shared" si="3"/>
        <v>208</v>
      </c>
      <c r="D118" s="24">
        <v>1</v>
      </c>
      <c r="G118" s="37" t="s">
        <v>751</v>
      </c>
      <c r="H118" s="24" t="s">
        <v>2316</v>
      </c>
      <c r="I118" s="24">
        <v>112111</v>
      </c>
      <c r="J118" s="13">
        <v>131</v>
      </c>
      <c r="K118" s="46" t="s">
        <v>21</v>
      </c>
      <c r="L118" s="46">
        <v>1</v>
      </c>
      <c r="M118" s="38">
        <v>774194</v>
      </c>
      <c r="N118" s="86">
        <f t="shared" si="6"/>
        <v>774194</v>
      </c>
      <c r="O118" s="24" t="s">
        <v>22</v>
      </c>
      <c r="P118" s="24">
        <v>115</v>
      </c>
    </row>
    <row r="119" spans="1:16" ht="15" customHeight="1" x14ac:dyDescent="0.2">
      <c r="A119" s="24" t="s">
        <v>33</v>
      </c>
      <c r="B119" s="36">
        <v>45887</v>
      </c>
      <c r="C119" s="24">
        <f t="shared" si="3"/>
        <v>209</v>
      </c>
      <c r="D119" s="24">
        <v>1</v>
      </c>
      <c r="G119" s="37" t="s">
        <v>756</v>
      </c>
      <c r="H119" s="24" t="s">
        <v>2320</v>
      </c>
      <c r="I119" s="24">
        <v>112111</v>
      </c>
      <c r="J119" s="13">
        <v>131</v>
      </c>
      <c r="K119" s="46" t="s">
        <v>21</v>
      </c>
      <c r="L119" s="46">
        <v>1</v>
      </c>
      <c r="M119" s="38">
        <v>34064516</v>
      </c>
      <c r="N119" s="86">
        <f t="shared" si="6"/>
        <v>34064516</v>
      </c>
      <c r="O119" s="24" t="s">
        <v>22</v>
      </c>
      <c r="P119" s="24">
        <v>116</v>
      </c>
    </row>
    <row r="120" spans="1:16" ht="15" customHeight="1" x14ac:dyDescent="0.2">
      <c r="A120" s="24" t="s">
        <v>33</v>
      </c>
      <c r="B120" s="36">
        <v>45888</v>
      </c>
      <c r="C120" s="24">
        <f t="shared" si="3"/>
        <v>210</v>
      </c>
      <c r="D120" s="24">
        <v>1</v>
      </c>
      <c r="G120" s="37" t="s">
        <v>818</v>
      </c>
      <c r="H120" s="24" t="s">
        <v>2321</v>
      </c>
      <c r="I120" s="24">
        <v>112111</v>
      </c>
      <c r="J120" s="13">
        <v>131</v>
      </c>
      <c r="K120" s="46" t="s">
        <v>21</v>
      </c>
      <c r="L120" s="46">
        <v>1</v>
      </c>
      <c r="M120" s="38">
        <v>12774194</v>
      </c>
      <c r="N120" s="86">
        <f t="shared" si="6"/>
        <v>12774194</v>
      </c>
      <c r="O120" s="24" t="s">
        <v>22</v>
      </c>
      <c r="P120" s="24">
        <v>117</v>
      </c>
    </row>
    <row r="121" spans="1:16" ht="15" customHeight="1" x14ac:dyDescent="0.2">
      <c r="A121" s="24" t="s">
        <v>18</v>
      </c>
      <c r="B121" s="36">
        <v>45893</v>
      </c>
      <c r="C121" s="24">
        <f t="shared" si="3"/>
        <v>211</v>
      </c>
      <c r="D121" s="24">
        <v>1</v>
      </c>
      <c r="G121" s="15" t="s">
        <v>252</v>
      </c>
      <c r="H121" s="13" t="s">
        <v>1578</v>
      </c>
      <c r="I121" s="13">
        <v>131</v>
      </c>
      <c r="J121" s="13">
        <v>5118</v>
      </c>
      <c r="K121" s="46" t="s">
        <v>21</v>
      </c>
      <c r="L121" s="46">
        <v>1</v>
      </c>
      <c r="M121" s="38">
        <v>24721420</v>
      </c>
      <c r="N121" s="86">
        <f t="shared" si="6"/>
        <v>24721420</v>
      </c>
      <c r="O121" s="24" t="s">
        <v>22</v>
      </c>
      <c r="P121" s="24">
        <v>118</v>
      </c>
    </row>
    <row r="122" spans="1:16" ht="15" customHeight="1" x14ac:dyDescent="0.2">
      <c r="A122" s="24" t="s">
        <v>18</v>
      </c>
      <c r="B122" s="36">
        <v>45893</v>
      </c>
      <c r="C122" s="24">
        <f t="shared" si="3"/>
        <v>212</v>
      </c>
      <c r="D122" s="24">
        <v>1</v>
      </c>
      <c r="G122" s="15" t="s">
        <v>252</v>
      </c>
      <c r="H122" s="13" t="s">
        <v>1578</v>
      </c>
      <c r="I122" s="13">
        <v>131</v>
      </c>
      <c r="J122" s="13">
        <v>5118</v>
      </c>
      <c r="K122" s="46" t="s">
        <v>21</v>
      </c>
      <c r="L122" s="46">
        <v>1</v>
      </c>
      <c r="M122" s="38">
        <v>49149720</v>
      </c>
      <c r="N122" s="86">
        <f t="shared" si="6"/>
        <v>49149720</v>
      </c>
      <c r="O122" s="24" t="s">
        <v>22</v>
      </c>
      <c r="P122" s="24">
        <v>119</v>
      </c>
    </row>
    <row r="123" spans="1:16" ht="15" customHeight="1" x14ac:dyDescent="0.2">
      <c r="A123" s="24" t="s">
        <v>33</v>
      </c>
      <c r="B123" s="36">
        <v>45893</v>
      </c>
      <c r="C123" s="24">
        <f t="shared" si="3"/>
        <v>213</v>
      </c>
      <c r="D123" s="24">
        <v>1</v>
      </c>
      <c r="G123" s="15" t="s">
        <v>252</v>
      </c>
      <c r="H123" s="13" t="s">
        <v>1579</v>
      </c>
      <c r="I123" s="24">
        <v>112111</v>
      </c>
      <c r="J123" s="13">
        <v>131</v>
      </c>
      <c r="K123" s="46" t="s">
        <v>21</v>
      </c>
      <c r="L123" s="46">
        <v>1</v>
      </c>
      <c r="M123" s="38">
        <v>24721420</v>
      </c>
      <c r="N123" s="86">
        <f t="shared" si="6"/>
        <v>24721420</v>
      </c>
      <c r="O123" s="24" t="s">
        <v>22</v>
      </c>
      <c r="P123" s="24">
        <v>120</v>
      </c>
    </row>
    <row r="124" spans="1:16" ht="15" customHeight="1" x14ac:dyDescent="0.2">
      <c r="A124" s="24" t="s">
        <v>33</v>
      </c>
      <c r="B124" s="36">
        <v>45893</v>
      </c>
      <c r="C124" s="24">
        <f t="shared" si="3"/>
        <v>214</v>
      </c>
      <c r="D124" s="24">
        <v>1</v>
      </c>
      <c r="G124" s="15" t="s">
        <v>252</v>
      </c>
      <c r="H124" s="13" t="s">
        <v>1579</v>
      </c>
      <c r="I124" s="24">
        <v>112111</v>
      </c>
      <c r="J124" s="13">
        <v>131</v>
      </c>
      <c r="K124" s="46" t="s">
        <v>21</v>
      </c>
      <c r="L124" s="46">
        <v>1</v>
      </c>
      <c r="M124" s="38">
        <v>49149720</v>
      </c>
      <c r="N124" s="86">
        <f t="shared" si="6"/>
        <v>49149720</v>
      </c>
      <c r="O124" s="24" t="s">
        <v>22</v>
      </c>
      <c r="P124" s="24">
        <v>121</v>
      </c>
    </row>
    <row r="125" spans="1:16" ht="15" customHeight="1" x14ac:dyDescent="0.2">
      <c r="A125" s="24" t="s">
        <v>89</v>
      </c>
      <c r="B125" s="36">
        <v>45893</v>
      </c>
      <c r="C125" s="24">
        <f t="shared" si="3"/>
        <v>215</v>
      </c>
      <c r="D125" s="24">
        <v>1</v>
      </c>
      <c r="G125" s="37" t="s">
        <v>1986</v>
      </c>
      <c r="H125" s="42" t="s">
        <v>1008</v>
      </c>
      <c r="I125" s="24">
        <v>1111</v>
      </c>
      <c r="J125" s="24">
        <v>112111</v>
      </c>
      <c r="K125" s="46" t="s">
        <v>21</v>
      </c>
      <c r="L125" s="46">
        <v>1</v>
      </c>
      <c r="M125" s="38">
        <v>130000000</v>
      </c>
      <c r="N125" s="86">
        <f t="shared" si="6"/>
        <v>130000000</v>
      </c>
      <c r="O125" s="24" t="s">
        <v>22</v>
      </c>
      <c r="P125" s="24">
        <v>122</v>
      </c>
    </row>
    <row r="126" spans="1:16" ht="15" customHeight="1" x14ac:dyDescent="0.2">
      <c r="A126" s="24" t="s">
        <v>33</v>
      </c>
      <c r="B126" s="36">
        <v>45894</v>
      </c>
      <c r="C126" s="24">
        <f t="shared" si="3"/>
        <v>216</v>
      </c>
      <c r="D126" s="24">
        <v>1</v>
      </c>
      <c r="G126" s="37" t="s">
        <v>1542</v>
      </c>
      <c r="H126" s="24" t="s">
        <v>2322</v>
      </c>
      <c r="I126" s="24">
        <v>112111</v>
      </c>
      <c r="J126" s="13">
        <v>131</v>
      </c>
      <c r="K126" s="46" t="s">
        <v>21</v>
      </c>
      <c r="L126" s="46">
        <v>1</v>
      </c>
      <c r="M126" s="38">
        <v>21290322</v>
      </c>
      <c r="N126" s="86">
        <f t="shared" si="6"/>
        <v>21290322</v>
      </c>
      <c r="O126" s="24" t="s">
        <v>22</v>
      </c>
      <c r="P126" s="24">
        <v>123</v>
      </c>
    </row>
    <row r="127" spans="1:16" ht="15" customHeight="1" x14ac:dyDescent="0.2">
      <c r="A127" s="24" t="s">
        <v>33</v>
      </c>
      <c r="B127" s="36">
        <v>45896</v>
      </c>
      <c r="C127" s="24">
        <f t="shared" si="3"/>
        <v>217</v>
      </c>
      <c r="D127" s="24">
        <v>1</v>
      </c>
      <c r="G127" s="37" t="s">
        <v>632</v>
      </c>
      <c r="H127" s="24" t="s">
        <v>2323</v>
      </c>
      <c r="I127" s="24">
        <v>112111</v>
      </c>
      <c r="J127" s="13">
        <v>131</v>
      </c>
      <c r="K127" s="46" t="s">
        <v>21</v>
      </c>
      <c r="L127" s="46">
        <v>1</v>
      </c>
      <c r="M127" s="38">
        <v>17032258</v>
      </c>
      <c r="N127" s="86">
        <f t="shared" si="6"/>
        <v>17032258</v>
      </c>
      <c r="O127" s="24" t="s">
        <v>22</v>
      </c>
      <c r="P127" s="24">
        <v>124</v>
      </c>
    </row>
    <row r="128" spans="1:16" ht="15" customHeight="1" x14ac:dyDescent="0.2">
      <c r="A128" s="24" t="s">
        <v>33</v>
      </c>
      <c r="B128" s="36">
        <v>45896</v>
      </c>
      <c r="C128" s="24">
        <f t="shared" si="3"/>
        <v>218</v>
      </c>
      <c r="D128" s="24">
        <v>1</v>
      </c>
      <c r="G128" s="37" t="s">
        <v>1818</v>
      </c>
      <c r="H128" s="24" t="s">
        <v>2324</v>
      </c>
      <c r="I128" s="24">
        <v>112111</v>
      </c>
      <c r="J128" s="13">
        <v>131</v>
      </c>
      <c r="K128" s="46" t="s">
        <v>21</v>
      </c>
      <c r="L128" s="46">
        <v>1</v>
      </c>
      <c r="M128" s="38">
        <v>21290322</v>
      </c>
      <c r="N128" s="86">
        <f t="shared" si="6"/>
        <v>21290322</v>
      </c>
      <c r="O128" s="24" t="s">
        <v>22</v>
      </c>
      <c r="P128" s="24">
        <v>125</v>
      </c>
    </row>
    <row r="129" spans="1:16" ht="15" customHeight="1" x14ac:dyDescent="0.2">
      <c r="A129" s="24" t="s">
        <v>89</v>
      </c>
      <c r="B129" s="36">
        <v>45897</v>
      </c>
      <c r="C129" s="24">
        <f t="shared" si="3"/>
        <v>219</v>
      </c>
      <c r="D129" s="24">
        <v>1</v>
      </c>
      <c r="G129" s="37" t="s">
        <v>29</v>
      </c>
      <c r="H129" s="24" t="s">
        <v>864</v>
      </c>
      <c r="I129" s="24">
        <v>333822</v>
      </c>
      <c r="J129" s="24">
        <v>112111</v>
      </c>
      <c r="K129" s="46" t="s">
        <v>21</v>
      </c>
      <c r="L129" s="46">
        <v>1</v>
      </c>
      <c r="M129" s="38">
        <v>4482000</v>
      </c>
      <c r="N129" s="86">
        <f t="shared" si="6"/>
        <v>4482000</v>
      </c>
      <c r="O129" s="24" t="s">
        <v>22</v>
      </c>
      <c r="P129" s="24">
        <v>126</v>
      </c>
    </row>
    <row r="130" spans="1:16" ht="15" customHeight="1" x14ac:dyDescent="0.2">
      <c r="A130" s="24" t="s">
        <v>33</v>
      </c>
      <c r="B130" s="36">
        <v>45898</v>
      </c>
      <c r="C130" s="24">
        <f t="shared" si="3"/>
        <v>220</v>
      </c>
      <c r="D130" s="24">
        <v>1</v>
      </c>
      <c r="G130" s="37" t="s">
        <v>756</v>
      </c>
      <c r="H130" s="24" t="s">
        <v>2325</v>
      </c>
      <c r="I130" s="24">
        <v>112111</v>
      </c>
      <c r="J130" s="13">
        <v>131</v>
      </c>
      <c r="K130" s="46" t="s">
        <v>21</v>
      </c>
      <c r="L130" s="46">
        <v>1</v>
      </c>
      <c r="M130" s="38">
        <v>21290322</v>
      </c>
      <c r="N130" s="86">
        <f t="shared" si="6"/>
        <v>21290322</v>
      </c>
      <c r="O130" s="24" t="s">
        <v>22</v>
      </c>
      <c r="P130" s="24">
        <v>127</v>
      </c>
    </row>
    <row r="131" spans="1:16" ht="15" customHeight="1" x14ac:dyDescent="0.2">
      <c r="A131" s="24" t="s">
        <v>89</v>
      </c>
      <c r="B131" s="36">
        <v>45899</v>
      </c>
      <c r="C131" s="24">
        <f t="shared" si="3"/>
        <v>221</v>
      </c>
      <c r="D131" s="24">
        <v>1</v>
      </c>
      <c r="G131" s="37" t="s">
        <v>1986</v>
      </c>
      <c r="H131" s="42" t="s">
        <v>1008</v>
      </c>
      <c r="I131" s="24">
        <v>1111</v>
      </c>
      <c r="J131" s="24">
        <v>112111</v>
      </c>
      <c r="K131" s="46" t="s">
        <v>21</v>
      </c>
      <c r="L131" s="46">
        <v>1</v>
      </c>
      <c r="M131" s="38">
        <v>37000000</v>
      </c>
      <c r="N131" s="86">
        <f t="shared" si="6"/>
        <v>37000000</v>
      </c>
      <c r="O131" s="24" t="s">
        <v>22</v>
      </c>
      <c r="P131" s="24">
        <v>128</v>
      </c>
    </row>
    <row r="132" spans="1:16" ht="15" customHeight="1" x14ac:dyDescent="0.2">
      <c r="A132" s="24" t="s">
        <v>89</v>
      </c>
      <c r="B132" s="36">
        <v>45901</v>
      </c>
      <c r="C132" s="24">
        <f t="shared" si="3"/>
        <v>222</v>
      </c>
      <c r="D132" s="24">
        <v>1</v>
      </c>
      <c r="G132" s="37" t="s">
        <v>1986</v>
      </c>
      <c r="H132" s="42" t="s">
        <v>1008</v>
      </c>
      <c r="I132" s="24">
        <v>1111</v>
      </c>
      <c r="J132" s="24">
        <v>112111</v>
      </c>
      <c r="K132" s="46" t="s">
        <v>21</v>
      </c>
      <c r="L132" s="46">
        <v>1</v>
      </c>
      <c r="M132" s="38">
        <v>30000000</v>
      </c>
      <c r="N132" s="86">
        <f t="shared" si="6"/>
        <v>30000000</v>
      </c>
      <c r="O132" s="24" t="s">
        <v>22</v>
      </c>
      <c r="P132" s="24">
        <v>129</v>
      </c>
    </row>
    <row r="133" spans="1:16" ht="15" customHeight="1" x14ac:dyDescent="0.2">
      <c r="A133" s="24" t="s">
        <v>33</v>
      </c>
      <c r="B133" s="36">
        <v>45901</v>
      </c>
      <c r="C133" s="24">
        <f t="shared" ref="C133:C160" si="8">C132+D133</f>
        <v>223</v>
      </c>
      <c r="D133" s="24">
        <v>1</v>
      </c>
      <c r="G133" s="37" t="s">
        <v>2234</v>
      </c>
      <c r="H133" s="24" t="s">
        <v>2326</v>
      </c>
      <c r="I133" s="24">
        <v>112111</v>
      </c>
      <c r="J133" s="13">
        <v>131</v>
      </c>
      <c r="K133" s="46" t="s">
        <v>21</v>
      </c>
      <c r="L133" s="46">
        <v>1</v>
      </c>
      <c r="M133" s="38">
        <v>21290322</v>
      </c>
      <c r="N133" s="86">
        <f t="shared" si="6"/>
        <v>21290322</v>
      </c>
      <c r="O133" s="24" t="s">
        <v>22</v>
      </c>
      <c r="P133" s="24">
        <v>130</v>
      </c>
    </row>
    <row r="134" spans="1:16" ht="15" customHeight="1" x14ac:dyDescent="0.2">
      <c r="A134" s="24" t="s">
        <v>33</v>
      </c>
      <c r="B134" s="36">
        <v>45904</v>
      </c>
      <c r="C134" s="24">
        <f t="shared" si="8"/>
        <v>224</v>
      </c>
      <c r="D134" s="24">
        <v>1</v>
      </c>
      <c r="G134" s="37" t="s">
        <v>1824</v>
      </c>
      <c r="H134" s="24" t="s">
        <v>2327</v>
      </c>
      <c r="I134" s="24">
        <v>112111</v>
      </c>
      <c r="J134" s="13">
        <v>131</v>
      </c>
      <c r="K134" s="46" t="s">
        <v>21</v>
      </c>
      <c r="L134" s="46">
        <v>1</v>
      </c>
      <c r="M134" s="38">
        <v>18629032</v>
      </c>
      <c r="N134" s="86">
        <f t="shared" si="6"/>
        <v>18629032</v>
      </c>
      <c r="O134" s="24" t="s">
        <v>22</v>
      </c>
      <c r="P134" s="24">
        <v>131</v>
      </c>
    </row>
    <row r="135" spans="1:16" ht="15" customHeight="1" x14ac:dyDescent="0.2">
      <c r="A135" s="24" t="s">
        <v>33</v>
      </c>
      <c r="B135" s="36">
        <v>45904</v>
      </c>
      <c r="C135" s="24">
        <f t="shared" si="8"/>
        <v>225</v>
      </c>
      <c r="D135" s="24">
        <v>1</v>
      </c>
      <c r="G135" s="37" t="s">
        <v>1627</v>
      </c>
      <c r="H135" s="24" t="s">
        <v>2328</v>
      </c>
      <c r="I135" s="24">
        <v>112111</v>
      </c>
      <c r="J135" s="13">
        <v>131</v>
      </c>
      <c r="K135" s="46" t="s">
        <v>21</v>
      </c>
      <c r="L135" s="46">
        <v>1</v>
      </c>
      <c r="M135" s="38">
        <v>12774194</v>
      </c>
      <c r="N135" s="86">
        <f t="shared" si="6"/>
        <v>12774194</v>
      </c>
      <c r="O135" s="24" t="s">
        <v>22</v>
      </c>
      <c r="P135" s="24">
        <v>132</v>
      </c>
    </row>
    <row r="136" spans="1:16" ht="15" customHeight="1" x14ac:dyDescent="0.2">
      <c r="A136" s="24" t="s">
        <v>33</v>
      </c>
      <c r="B136" s="36">
        <v>45905</v>
      </c>
      <c r="C136" s="24">
        <f t="shared" si="8"/>
        <v>226</v>
      </c>
      <c r="D136" s="24">
        <v>1</v>
      </c>
      <c r="G136" s="37" t="s">
        <v>55</v>
      </c>
      <c r="H136" s="24" t="s">
        <v>2329</v>
      </c>
      <c r="I136" s="24">
        <v>112111</v>
      </c>
      <c r="J136" s="13">
        <v>131</v>
      </c>
      <c r="K136" s="46" t="s">
        <v>21</v>
      </c>
      <c r="L136" s="46">
        <v>1</v>
      </c>
      <c r="M136" s="38">
        <v>21290322</v>
      </c>
      <c r="N136" s="86">
        <f t="shared" si="6"/>
        <v>21290322</v>
      </c>
      <c r="O136" s="24" t="s">
        <v>22</v>
      </c>
      <c r="P136" s="24">
        <v>133</v>
      </c>
    </row>
    <row r="137" spans="1:16" ht="15" customHeight="1" x14ac:dyDescent="0.2">
      <c r="A137" s="24" t="s">
        <v>33</v>
      </c>
      <c r="B137" s="36">
        <v>45905</v>
      </c>
      <c r="C137" s="24">
        <f t="shared" si="8"/>
        <v>227</v>
      </c>
      <c r="D137" s="24">
        <v>1</v>
      </c>
      <c r="G137" s="37" t="s">
        <v>55</v>
      </c>
      <c r="H137" s="24" t="s">
        <v>2330</v>
      </c>
      <c r="I137" s="24">
        <v>112111</v>
      </c>
      <c r="J137" s="13">
        <v>131</v>
      </c>
      <c r="K137" s="46" t="s">
        <v>21</v>
      </c>
      <c r="L137" s="46">
        <v>1</v>
      </c>
      <c r="M137" s="38">
        <v>21290322</v>
      </c>
      <c r="N137" s="86">
        <f t="shared" si="6"/>
        <v>21290322</v>
      </c>
      <c r="O137" s="24" t="s">
        <v>22</v>
      </c>
      <c r="P137" s="24">
        <v>134</v>
      </c>
    </row>
    <row r="138" spans="1:16" ht="15" customHeight="1" x14ac:dyDescent="0.2">
      <c r="A138" s="24" t="s">
        <v>33</v>
      </c>
      <c r="B138" s="36">
        <v>45905</v>
      </c>
      <c r="C138" s="24">
        <f t="shared" si="8"/>
        <v>228</v>
      </c>
      <c r="D138" s="24">
        <v>1</v>
      </c>
      <c r="G138" s="37" t="s">
        <v>2235</v>
      </c>
      <c r="H138" s="24" t="s">
        <v>2331</v>
      </c>
      <c r="I138" s="24">
        <v>112111</v>
      </c>
      <c r="J138" s="13">
        <v>131</v>
      </c>
      <c r="K138" s="46" t="s">
        <v>21</v>
      </c>
      <c r="L138" s="46">
        <v>1</v>
      </c>
      <c r="M138" s="38">
        <v>31935484</v>
      </c>
      <c r="N138" s="86">
        <f t="shared" si="6"/>
        <v>31935484</v>
      </c>
      <c r="O138" s="24" t="s">
        <v>22</v>
      </c>
      <c r="P138" s="24">
        <v>135</v>
      </c>
    </row>
    <row r="139" spans="1:16" ht="15" customHeight="1" x14ac:dyDescent="0.2">
      <c r="A139" s="24" t="s">
        <v>89</v>
      </c>
      <c r="B139" s="36">
        <v>45905</v>
      </c>
      <c r="C139" s="24">
        <f t="shared" si="8"/>
        <v>229</v>
      </c>
      <c r="D139" s="24">
        <v>1</v>
      </c>
      <c r="G139" s="37" t="s">
        <v>1986</v>
      </c>
      <c r="H139" s="42" t="s">
        <v>1008</v>
      </c>
      <c r="I139" s="24">
        <v>1111</v>
      </c>
      <c r="J139" s="24">
        <v>112111</v>
      </c>
      <c r="K139" s="46" t="s">
        <v>21</v>
      </c>
      <c r="L139" s="46">
        <v>1</v>
      </c>
      <c r="M139" s="38">
        <v>60000000</v>
      </c>
      <c r="N139" s="86">
        <f t="shared" si="6"/>
        <v>60000000</v>
      </c>
      <c r="O139" s="24" t="s">
        <v>22</v>
      </c>
      <c r="P139" s="24">
        <v>136</v>
      </c>
    </row>
    <row r="140" spans="1:16" ht="15" customHeight="1" x14ac:dyDescent="0.2">
      <c r="A140" s="24" t="s">
        <v>33</v>
      </c>
      <c r="B140" s="36">
        <v>45910</v>
      </c>
      <c r="C140" s="24">
        <f t="shared" si="8"/>
        <v>230</v>
      </c>
      <c r="D140" s="24">
        <v>1</v>
      </c>
      <c r="G140" s="37" t="s">
        <v>1627</v>
      </c>
      <c r="H140" s="24" t="s">
        <v>2332</v>
      </c>
      <c r="I140" s="24">
        <v>112111</v>
      </c>
      <c r="J140" s="13">
        <v>131</v>
      </c>
      <c r="K140" s="46" t="s">
        <v>21</v>
      </c>
      <c r="L140" s="46">
        <v>1</v>
      </c>
      <c r="M140" s="38">
        <v>21505376</v>
      </c>
      <c r="N140" s="86">
        <f t="shared" si="6"/>
        <v>21505376</v>
      </c>
      <c r="O140" s="24" t="s">
        <v>22</v>
      </c>
      <c r="P140" s="24">
        <v>137</v>
      </c>
    </row>
    <row r="141" spans="1:16" ht="15" customHeight="1" x14ac:dyDescent="0.2">
      <c r="A141" s="24" t="s">
        <v>33</v>
      </c>
      <c r="B141" s="36">
        <v>45912</v>
      </c>
      <c r="C141" s="24">
        <f t="shared" si="8"/>
        <v>231</v>
      </c>
      <c r="D141" s="24">
        <v>1</v>
      </c>
      <c r="G141" s="15" t="s">
        <v>252</v>
      </c>
      <c r="H141" s="13" t="s">
        <v>1579</v>
      </c>
      <c r="I141" s="24">
        <v>112111</v>
      </c>
      <c r="J141" s="13">
        <v>131</v>
      </c>
      <c r="K141" s="46" t="s">
        <v>21</v>
      </c>
      <c r="L141" s="46">
        <v>1</v>
      </c>
      <c r="M141" s="38">
        <v>26869525</v>
      </c>
      <c r="N141" s="86">
        <f t="shared" si="6"/>
        <v>26869525</v>
      </c>
      <c r="O141" s="24" t="s">
        <v>22</v>
      </c>
      <c r="P141" s="24">
        <v>138</v>
      </c>
    </row>
    <row r="142" spans="1:16" ht="15" customHeight="1" x14ac:dyDescent="0.2">
      <c r="A142" s="24" t="s">
        <v>33</v>
      </c>
      <c r="B142" s="36">
        <v>45912</v>
      </c>
      <c r="C142" s="24">
        <f t="shared" si="8"/>
        <v>232</v>
      </c>
      <c r="D142" s="24">
        <v>1</v>
      </c>
      <c r="G142" s="15" t="s">
        <v>252</v>
      </c>
      <c r="H142" s="13" t="s">
        <v>1579</v>
      </c>
      <c r="I142" s="24">
        <v>112111</v>
      </c>
      <c r="J142" s="13">
        <v>131</v>
      </c>
      <c r="K142" s="46" t="s">
        <v>21</v>
      </c>
      <c r="L142" s="46">
        <v>1</v>
      </c>
      <c r="M142" s="38">
        <v>15028229</v>
      </c>
      <c r="N142" s="86">
        <f t="shared" si="6"/>
        <v>15028229</v>
      </c>
      <c r="O142" s="24" t="s">
        <v>22</v>
      </c>
      <c r="P142" s="24">
        <v>139</v>
      </c>
    </row>
    <row r="143" spans="1:16" ht="15" customHeight="1" x14ac:dyDescent="0.2">
      <c r="A143" s="24" t="s">
        <v>18</v>
      </c>
      <c r="B143" s="36">
        <v>45912</v>
      </c>
      <c r="C143" s="24">
        <f t="shared" si="8"/>
        <v>233</v>
      </c>
      <c r="D143" s="24">
        <v>1</v>
      </c>
      <c r="G143" s="15" t="s">
        <v>252</v>
      </c>
      <c r="H143" s="13" t="s">
        <v>1578</v>
      </c>
      <c r="I143" s="13">
        <v>131</v>
      </c>
      <c r="J143" s="13">
        <v>5118</v>
      </c>
      <c r="K143" s="46" t="s">
        <v>21</v>
      </c>
      <c r="L143" s="46">
        <v>1</v>
      </c>
      <c r="M143" s="38">
        <v>26869525</v>
      </c>
      <c r="N143" s="86">
        <f t="shared" si="6"/>
        <v>26869525</v>
      </c>
      <c r="O143" s="24" t="s">
        <v>22</v>
      </c>
      <c r="P143" s="24">
        <v>140</v>
      </c>
    </row>
    <row r="144" spans="1:16" ht="15" customHeight="1" x14ac:dyDescent="0.2">
      <c r="A144" s="24" t="s">
        <v>18</v>
      </c>
      <c r="B144" s="36">
        <v>45912</v>
      </c>
      <c r="C144" s="24">
        <f t="shared" si="8"/>
        <v>234</v>
      </c>
      <c r="D144" s="24">
        <v>1</v>
      </c>
      <c r="G144" s="15" t="s">
        <v>252</v>
      </c>
      <c r="H144" s="13" t="s">
        <v>1578</v>
      </c>
      <c r="I144" s="13">
        <v>131</v>
      </c>
      <c r="J144" s="13">
        <v>5118</v>
      </c>
      <c r="K144" s="46" t="s">
        <v>21</v>
      </c>
      <c r="L144" s="46">
        <v>1</v>
      </c>
      <c r="M144" s="38">
        <v>15028229</v>
      </c>
      <c r="N144" s="86">
        <f t="shared" si="6"/>
        <v>15028229</v>
      </c>
      <c r="O144" s="24" t="s">
        <v>22</v>
      </c>
      <c r="P144" s="24">
        <v>141</v>
      </c>
    </row>
    <row r="145" spans="1:16" ht="15" customHeight="1" x14ac:dyDescent="0.2">
      <c r="A145" s="24" t="s">
        <v>33</v>
      </c>
      <c r="B145" s="36">
        <v>45913</v>
      </c>
      <c r="C145" s="24">
        <f t="shared" si="8"/>
        <v>235</v>
      </c>
      <c r="D145" s="24">
        <v>1</v>
      </c>
      <c r="G145" s="37" t="s">
        <v>756</v>
      </c>
      <c r="H145" s="24" t="s">
        <v>2333</v>
      </c>
      <c r="I145" s="24">
        <v>112111</v>
      </c>
      <c r="J145" s="13">
        <v>131</v>
      </c>
      <c r="K145" s="46" t="s">
        <v>21</v>
      </c>
      <c r="L145" s="46">
        <v>1</v>
      </c>
      <c r="M145" s="38">
        <v>21290322</v>
      </c>
      <c r="N145" s="86">
        <f t="shared" si="6"/>
        <v>21290322</v>
      </c>
      <c r="O145" s="24" t="s">
        <v>22</v>
      </c>
      <c r="P145" s="24">
        <v>142</v>
      </c>
    </row>
    <row r="146" spans="1:16" ht="15" customHeight="1" x14ac:dyDescent="0.2">
      <c r="A146" s="24" t="s">
        <v>33</v>
      </c>
      <c r="B146" s="36">
        <v>45915</v>
      </c>
      <c r="C146" s="24">
        <f t="shared" si="8"/>
        <v>236</v>
      </c>
      <c r="D146" s="24">
        <v>1</v>
      </c>
      <c r="G146" s="37" t="s">
        <v>2236</v>
      </c>
      <c r="H146" s="24" t="s">
        <v>2334</v>
      </c>
      <c r="I146" s="24">
        <v>112111</v>
      </c>
      <c r="J146" s="13">
        <v>131</v>
      </c>
      <c r="K146" s="46" t="s">
        <v>21</v>
      </c>
      <c r="L146" s="46">
        <v>1</v>
      </c>
      <c r="M146" s="38">
        <v>31935484</v>
      </c>
      <c r="N146" s="86">
        <f t="shared" si="6"/>
        <v>31935484</v>
      </c>
      <c r="O146" s="24" t="s">
        <v>22</v>
      </c>
      <c r="P146" s="24">
        <v>143</v>
      </c>
    </row>
    <row r="147" spans="1:16" ht="15" customHeight="1" x14ac:dyDescent="0.2">
      <c r="A147" s="24" t="s">
        <v>89</v>
      </c>
      <c r="B147" s="36">
        <v>45917</v>
      </c>
      <c r="C147" s="24">
        <f t="shared" si="8"/>
        <v>237</v>
      </c>
      <c r="D147" s="24">
        <v>1</v>
      </c>
      <c r="G147" s="37" t="s">
        <v>29</v>
      </c>
      <c r="H147" s="24" t="s">
        <v>864</v>
      </c>
      <c r="I147" s="24">
        <v>333822</v>
      </c>
      <c r="J147" s="24">
        <v>112111</v>
      </c>
      <c r="K147" s="46" t="s">
        <v>21</v>
      </c>
      <c r="L147" s="46">
        <v>1</v>
      </c>
      <c r="M147" s="38">
        <v>2542260</v>
      </c>
      <c r="N147" s="86">
        <f t="shared" si="6"/>
        <v>2542260</v>
      </c>
      <c r="O147" s="24" t="s">
        <v>22</v>
      </c>
      <c r="P147" s="24">
        <v>144</v>
      </c>
    </row>
    <row r="148" spans="1:16" ht="15" customHeight="1" x14ac:dyDescent="0.2">
      <c r="A148" s="24" t="s">
        <v>89</v>
      </c>
      <c r="B148" s="36">
        <v>45919</v>
      </c>
      <c r="C148" s="24">
        <f t="shared" si="8"/>
        <v>238</v>
      </c>
      <c r="D148" s="24">
        <v>1</v>
      </c>
      <c r="G148" s="37" t="s">
        <v>1986</v>
      </c>
      <c r="H148" s="42" t="s">
        <v>1008</v>
      </c>
      <c r="I148" s="24">
        <v>1111</v>
      </c>
      <c r="J148" s="24">
        <v>112111</v>
      </c>
      <c r="K148" s="46" t="s">
        <v>21</v>
      </c>
      <c r="L148" s="46">
        <v>1</v>
      </c>
      <c r="M148" s="38">
        <v>30000000</v>
      </c>
      <c r="N148" s="86">
        <f t="shared" si="6"/>
        <v>30000000</v>
      </c>
      <c r="O148" s="24" t="s">
        <v>22</v>
      </c>
      <c r="P148" s="24">
        <v>145</v>
      </c>
    </row>
    <row r="149" spans="1:16" ht="15" customHeight="1" x14ac:dyDescent="0.2">
      <c r="A149" s="24" t="s">
        <v>89</v>
      </c>
      <c r="B149" s="36">
        <v>45920</v>
      </c>
      <c r="C149" s="24">
        <f t="shared" si="8"/>
        <v>239</v>
      </c>
      <c r="D149" s="24">
        <v>1</v>
      </c>
      <c r="G149" s="37" t="s">
        <v>1986</v>
      </c>
      <c r="H149" s="42" t="s">
        <v>1008</v>
      </c>
      <c r="I149" s="24">
        <v>1111</v>
      </c>
      <c r="J149" s="24">
        <v>112111</v>
      </c>
      <c r="K149" s="46" t="s">
        <v>21</v>
      </c>
      <c r="L149" s="46">
        <v>1</v>
      </c>
      <c r="M149" s="38">
        <v>55000000</v>
      </c>
      <c r="N149" s="86">
        <f t="shared" si="6"/>
        <v>55000000</v>
      </c>
      <c r="O149" s="24" t="s">
        <v>22</v>
      </c>
      <c r="P149" s="24">
        <v>146</v>
      </c>
    </row>
    <row r="150" spans="1:16" ht="15" customHeight="1" x14ac:dyDescent="0.2">
      <c r="A150" s="24" t="s">
        <v>33</v>
      </c>
      <c r="B150" s="36">
        <v>45920</v>
      </c>
      <c r="C150" s="24">
        <f t="shared" si="8"/>
        <v>240</v>
      </c>
      <c r="D150" s="24">
        <v>1</v>
      </c>
      <c r="G150" s="37" t="s">
        <v>784</v>
      </c>
      <c r="H150" s="24" t="s">
        <v>2338</v>
      </c>
      <c r="I150" s="24">
        <v>112111</v>
      </c>
      <c r="J150" s="13">
        <v>131</v>
      </c>
      <c r="K150" s="46" t="s">
        <v>21</v>
      </c>
      <c r="L150" s="46">
        <v>1</v>
      </c>
      <c r="M150" s="38">
        <v>21290322</v>
      </c>
      <c r="N150" s="86">
        <f t="shared" si="6"/>
        <v>21290322</v>
      </c>
      <c r="O150" s="24" t="s">
        <v>22</v>
      </c>
      <c r="P150" s="24">
        <v>147</v>
      </c>
    </row>
    <row r="151" spans="1:16" ht="15" customHeight="1" x14ac:dyDescent="0.2">
      <c r="A151" s="24" t="s">
        <v>33</v>
      </c>
      <c r="B151" s="36">
        <v>45921</v>
      </c>
      <c r="C151" s="24">
        <f t="shared" si="8"/>
        <v>241</v>
      </c>
      <c r="D151" s="24">
        <v>1</v>
      </c>
      <c r="G151" s="37" t="s">
        <v>851</v>
      </c>
      <c r="H151" s="24" t="s">
        <v>129</v>
      </c>
      <c r="I151" s="24">
        <v>112111</v>
      </c>
      <c r="J151" s="24">
        <v>5154</v>
      </c>
      <c r="K151" s="46" t="s">
        <v>21</v>
      </c>
      <c r="L151" s="46">
        <v>1</v>
      </c>
      <c r="M151" s="38">
        <v>5493</v>
      </c>
      <c r="N151" s="86">
        <f t="shared" si="6"/>
        <v>5493</v>
      </c>
      <c r="O151" s="24" t="s">
        <v>22</v>
      </c>
      <c r="P151" s="24">
        <v>148</v>
      </c>
    </row>
    <row r="152" spans="1:16" ht="15" customHeight="1" x14ac:dyDescent="0.2">
      <c r="A152" s="24" t="s">
        <v>33</v>
      </c>
      <c r="B152" s="36">
        <v>45922</v>
      </c>
      <c r="C152" s="24">
        <f t="shared" si="8"/>
        <v>242</v>
      </c>
      <c r="D152" s="24">
        <v>1</v>
      </c>
      <c r="G152" s="37" t="s">
        <v>55</v>
      </c>
      <c r="H152" s="24" t="s">
        <v>2336</v>
      </c>
      <c r="I152" s="24">
        <v>112111</v>
      </c>
      <c r="J152" s="13">
        <v>131</v>
      </c>
      <c r="K152" s="46" t="s">
        <v>21</v>
      </c>
      <c r="L152" s="46">
        <v>1</v>
      </c>
      <c r="M152" s="38">
        <v>21290322</v>
      </c>
      <c r="N152" s="86">
        <f t="shared" si="6"/>
        <v>21290322</v>
      </c>
      <c r="O152" s="24" t="s">
        <v>22</v>
      </c>
      <c r="P152" s="24">
        <v>149</v>
      </c>
    </row>
    <row r="153" spans="1:16" ht="15" customHeight="1" x14ac:dyDescent="0.2">
      <c r="A153" s="24" t="s">
        <v>89</v>
      </c>
      <c r="B153" s="36">
        <v>45924</v>
      </c>
      <c r="C153" s="24">
        <f t="shared" si="8"/>
        <v>243</v>
      </c>
      <c r="D153" s="24">
        <v>1</v>
      </c>
      <c r="G153" s="37" t="s">
        <v>1986</v>
      </c>
      <c r="H153" s="42" t="s">
        <v>1008</v>
      </c>
      <c r="I153" s="24">
        <v>1111</v>
      </c>
      <c r="J153" s="24">
        <v>112111</v>
      </c>
      <c r="K153" s="46" t="s">
        <v>21</v>
      </c>
      <c r="L153" s="46">
        <v>1</v>
      </c>
      <c r="M153" s="38">
        <v>19000000</v>
      </c>
      <c r="N153" s="86">
        <f t="shared" si="6"/>
        <v>19000000</v>
      </c>
      <c r="O153" s="24" t="s">
        <v>22</v>
      </c>
      <c r="P153" s="24">
        <v>150</v>
      </c>
    </row>
    <row r="154" spans="1:16" ht="15" customHeight="1" x14ac:dyDescent="0.2">
      <c r="A154" s="24" t="s">
        <v>33</v>
      </c>
      <c r="B154" s="36">
        <v>45926</v>
      </c>
      <c r="C154" s="24">
        <f t="shared" si="8"/>
        <v>244</v>
      </c>
      <c r="D154" s="24">
        <v>1</v>
      </c>
      <c r="G154" s="37" t="s">
        <v>55</v>
      </c>
      <c r="H154" s="24" t="s">
        <v>2337</v>
      </c>
      <c r="I154" s="24">
        <v>112111</v>
      </c>
      <c r="J154" s="13">
        <v>131</v>
      </c>
      <c r="K154" s="46" t="s">
        <v>21</v>
      </c>
      <c r="L154" s="46">
        <v>1</v>
      </c>
      <c r="M154" s="38">
        <v>38322580</v>
      </c>
      <c r="N154" s="86">
        <f t="shared" si="6"/>
        <v>38322580</v>
      </c>
      <c r="O154" s="24" t="s">
        <v>22</v>
      </c>
      <c r="P154" s="24">
        <v>151</v>
      </c>
    </row>
    <row r="155" spans="1:16" ht="15" customHeight="1" x14ac:dyDescent="0.2">
      <c r="A155" s="24" t="s">
        <v>89</v>
      </c>
      <c r="B155" s="36">
        <v>45927</v>
      </c>
      <c r="C155" s="24">
        <f t="shared" si="8"/>
        <v>245</v>
      </c>
      <c r="D155" s="24">
        <v>1</v>
      </c>
      <c r="G155" s="37" t="s">
        <v>1986</v>
      </c>
      <c r="H155" s="42" t="s">
        <v>1008</v>
      </c>
      <c r="I155" s="24">
        <v>1111</v>
      </c>
      <c r="J155" s="24">
        <v>112111</v>
      </c>
      <c r="K155" s="46" t="s">
        <v>21</v>
      </c>
      <c r="L155" s="46">
        <v>1</v>
      </c>
      <c r="M155" s="38">
        <v>40000000</v>
      </c>
      <c r="N155" s="86">
        <f t="shared" si="6"/>
        <v>40000000</v>
      </c>
      <c r="O155" s="24" t="s">
        <v>22</v>
      </c>
      <c r="P155" s="24">
        <v>152</v>
      </c>
    </row>
    <row r="156" spans="1:16" ht="15" customHeight="1" x14ac:dyDescent="0.2">
      <c r="A156" s="24" t="s">
        <v>89</v>
      </c>
      <c r="B156" s="36">
        <v>45930</v>
      </c>
      <c r="C156" s="24">
        <f t="shared" si="8"/>
        <v>246</v>
      </c>
      <c r="D156" s="24">
        <v>1</v>
      </c>
      <c r="G156" s="37" t="s">
        <v>1986</v>
      </c>
      <c r="H156" s="42" t="s">
        <v>1008</v>
      </c>
      <c r="I156" s="24">
        <v>1111</v>
      </c>
      <c r="J156" s="24">
        <v>112111</v>
      </c>
      <c r="K156" s="46" t="s">
        <v>21</v>
      </c>
      <c r="L156" s="46">
        <v>1</v>
      </c>
      <c r="M156" s="38">
        <v>30000000</v>
      </c>
      <c r="N156" s="86">
        <f t="shared" si="6"/>
        <v>30000000</v>
      </c>
      <c r="O156" s="24" t="s">
        <v>22</v>
      </c>
      <c r="P156" s="24">
        <v>153</v>
      </c>
    </row>
    <row r="157" spans="1:16" ht="15" customHeight="1" x14ac:dyDescent="0.2">
      <c r="A157" s="24" t="s">
        <v>18</v>
      </c>
      <c r="B157" s="36">
        <v>45930</v>
      </c>
      <c r="C157" s="24">
        <f t="shared" si="8"/>
        <v>247</v>
      </c>
      <c r="D157" s="24">
        <v>1</v>
      </c>
      <c r="G157" s="15" t="s">
        <v>252</v>
      </c>
      <c r="H157" s="13" t="s">
        <v>1578</v>
      </c>
      <c r="I157" s="13">
        <v>131</v>
      </c>
      <c r="J157" s="13">
        <v>5118</v>
      </c>
      <c r="K157" s="46" t="s">
        <v>21</v>
      </c>
      <c r="L157" s="46">
        <v>1</v>
      </c>
      <c r="M157" s="38">
        <v>19776417</v>
      </c>
      <c r="N157" s="86">
        <f t="shared" si="6"/>
        <v>19776417</v>
      </c>
      <c r="O157" s="24" t="s">
        <v>22</v>
      </c>
      <c r="P157" s="24">
        <v>154</v>
      </c>
    </row>
    <row r="158" spans="1:16" ht="15" customHeight="1" x14ac:dyDescent="0.2">
      <c r="A158" s="24" t="s">
        <v>18</v>
      </c>
      <c r="B158" s="36">
        <v>45930</v>
      </c>
      <c r="C158" s="24">
        <f t="shared" si="8"/>
        <v>248</v>
      </c>
      <c r="D158" s="24">
        <v>1</v>
      </c>
      <c r="G158" s="15" t="s">
        <v>252</v>
      </c>
      <c r="H158" s="13" t="s">
        <v>1578</v>
      </c>
      <c r="I158" s="13">
        <v>131</v>
      </c>
      <c r="J158" s="13">
        <v>5118</v>
      </c>
      <c r="K158" s="46" t="s">
        <v>21</v>
      </c>
      <c r="L158" s="46">
        <v>1</v>
      </c>
      <c r="M158" s="38">
        <v>10875417</v>
      </c>
      <c r="N158" s="86">
        <f t="shared" si="6"/>
        <v>10875417</v>
      </c>
      <c r="O158" s="24" t="s">
        <v>22</v>
      </c>
      <c r="P158" s="24">
        <v>155</v>
      </c>
    </row>
    <row r="159" spans="1:16" ht="15" customHeight="1" x14ac:dyDescent="0.2">
      <c r="A159" s="24" t="s">
        <v>33</v>
      </c>
      <c r="B159" s="36">
        <v>45930</v>
      </c>
      <c r="C159" s="24">
        <f t="shared" si="8"/>
        <v>249</v>
      </c>
      <c r="D159" s="24">
        <v>1</v>
      </c>
      <c r="G159" s="15" t="s">
        <v>252</v>
      </c>
      <c r="H159" s="13" t="s">
        <v>1579</v>
      </c>
      <c r="I159" s="24">
        <v>112111</v>
      </c>
      <c r="J159" s="13">
        <v>131</v>
      </c>
      <c r="K159" s="46" t="s">
        <v>21</v>
      </c>
      <c r="L159" s="46">
        <v>1</v>
      </c>
      <c r="M159" s="38">
        <v>19776417</v>
      </c>
      <c r="N159" s="86">
        <f t="shared" si="6"/>
        <v>19776417</v>
      </c>
      <c r="O159" s="24" t="s">
        <v>22</v>
      </c>
      <c r="P159" s="24">
        <v>156</v>
      </c>
    </row>
    <row r="160" spans="1:16" ht="15" customHeight="1" x14ac:dyDescent="0.2">
      <c r="A160" s="24" t="s">
        <v>33</v>
      </c>
      <c r="B160" s="36">
        <v>45930</v>
      </c>
      <c r="C160" s="24">
        <f t="shared" si="8"/>
        <v>250</v>
      </c>
      <c r="D160" s="24">
        <v>1</v>
      </c>
      <c r="G160" s="15" t="s">
        <v>252</v>
      </c>
      <c r="H160" s="13" t="s">
        <v>1579</v>
      </c>
      <c r="I160" s="24">
        <v>112111</v>
      </c>
      <c r="J160" s="13">
        <v>131</v>
      </c>
      <c r="K160" s="46" t="s">
        <v>21</v>
      </c>
      <c r="L160" s="46">
        <v>1</v>
      </c>
      <c r="M160" s="38">
        <v>10875417</v>
      </c>
      <c r="N160" s="86">
        <f t="shared" si="6"/>
        <v>10875417</v>
      </c>
      <c r="O160" s="24" t="s">
        <v>22</v>
      </c>
      <c r="P160" s="24">
        <v>157</v>
      </c>
    </row>
  </sheetData>
  <autoFilter ref="A3:P160" xr:uid="{00000000-0009-0000-0000-000009000000}"/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86"/>
  <sheetViews>
    <sheetView topLeftCell="A53" workbookViewId="0">
      <selection activeCell="G65" sqref="G65"/>
    </sheetView>
  </sheetViews>
  <sheetFormatPr defaultRowHeight="15" customHeight="1" x14ac:dyDescent="0.2"/>
  <cols>
    <col min="1" max="1" width="10.7109375" style="24" bestFit="1" customWidth="1"/>
    <col min="2" max="2" width="10.7109375" style="94" bestFit="1" customWidth="1"/>
    <col min="3" max="3" width="9.28515625" style="24" bestFit="1" customWidth="1"/>
    <col min="4" max="6" width="9.140625" style="24"/>
    <col min="7" max="7" width="14.85546875" style="37" bestFit="1" customWidth="1"/>
    <col min="8" max="8" width="32.140625" style="24" customWidth="1"/>
    <col min="9" max="10" width="9.28515625" style="24" bestFit="1" customWidth="1"/>
    <col min="11" max="11" width="9.140625" style="24"/>
    <col min="12" max="12" width="9.28515625" style="24" bestFit="1" customWidth="1"/>
    <col min="13" max="14" width="13.42578125" style="39" bestFit="1" customWidth="1"/>
    <col min="15" max="16384" width="9.140625" style="24"/>
  </cols>
  <sheetData>
    <row r="1" spans="1:16" ht="15" customHeight="1" thickBot="1" x14ac:dyDescent="0.25">
      <c r="A1" s="177" t="s">
        <v>0</v>
      </c>
      <c r="B1" s="192" t="s">
        <v>1</v>
      </c>
      <c r="C1" s="177" t="s">
        <v>2</v>
      </c>
      <c r="D1" s="175" t="s">
        <v>3</v>
      </c>
      <c r="E1" s="175" t="s">
        <v>4</v>
      </c>
      <c r="F1" s="175" t="s">
        <v>5</v>
      </c>
      <c r="G1" s="180" t="s">
        <v>6</v>
      </c>
      <c r="H1" s="182" t="s">
        <v>7</v>
      </c>
      <c r="I1" s="184" t="s">
        <v>8</v>
      </c>
      <c r="J1" s="185"/>
      <c r="K1" s="177" t="s">
        <v>9</v>
      </c>
      <c r="L1" s="177" t="s">
        <v>10</v>
      </c>
      <c r="M1" s="190" t="s">
        <v>1287</v>
      </c>
      <c r="N1" s="190" t="s">
        <v>1288</v>
      </c>
      <c r="O1" s="49" t="s">
        <v>1289</v>
      </c>
      <c r="P1" s="42"/>
    </row>
    <row r="2" spans="1:16" ht="15" customHeight="1" thickBot="1" x14ac:dyDescent="0.25">
      <c r="A2" s="178"/>
      <c r="B2" s="193"/>
      <c r="C2" s="178"/>
      <c r="D2" s="179"/>
      <c r="E2" s="179"/>
      <c r="F2" s="176"/>
      <c r="G2" s="181"/>
      <c r="H2" s="183"/>
      <c r="I2" s="50" t="s">
        <v>13</v>
      </c>
      <c r="J2" s="51" t="s">
        <v>14</v>
      </c>
      <c r="K2" s="178"/>
      <c r="L2" s="178"/>
      <c r="M2" s="191"/>
      <c r="N2" s="191"/>
      <c r="O2" s="42" t="s">
        <v>1289</v>
      </c>
      <c r="P2" s="42"/>
    </row>
    <row r="3" spans="1:16" ht="15" customHeight="1" x14ac:dyDescent="0.2">
      <c r="A3" s="52"/>
      <c r="B3" s="92"/>
      <c r="C3" s="52">
        <v>65</v>
      </c>
      <c r="D3" s="53"/>
      <c r="E3" s="53"/>
      <c r="F3" s="53"/>
      <c r="G3" s="78" t="s">
        <v>15</v>
      </c>
      <c r="H3" s="54"/>
      <c r="I3" s="54"/>
      <c r="J3" s="54"/>
      <c r="K3" s="52"/>
      <c r="L3" s="52"/>
      <c r="M3" s="89"/>
      <c r="N3" s="89"/>
      <c r="O3" s="42" t="s">
        <v>16</v>
      </c>
      <c r="P3" s="42" t="s">
        <v>17</v>
      </c>
    </row>
    <row r="4" spans="1:16" ht="15" customHeight="1" x14ac:dyDescent="0.2">
      <c r="A4" s="24" t="s">
        <v>18</v>
      </c>
      <c r="B4" s="94" t="s">
        <v>2073</v>
      </c>
      <c r="C4" s="24">
        <f>C3+D4</f>
        <v>66</v>
      </c>
      <c r="D4" s="24">
        <v>1</v>
      </c>
      <c r="G4" s="37" t="s">
        <v>1812</v>
      </c>
      <c r="H4" s="24" t="s">
        <v>2340</v>
      </c>
      <c r="I4" s="24">
        <v>131</v>
      </c>
      <c r="J4" s="24">
        <v>5118</v>
      </c>
      <c r="K4" s="24" t="s">
        <v>21</v>
      </c>
      <c r="L4" s="24">
        <v>1</v>
      </c>
      <c r="M4" s="39">
        <v>6680000</v>
      </c>
      <c r="N4" s="39">
        <f>L4*M4</f>
        <v>6680000</v>
      </c>
      <c r="O4" s="24" t="s">
        <v>22</v>
      </c>
    </row>
    <row r="5" spans="1:16" ht="15" customHeight="1" x14ac:dyDescent="0.2">
      <c r="A5" s="24" t="s">
        <v>18</v>
      </c>
      <c r="B5" s="94" t="s">
        <v>2114</v>
      </c>
      <c r="C5" s="24">
        <f t="shared" ref="C5:C68" si="0">C4+D5</f>
        <v>67</v>
      </c>
      <c r="D5" s="24">
        <v>1</v>
      </c>
      <c r="G5" s="37" t="s">
        <v>1812</v>
      </c>
      <c r="H5" s="24" t="s">
        <v>2341</v>
      </c>
      <c r="I5" s="24">
        <v>131</v>
      </c>
      <c r="J5" s="24">
        <v>5118</v>
      </c>
      <c r="K5" s="24" t="s">
        <v>21</v>
      </c>
      <c r="L5" s="24">
        <v>1</v>
      </c>
      <c r="M5" s="39">
        <v>42000000</v>
      </c>
      <c r="N5" s="39">
        <f t="shared" ref="N5:N35" si="1">L5*M5</f>
        <v>42000000</v>
      </c>
      <c r="O5" s="24" t="s">
        <v>22</v>
      </c>
    </row>
    <row r="6" spans="1:16" ht="15" customHeight="1" x14ac:dyDescent="0.2">
      <c r="A6" s="24" t="s">
        <v>18</v>
      </c>
      <c r="B6" s="94" t="s">
        <v>1412</v>
      </c>
      <c r="C6" s="24">
        <f t="shared" si="0"/>
        <v>68</v>
      </c>
      <c r="D6" s="24">
        <v>1</v>
      </c>
      <c r="G6" s="37" t="s">
        <v>1812</v>
      </c>
      <c r="H6" s="24" t="s">
        <v>2342</v>
      </c>
      <c r="I6" s="24">
        <v>131</v>
      </c>
      <c r="J6" s="24">
        <v>5118</v>
      </c>
      <c r="K6" s="24" t="s">
        <v>21</v>
      </c>
      <c r="L6" s="24">
        <v>1</v>
      </c>
      <c r="M6" s="39">
        <v>6010101</v>
      </c>
      <c r="N6" s="39">
        <f t="shared" si="1"/>
        <v>6010101</v>
      </c>
      <c r="O6" s="24" t="s">
        <v>22</v>
      </c>
    </row>
    <row r="7" spans="1:16" ht="15" customHeight="1" x14ac:dyDescent="0.2">
      <c r="A7" s="24" t="s">
        <v>18</v>
      </c>
      <c r="B7" s="94" t="s">
        <v>1412</v>
      </c>
      <c r="C7" s="24">
        <f t="shared" si="0"/>
        <v>69</v>
      </c>
      <c r="D7" s="24">
        <v>1</v>
      </c>
      <c r="G7" s="37" t="s">
        <v>1812</v>
      </c>
      <c r="H7" s="24" t="s">
        <v>2343</v>
      </c>
      <c r="I7" s="24">
        <v>333821</v>
      </c>
      <c r="J7" s="24">
        <v>131</v>
      </c>
      <c r="K7" s="24" t="s">
        <v>21</v>
      </c>
      <c r="L7" s="24">
        <v>1</v>
      </c>
      <c r="M7" s="39">
        <v>60101</v>
      </c>
      <c r="N7" s="39">
        <f t="shared" si="1"/>
        <v>60101</v>
      </c>
      <c r="O7" s="24" t="s">
        <v>22</v>
      </c>
    </row>
    <row r="8" spans="1:16" ht="15" customHeight="1" x14ac:dyDescent="0.2">
      <c r="A8" s="24" t="s">
        <v>18</v>
      </c>
      <c r="B8" s="94" t="s">
        <v>2046</v>
      </c>
      <c r="C8" s="24">
        <f t="shared" si="0"/>
        <v>70</v>
      </c>
      <c r="D8" s="24">
        <v>1</v>
      </c>
      <c r="G8" s="37" t="s">
        <v>1812</v>
      </c>
      <c r="H8" s="24" t="s">
        <v>2344</v>
      </c>
      <c r="I8" s="24">
        <v>131</v>
      </c>
      <c r="J8" s="24">
        <v>5118</v>
      </c>
      <c r="K8" s="24" t="s">
        <v>21</v>
      </c>
      <c r="L8" s="24">
        <v>1</v>
      </c>
      <c r="M8" s="39">
        <v>14132548</v>
      </c>
      <c r="N8" s="39">
        <f t="shared" si="1"/>
        <v>14132548</v>
      </c>
      <c r="O8" s="24" t="s">
        <v>22</v>
      </c>
    </row>
    <row r="9" spans="1:16" ht="15" customHeight="1" x14ac:dyDescent="0.2">
      <c r="A9" s="24" t="s">
        <v>18</v>
      </c>
      <c r="B9" s="94" t="s">
        <v>2046</v>
      </c>
      <c r="C9" s="24">
        <f t="shared" si="0"/>
        <v>71</v>
      </c>
      <c r="D9" s="24">
        <v>1</v>
      </c>
      <c r="G9" s="37" t="s">
        <v>1812</v>
      </c>
      <c r="H9" s="24" t="s">
        <v>2345</v>
      </c>
      <c r="I9" s="24">
        <v>333821</v>
      </c>
      <c r="J9" s="24">
        <v>131</v>
      </c>
      <c r="K9" s="24" t="s">
        <v>21</v>
      </c>
      <c r="L9" s="24">
        <v>1</v>
      </c>
      <c r="M9" s="39">
        <v>141325</v>
      </c>
      <c r="N9" s="39">
        <f t="shared" si="1"/>
        <v>141325</v>
      </c>
      <c r="O9" s="24" t="s">
        <v>22</v>
      </c>
    </row>
    <row r="10" spans="1:16" ht="15" customHeight="1" x14ac:dyDescent="0.2">
      <c r="A10" s="24" t="s">
        <v>18</v>
      </c>
      <c r="B10" s="94" t="s">
        <v>1416</v>
      </c>
      <c r="C10" s="24">
        <f t="shared" si="0"/>
        <v>72</v>
      </c>
      <c r="D10" s="24">
        <v>1</v>
      </c>
      <c r="G10" s="37" t="s">
        <v>1812</v>
      </c>
      <c r="H10" s="24" t="s">
        <v>2346</v>
      </c>
      <c r="I10" s="24">
        <v>131</v>
      </c>
      <c r="J10" s="24">
        <v>5118</v>
      </c>
      <c r="K10" s="24" t="s">
        <v>21</v>
      </c>
      <c r="L10" s="24">
        <v>1</v>
      </c>
      <c r="M10" s="39">
        <v>3922828</v>
      </c>
      <c r="N10" s="39">
        <f t="shared" si="1"/>
        <v>3922828</v>
      </c>
      <c r="O10" s="24" t="s">
        <v>22</v>
      </c>
    </row>
    <row r="11" spans="1:16" ht="15" customHeight="1" x14ac:dyDescent="0.2">
      <c r="A11" s="24" t="s">
        <v>18</v>
      </c>
      <c r="B11" s="94" t="s">
        <v>1416</v>
      </c>
      <c r="C11" s="24">
        <f t="shared" si="0"/>
        <v>73</v>
      </c>
      <c r="D11" s="24">
        <v>1</v>
      </c>
      <c r="G11" s="37" t="s">
        <v>1812</v>
      </c>
      <c r="H11" s="24" t="s">
        <v>2347</v>
      </c>
      <c r="I11" s="24">
        <v>333821</v>
      </c>
      <c r="J11" s="24">
        <v>131</v>
      </c>
      <c r="K11" s="24" t="s">
        <v>21</v>
      </c>
      <c r="L11" s="24">
        <v>1</v>
      </c>
      <c r="M11" s="39">
        <v>39228</v>
      </c>
      <c r="N11" s="39">
        <f t="shared" si="1"/>
        <v>39228</v>
      </c>
      <c r="O11" s="24" t="s">
        <v>22</v>
      </c>
    </row>
    <row r="12" spans="1:16" ht="15" customHeight="1" x14ac:dyDescent="0.2">
      <c r="A12" s="24" t="s">
        <v>18</v>
      </c>
      <c r="B12" s="94" t="s">
        <v>2339</v>
      </c>
      <c r="C12" s="24">
        <f t="shared" si="0"/>
        <v>74</v>
      </c>
      <c r="D12" s="24">
        <v>1</v>
      </c>
      <c r="G12" s="37" t="s">
        <v>1812</v>
      </c>
      <c r="H12" s="24" t="s">
        <v>2348</v>
      </c>
      <c r="I12" s="24">
        <v>131</v>
      </c>
      <c r="J12" s="24">
        <v>5118</v>
      </c>
      <c r="K12" s="24" t="s">
        <v>21</v>
      </c>
      <c r="L12" s="24">
        <v>1</v>
      </c>
      <c r="M12" s="39">
        <v>24747475</v>
      </c>
      <c r="N12" s="39">
        <f t="shared" si="1"/>
        <v>24747475</v>
      </c>
      <c r="O12" s="24" t="s">
        <v>22</v>
      </c>
    </row>
    <row r="13" spans="1:16" ht="15" customHeight="1" x14ac:dyDescent="0.2">
      <c r="A13" s="24" t="s">
        <v>18</v>
      </c>
      <c r="B13" s="94" t="s">
        <v>2339</v>
      </c>
      <c r="C13" s="24">
        <f t="shared" si="0"/>
        <v>75</v>
      </c>
      <c r="D13" s="24">
        <v>1</v>
      </c>
      <c r="G13" s="37" t="s">
        <v>1812</v>
      </c>
      <c r="H13" s="24" t="s">
        <v>2349</v>
      </c>
      <c r="I13" s="24">
        <v>333821</v>
      </c>
      <c r="J13" s="24">
        <v>131</v>
      </c>
      <c r="K13" s="24" t="s">
        <v>21</v>
      </c>
      <c r="L13" s="24">
        <v>1</v>
      </c>
      <c r="M13" s="39">
        <v>247475</v>
      </c>
      <c r="N13" s="39">
        <f t="shared" si="1"/>
        <v>247475</v>
      </c>
      <c r="O13" s="24" t="s">
        <v>22</v>
      </c>
    </row>
    <row r="14" spans="1:16" ht="15" customHeight="1" x14ac:dyDescent="0.2">
      <c r="A14" s="24" t="s">
        <v>18</v>
      </c>
      <c r="B14" s="94" t="s">
        <v>1424</v>
      </c>
      <c r="C14" s="24">
        <f t="shared" si="0"/>
        <v>76</v>
      </c>
      <c r="D14" s="24">
        <v>1</v>
      </c>
      <c r="G14" s="37" t="s">
        <v>1812</v>
      </c>
      <c r="H14" s="24" t="s">
        <v>2350</v>
      </c>
      <c r="I14" s="24">
        <v>131</v>
      </c>
      <c r="J14" s="24">
        <v>5118</v>
      </c>
      <c r="K14" s="24" t="s">
        <v>21</v>
      </c>
      <c r="L14" s="24">
        <v>1</v>
      </c>
      <c r="M14" s="39">
        <v>24747475</v>
      </c>
      <c r="N14" s="39">
        <f t="shared" si="1"/>
        <v>24747475</v>
      </c>
      <c r="O14" s="24" t="s">
        <v>22</v>
      </c>
    </row>
    <row r="15" spans="1:16" ht="15" customHeight="1" x14ac:dyDescent="0.2">
      <c r="A15" s="24" t="s">
        <v>18</v>
      </c>
      <c r="B15" s="94" t="s">
        <v>1424</v>
      </c>
      <c r="C15" s="24">
        <f t="shared" si="0"/>
        <v>77</v>
      </c>
      <c r="D15" s="24">
        <v>1</v>
      </c>
      <c r="G15" s="37" t="s">
        <v>1812</v>
      </c>
      <c r="H15" s="24" t="s">
        <v>2351</v>
      </c>
      <c r="I15" s="24">
        <v>333821</v>
      </c>
      <c r="J15" s="24">
        <v>131</v>
      </c>
      <c r="K15" s="24" t="s">
        <v>21</v>
      </c>
      <c r="L15" s="24">
        <v>1</v>
      </c>
      <c r="M15" s="39">
        <v>247475</v>
      </c>
      <c r="N15" s="39">
        <f t="shared" si="1"/>
        <v>247475</v>
      </c>
      <c r="O15" s="24" t="s">
        <v>22</v>
      </c>
    </row>
    <row r="16" spans="1:16" ht="15" customHeight="1" x14ac:dyDescent="0.2">
      <c r="A16" s="24" t="s">
        <v>18</v>
      </c>
      <c r="B16" s="94" t="s">
        <v>1424</v>
      </c>
      <c r="C16" s="24">
        <f t="shared" si="0"/>
        <v>78</v>
      </c>
      <c r="D16" s="24">
        <v>1</v>
      </c>
      <c r="G16" s="37" t="s">
        <v>1812</v>
      </c>
      <c r="H16" s="24" t="s">
        <v>2352</v>
      </c>
      <c r="I16" s="24">
        <v>131</v>
      </c>
      <c r="J16" s="24">
        <v>5118</v>
      </c>
      <c r="K16" s="24" t="s">
        <v>21</v>
      </c>
      <c r="L16" s="24">
        <v>1</v>
      </c>
      <c r="M16" s="39">
        <v>4242424</v>
      </c>
      <c r="N16" s="39">
        <f t="shared" si="1"/>
        <v>4242424</v>
      </c>
      <c r="O16" s="24" t="s">
        <v>22</v>
      </c>
    </row>
    <row r="17" spans="1:15" ht="15" customHeight="1" x14ac:dyDescent="0.2">
      <c r="A17" s="24" t="s">
        <v>18</v>
      </c>
      <c r="B17" s="94" t="s">
        <v>1424</v>
      </c>
      <c r="C17" s="24">
        <f t="shared" si="0"/>
        <v>79</v>
      </c>
      <c r="D17" s="24">
        <v>1</v>
      </c>
      <c r="G17" s="37" t="s">
        <v>1812</v>
      </c>
      <c r="H17" s="24" t="s">
        <v>2353</v>
      </c>
      <c r="I17" s="24">
        <v>333821</v>
      </c>
      <c r="J17" s="24">
        <v>131</v>
      </c>
      <c r="K17" s="24" t="s">
        <v>21</v>
      </c>
      <c r="L17" s="24">
        <v>1</v>
      </c>
      <c r="M17" s="39">
        <v>42424</v>
      </c>
      <c r="N17" s="39">
        <f t="shared" si="1"/>
        <v>42424</v>
      </c>
      <c r="O17" s="24" t="s">
        <v>22</v>
      </c>
    </row>
    <row r="18" spans="1:15" ht="15" customHeight="1" x14ac:dyDescent="0.2">
      <c r="A18" s="24" t="s">
        <v>18</v>
      </c>
      <c r="B18" s="94" t="s">
        <v>2354</v>
      </c>
      <c r="C18" s="24">
        <f t="shared" si="0"/>
        <v>80</v>
      </c>
      <c r="D18" s="24">
        <v>1</v>
      </c>
      <c r="G18" s="37" t="s">
        <v>1607</v>
      </c>
      <c r="H18" s="24" t="s">
        <v>2364</v>
      </c>
      <c r="I18" s="24">
        <v>64277</v>
      </c>
      <c r="J18" s="24">
        <v>331</v>
      </c>
      <c r="K18" s="24" t="s">
        <v>21</v>
      </c>
      <c r="L18" s="24">
        <v>1</v>
      </c>
      <c r="M18" s="39">
        <v>500000</v>
      </c>
      <c r="N18" s="39">
        <f t="shared" si="1"/>
        <v>500000</v>
      </c>
      <c r="O18" s="24" t="s">
        <v>22</v>
      </c>
    </row>
    <row r="19" spans="1:15" ht="15" customHeight="1" x14ac:dyDescent="0.2">
      <c r="A19" s="24" t="s">
        <v>18</v>
      </c>
      <c r="B19" s="94" t="s">
        <v>2355</v>
      </c>
      <c r="C19" s="24">
        <f t="shared" si="0"/>
        <v>81</v>
      </c>
      <c r="D19" s="24">
        <v>1</v>
      </c>
      <c r="G19" s="37" t="s">
        <v>1976</v>
      </c>
      <c r="H19" s="24" t="s">
        <v>2365</v>
      </c>
      <c r="I19" s="24">
        <v>64277</v>
      </c>
      <c r="J19" s="24">
        <v>331</v>
      </c>
      <c r="K19" s="24" t="s">
        <v>21</v>
      </c>
      <c r="L19" s="24">
        <v>1</v>
      </c>
      <c r="M19" s="39">
        <v>500000</v>
      </c>
      <c r="N19" s="39">
        <f t="shared" si="1"/>
        <v>500000</v>
      </c>
      <c r="O19" s="24" t="s">
        <v>22</v>
      </c>
    </row>
    <row r="20" spans="1:15" ht="15" customHeight="1" x14ac:dyDescent="0.2">
      <c r="A20" s="24" t="s">
        <v>18</v>
      </c>
      <c r="B20" s="94" t="s">
        <v>2356</v>
      </c>
      <c r="C20" s="24">
        <f t="shared" si="0"/>
        <v>82</v>
      </c>
      <c r="D20" s="24">
        <v>1</v>
      </c>
      <c r="G20" s="37" t="s">
        <v>1725</v>
      </c>
      <c r="H20" s="24" t="s">
        <v>2366</v>
      </c>
      <c r="I20" s="24">
        <v>64277</v>
      </c>
      <c r="J20" s="24">
        <v>331</v>
      </c>
      <c r="K20" s="24" t="s">
        <v>21</v>
      </c>
      <c r="L20" s="24">
        <v>1</v>
      </c>
      <c r="M20" s="39">
        <v>500000</v>
      </c>
      <c r="N20" s="39">
        <f t="shared" si="1"/>
        <v>500000</v>
      </c>
      <c r="O20" s="24" t="s">
        <v>22</v>
      </c>
    </row>
    <row r="21" spans="1:15" ht="15" customHeight="1" x14ac:dyDescent="0.2">
      <c r="A21" s="24" t="s">
        <v>18</v>
      </c>
      <c r="B21" s="94" t="s">
        <v>2356</v>
      </c>
      <c r="C21" s="24">
        <f t="shared" si="0"/>
        <v>83</v>
      </c>
      <c r="D21" s="24">
        <v>1</v>
      </c>
      <c r="G21" s="37" t="s">
        <v>19</v>
      </c>
      <c r="H21" s="24" t="s">
        <v>2375</v>
      </c>
      <c r="I21" s="24">
        <v>64277</v>
      </c>
      <c r="J21" s="24">
        <v>331</v>
      </c>
      <c r="K21" s="24" t="s">
        <v>21</v>
      </c>
      <c r="L21" s="24">
        <v>1</v>
      </c>
      <c r="M21" s="39">
        <v>63000</v>
      </c>
      <c r="N21" s="39">
        <f t="shared" si="1"/>
        <v>63000</v>
      </c>
      <c r="O21" s="24" t="s">
        <v>22</v>
      </c>
    </row>
    <row r="22" spans="1:15" ht="15" customHeight="1" x14ac:dyDescent="0.2">
      <c r="A22" s="24" t="s">
        <v>18</v>
      </c>
      <c r="B22" s="94" t="s">
        <v>2357</v>
      </c>
      <c r="C22" s="24">
        <f t="shared" si="0"/>
        <v>84</v>
      </c>
      <c r="D22" s="24">
        <v>1</v>
      </c>
      <c r="G22" s="37" t="s">
        <v>158</v>
      </c>
      <c r="H22" s="24" t="s">
        <v>2362</v>
      </c>
      <c r="I22" s="24">
        <v>64277</v>
      </c>
      <c r="J22" s="24">
        <v>331</v>
      </c>
      <c r="K22" s="24" t="s">
        <v>21</v>
      </c>
      <c r="L22" s="24">
        <v>1</v>
      </c>
      <c r="M22" s="39">
        <v>3240000</v>
      </c>
      <c r="N22" s="39">
        <f t="shared" si="1"/>
        <v>3240000</v>
      </c>
      <c r="O22" s="24" t="s">
        <v>22</v>
      </c>
    </row>
    <row r="23" spans="1:15" ht="15" customHeight="1" x14ac:dyDescent="0.2">
      <c r="A23" s="24" t="s">
        <v>18</v>
      </c>
      <c r="B23" s="94" t="s">
        <v>2358</v>
      </c>
      <c r="C23" s="24">
        <f t="shared" si="0"/>
        <v>85</v>
      </c>
      <c r="D23" s="24">
        <v>1</v>
      </c>
      <c r="G23" s="37" t="s">
        <v>2360</v>
      </c>
      <c r="H23" s="24" t="s">
        <v>2367</v>
      </c>
      <c r="I23" s="24">
        <v>64277</v>
      </c>
      <c r="J23" s="24">
        <v>331</v>
      </c>
      <c r="K23" s="24" t="s">
        <v>21</v>
      </c>
      <c r="L23" s="24">
        <v>1</v>
      </c>
      <c r="M23" s="39">
        <v>500000</v>
      </c>
      <c r="N23" s="39">
        <f t="shared" si="1"/>
        <v>500000</v>
      </c>
      <c r="O23" s="24" t="s">
        <v>22</v>
      </c>
    </row>
    <row r="24" spans="1:15" ht="15" customHeight="1" x14ac:dyDescent="0.2">
      <c r="A24" s="24" t="s">
        <v>18</v>
      </c>
      <c r="B24" s="94" t="s">
        <v>2120</v>
      </c>
      <c r="C24" s="24">
        <f t="shared" si="0"/>
        <v>86</v>
      </c>
      <c r="D24" s="24">
        <v>1</v>
      </c>
      <c r="G24" s="37" t="s">
        <v>1725</v>
      </c>
      <c r="H24" s="24" t="s">
        <v>2368</v>
      </c>
      <c r="I24" s="24">
        <v>64277</v>
      </c>
      <c r="J24" s="24">
        <v>331</v>
      </c>
      <c r="K24" s="24" t="s">
        <v>21</v>
      </c>
      <c r="L24" s="24">
        <v>1</v>
      </c>
      <c r="M24" s="39">
        <v>500000</v>
      </c>
      <c r="N24" s="39">
        <f t="shared" si="1"/>
        <v>500000</v>
      </c>
      <c r="O24" s="24" t="s">
        <v>22</v>
      </c>
    </row>
    <row r="25" spans="1:15" ht="15" customHeight="1" x14ac:dyDescent="0.2">
      <c r="A25" s="24" t="s">
        <v>18</v>
      </c>
      <c r="B25" s="94" t="s">
        <v>2121</v>
      </c>
      <c r="C25" s="24">
        <f t="shared" si="0"/>
        <v>87</v>
      </c>
      <c r="D25" s="24">
        <v>1</v>
      </c>
      <c r="G25" s="37" t="s">
        <v>19</v>
      </c>
      <c r="H25" s="24" t="s">
        <v>2376</v>
      </c>
      <c r="I25" s="24">
        <v>64277</v>
      </c>
      <c r="J25" s="24">
        <v>331</v>
      </c>
      <c r="K25" s="24" t="s">
        <v>21</v>
      </c>
      <c r="L25" s="24">
        <v>1</v>
      </c>
      <c r="M25" s="39">
        <v>164000</v>
      </c>
      <c r="N25" s="39">
        <f t="shared" si="1"/>
        <v>164000</v>
      </c>
      <c r="O25" s="24" t="s">
        <v>22</v>
      </c>
    </row>
    <row r="26" spans="1:15" ht="15" customHeight="1" x14ac:dyDescent="0.2">
      <c r="A26" s="24" t="s">
        <v>18</v>
      </c>
      <c r="B26" s="94" t="s">
        <v>1476</v>
      </c>
      <c r="C26" s="24">
        <f t="shared" si="0"/>
        <v>88</v>
      </c>
      <c r="D26" s="24">
        <v>1</v>
      </c>
      <c r="G26" s="37" t="s">
        <v>1607</v>
      </c>
      <c r="H26" s="24" t="s">
        <v>2369</v>
      </c>
      <c r="I26" s="24">
        <v>64277</v>
      </c>
      <c r="J26" s="24">
        <v>331</v>
      </c>
      <c r="K26" s="24" t="s">
        <v>21</v>
      </c>
      <c r="L26" s="24">
        <v>1</v>
      </c>
      <c r="M26" s="39">
        <v>500000</v>
      </c>
      <c r="N26" s="39">
        <f t="shared" si="1"/>
        <v>500000</v>
      </c>
      <c r="O26" s="24" t="s">
        <v>22</v>
      </c>
    </row>
    <row r="27" spans="1:15" ht="15" customHeight="1" x14ac:dyDescent="0.2">
      <c r="A27" s="24" t="s">
        <v>18</v>
      </c>
      <c r="B27" s="94" t="s">
        <v>2046</v>
      </c>
      <c r="C27" s="24">
        <f t="shared" si="0"/>
        <v>89</v>
      </c>
      <c r="D27" s="24">
        <v>1</v>
      </c>
      <c r="G27" s="37" t="s">
        <v>1607</v>
      </c>
      <c r="H27" s="24" t="s">
        <v>2370</v>
      </c>
      <c r="I27" s="24">
        <v>64277</v>
      </c>
      <c r="J27" s="24">
        <v>331</v>
      </c>
      <c r="K27" s="24" t="s">
        <v>21</v>
      </c>
      <c r="L27" s="24">
        <v>1</v>
      </c>
      <c r="M27" s="39">
        <v>500000</v>
      </c>
      <c r="N27" s="39">
        <f t="shared" si="1"/>
        <v>500000</v>
      </c>
      <c r="O27" s="24" t="s">
        <v>22</v>
      </c>
    </row>
    <row r="28" spans="1:15" ht="15" customHeight="1" x14ac:dyDescent="0.2">
      <c r="A28" s="24" t="s">
        <v>18</v>
      </c>
      <c r="B28" s="94" t="s">
        <v>1418</v>
      </c>
      <c r="C28" s="24">
        <f t="shared" si="0"/>
        <v>90</v>
      </c>
      <c r="D28" s="24">
        <v>1</v>
      </c>
      <c r="G28" s="37" t="s">
        <v>1725</v>
      </c>
      <c r="H28" s="24" t="s">
        <v>2371</v>
      </c>
      <c r="I28" s="24">
        <v>64277</v>
      </c>
      <c r="J28" s="24">
        <v>331</v>
      </c>
      <c r="K28" s="24" t="s">
        <v>21</v>
      </c>
      <c r="L28" s="24">
        <v>1</v>
      </c>
      <c r="M28" s="39">
        <v>500000</v>
      </c>
      <c r="N28" s="39">
        <f t="shared" si="1"/>
        <v>500000</v>
      </c>
      <c r="O28" s="24" t="s">
        <v>22</v>
      </c>
    </row>
    <row r="29" spans="1:15" ht="15" customHeight="1" x14ac:dyDescent="0.2">
      <c r="A29" s="24" t="s">
        <v>18</v>
      </c>
      <c r="B29" s="94" t="s">
        <v>1480</v>
      </c>
      <c r="C29" s="24">
        <f t="shared" si="0"/>
        <v>91</v>
      </c>
      <c r="D29" s="24">
        <v>1</v>
      </c>
      <c r="G29" s="37" t="s">
        <v>158</v>
      </c>
      <c r="H29" s="24" t="s">
        <v>2363</v>
      </c>
      <c r="I29" s="24">
        <v>64277</v>
      </c>
      <c r="J29" s="24">
        <v>331</v>
      </c>
      <c r="K29" s="24" t="s">
        <v>21</v>
      </c>
      <c r="L29" s="24">
        <v>1</v>
      </c>
      <c r="M29" s="39">
        <v>3240000</v>
      </c>
      <c r="N29" s="39">
        <f t="shared" si="1"/>
        <v>3240000</v>
      </c>
      <c r="O29" s="24" t="s">
        <v>22</v>
      </c>
    </row>
    <row r="30" spans="1:15" ht="15" customHeight="1" x14ac:dyDescent="0.2">
      <c r="A30" s="24" t="s">
        <v>18</v>
      </c>
      <c r="B30" s="94" t="s">
        <v>1478</v>
      </c>
      <c r="C30" s="24">
        <f t="shared" si="0"/>
        <v>92</v>
      </c>
      <c r="D30" s="24">
        <v>1</v>
      </c>
      <c r="G30" s="37" t="s">
        <v>2361</v>
      </c>
      <c r="H30" s="24" t="s">
        <v>2372</v>
      </c>
      <c r="I30" s="24">
        <v>64277</v>
      </c>
      <c r="J30" s="24">
        <v>331</v>
      </c>
      <c r="K30" s="24" t="s">
        <v>21</v>
      </c>
      <c r="L30" s="24">
        <v>1</v>
      </c>
      <c r="M30" s="39">
        <v>500000</v>
      </c>
      <c r="N30" s="39">
        <f t="shared" si="1"/>
        <v>500000</v>
      </c>
      <c r="O30" s="24" t="s">
        <v>22</v>
      </c>
    </row>
    <row r="31" spans="1:15" ht="15" customHeight="1" x14ac:dyDescent="0.2">
      <c r="A31" s="24" t="s">
        <v>18</v>
      </c>
      <c r="B31" s="94" t="s">
        <v>2049</v>
      </c>
      <c r="C31" s="24">
        <f t="shared" si="0"/>
        <v>93</v>
      </c>
      <c r="D31" s="24">
        <v>1</v>
      </c>
      <c r="G31" s="37" t="s">
        <v>1607</v>
      </c>
      <c r="H31" s="24" t="s">
        <v>2373</v>
      </c>
      <c r="I31" s="24">
        <v>64277</v>
      </c>
      <c r="J31" s="24">
        <v>331</v>
      </c>
      <c r="K31" s="24" t="s">
        <v>21</v>
      </c>
      <c r="L31" s="24">
        <v>1</v>
      </c>
      <c r="M31" s="39">
        <v>500000</v>
      </c>
      <c r="N31" s="39">
        <f t="shared" si="1"/>
        <v>500000</v>
      </c>
      <c r="O31" s="24" t="s">
        <v>22</v>
      </c>
    </row>
    <row r="32" spans="1:15" ht="15" customHeight="1" x14ac:dyDescent="0.2">
      <c r="A32" s="24" t="s">
        <v>18</v>
      </c>
      <c r="B32" s="94" t="s">
        <v>1481</v>
      </c>
      <c r="C32" s="24">
        <f t="shared" si="0"/>
        <v>94</v>
      </c>
      <c r="D32" s="24">
        <v>1</v>
      </c>
      <c r="G32" s="37" t="s">
        <v>19</v>
      </c>
      <c r="H32" s="24" t="s">
        <v>2377</v>
      </c>
      <c r="I32" s="24">
        <v>64277</v>
      </c>
      <c r="J32" s="24">
        <v>331</v>
      </c>
      <c r="K32" s="24" t="s">
        <v>21</v>
      </c>
      <c r="L32" s="24">
        <v>1</v>
      </c>
      <c r="M32" s="39">
        <v>95000</v>
      </c>
      <c r="N32" s="39">
        <f t="shared" si="1"/>
        <v>95000</v>
      </c>
      <c r="O32" s="24" t="s">
        <v>22</v>
      </c>
    </row>
    <row r="33" spans="1:15" ht="15" customHeight="1" x14ac:dyDescent="0.2">
      <c r="A33" s="24" t="s">
        <v>18</v>
      </c>
      <c r="B33" s="94" t="s">
        <v>2359</v>
      </c>
      <c r="C33" s="24">
        <f t="shared" si="0"/>
        <v>95</v>
      </c>
      <c r="D33" s="24">
        <v>1</v>
      </c>
      <c r="G33" s="37" t="s">
        <v>19</v>
      </c>
      <c r="H33" s="24" t="s">
        <v>2378</v>
      </c>
      <c r="I33" s="24">
        <v>64277</v>
      </c>
      <c r="J33" s="24">
        <v>331</v>
      </c>
      <c r="K33" s="24" t="s">
        <v>21</v>
      </c>
      <c r="L33" s="24">
        <v>1</v>
      </c>
      <c r="M33" s="39">
        <v>179000</v>
      </c>
      <c r="N33" s="39">
        <f t="shared" si="1"/>
        <v>179000</v>
      </c>
      <c r="O33" s="24" t="s">
        <v>22</v>
      </c>
    </row>
    <row r="34" spans="1:15" ht="15" customHeight="1" x14ac:dyDescent="0.2">
      <c r="A34" s="24" t="s">
        <v>18</v>
      </c>
      <c r="B34" s="94" t="s">
        <v>2078</v>
      </c>
      <c r="C34" s="24">
        <f t="shared" si="0"/>
        <v>96</v>
      </c>
      <c r="D34" s="24">
        <v>1</v>
      </c>
      <c r="G34" s="37" t="s">
        <v>19</v>
      </c>
      <c r="H34" s="24" t="s">
        <v>2379</v>
      </c>
      <c r="I34" s="24">
        <v>64277</v>
      </c>
      <c r="J34" s="24">
        <v>331</v>
      </c>
      <c r="K34" s="24" t="s">
        <v>21</v>
      </c>
      <c r="L34" s="24">
        <v>1</v>
      </c>
      <c r="M34" s="39">
        <v>56000</v>
      </c>
      <c r="N34" s="39">
        <f t="shared" si="1"/>
        <v>56000</v>
      </c>
      <c r="O34" s="24" t="s">
        <v>22</v>
      </c>
    </row>
    <row r="35" spans="1:15" ht="15" customHeight="1" x14ac:dyDescent="0.2">
      <c r="A35" s="24" t="s">
        <v>18</v>
      </c>
      <c r="B35" s="94" t="s">
        <v>2233</v>
      </c>
      <c r="C35" s="24">
        <f t="shared" si="0"/>
        <v>97</v>
      </c>
      <c r="D35" s="24">
        <v>1</v>
      </c>
      <c r="G35" s="37" t="s">
        <v>1607</v>
      </c>
      <c r="H35" s="24" t="s">
        <v>2374</v>
      </c>
      <c r="I35" s="24">
        <v>64277</v>
      </c>
      <c r="J35" s="24">
        <v>331</v>
      </c>
      <c r="K35" s="24" t="s">
        <v>21</v>
      </c>
      <c r="L35" s="24">
        <v>1</v>
      </c>
      <c r="M35" s="39">
        <v>500000</v>
      </c>
      <c r="N35" s="39">
        <f t="shared" si="1"/>
        <v>500000</v>
      </c>
      <c r="O35" s="24" t="s">
        <v>22</v>
      </c>
    </row>
    <row r="36" spans="1:15" ht="15" customHeight="1" x14ac:dyDescent="0.2">
      <c r="A36" s="46" t="s">
        <v>18</v>
      </c>
      <c r="B36" s="93">
        <v>45869</v>
      </c>
      <c r="C36" s="24">
        <f t="shared" si="0"/>
        <v>98</v>
      </c>
      <c r="D36" s="24">
        <v>1</v>
      </c>
      <c r="E36" s="46"/>
      <c r="F36" s="46"/>
      <c r="G36" s="79" t="s">
        <v>146</v>
      </c>
      <c r="H36" s="46" t="s">
        <v>147</v>
      </c>
      <c r="I36" s="46">
        <v>64271</v>
      </c>
      <c r="J36" s="46">
        <v>3383</v>
      </c>
      <c r="K36" s="46" t="s">
        <v>21</v>
      </c>
      <c r="L36" s="46">
        <v>1</v>
      </c>
      <c r="M36" s="90">
        <v>690300</v>
      </c>
      <c r="N36" s="91">
        <f>L36*M36</f>
        <v>690300</v>
      </c>
      <c r="O36" s="24" t="s">
        <v>22</v>
      </c>
    </row>
    <row r="37" spans="1:15" ht="15" customHeight="1" x14ac:dyDescent="0.2">
      <c r="A37" s="46" t="s">
        <v>18</v>
      </c>
      <c r="B37" s="93">
        <v>45900</v>
      </c>
      <c r="C37" s="24">
        <f t="shared" si="0"/>
        <v>99</v>
      </c>
      <c r="D37" s="24">
        <v>1</v>
      </c>
      <c r="E37" s="46"/>
      <c r="F37" s="46"/>
      <c r="G37" s="79" t="s">
        <v>146</v>
      </c>
      <c r="H37" s="46" t="s">
        <v>280</v>
      </c>
      <c r="I37" s="46">
        <v>64271</v>
      </c>
      <c r="J37" s="46">
        <v>3383</v>
      </c>
      <c r="K37" s="46" t="s">
        <v>21</v>
      </c>
      <c r="L37" s="46">
        <v>1</v>
      </c>
      <c r="M37" s="90">
        <v>690300</v>
      </c>
      <c r="N37" s="91">
        <f>L37*M37</f>
        <v>690300</v>
      </c>
      <c r="O37" s="24" t="s">
        <v>22</v>
      </c>
    </row>
    <row r="38" spans="1:15" ht="15" customHeight="1" x14ac:dyDescent="0.2">
      <c r="A38" s="46" t="s">
        <v>18</v>
      </c>
      <c r="B38" s="93">
        <v>45930</v>
      </c>
      <c r="C38" s="24">
        <f t="shared" si="0"/>
        <v>100</v>
      </c>
      <c r="D38" s="24">
        <v>1</v>
      </c>
      <c r="E38" s="46"/>
      <c r="F38" s="46"/>
      <c r="G38" s="79" t="s">
        <v>146</v>
      </c>
      <c r="H38" s="46" t="s">
        <v>367</v>
      </c>
      <c r="I38" s="46">
        <v>64271</v>
      </c>
      <c r="J38" s="46">
        <v>3383</v>
      </c>
      <c r="K38" s="46" t="s">
        <v>21</v>
      </c>
      <c r="L38" s="46">
        <v>1</v>
      </c>
      <c r="M38" s="90">
        <v>690300</v>
      </c>
      <c r="N38" s="91">
        <f>L38*M38</f>
        <v>690300</v>
      </c>
      <c r="O38" s="24" t="s">
        <v>22</v>
      </c>
    </row>
    <row r="39" spans="1:15" ht="15" customHeight="1" x14ac:dyDescent="0.2">
      <c r="A39" s="24" t="s">
        <v>33</v>
      </c>
      <c r="B39" s="95">
        <v>45839</v>
      </c>
      <c r="C39" s="24">
        <f t="shared" si="0"/>
        <v>101</v>
      </c>
      <c r="D39" s="24">
        <v>1</v>
      </c>
      <c r="G39" s="37" t="s">
        <v>1812</v>
      </c>
      <c r="H39" s="24" t="s">
        <v>2380</v>
      </c>
      <c r="I39" s="24">
        <v>112111</v>
      </c>
      <c r="J39" s="24">
        <v>131</v>
      </c>
      <c r="K39" s="46" t="s">
        <v>21</v>
      </c>
      <c r="L39" s="46">
        <v>1</v>
      </c>
      <c r="M39" s="39">
        <v>5388871</v>
      </c>
      <c r="N39" s="91">
        <f t="shared" ref="N39:N56" si="2">L39*M39</f>
        <v>5388871</v>
      </c>
      <c r="O39" s="24" t="s">
        <v>22</v>
      </c>
    </row>
    <row r="40" spans="1:15" ht="15" customHeight="1" x14ac:dyDescent="0.2">
      <c r="A40" s="24" t="s">
        <v>33</v>
      </c>
      <c r="B40" s="95">
        <v>45839</v>
      </c>
      <c r="C40" s="24">
        <f t="shared" si="0"/>
        <v>102</v>
      </c>
      <c r="D40" s="24">
        <v>1</v>
      </c>
      <c r="G40" s="37" t="s">
        <v>1812</v>
      </c>
      <c r="H40" s="24" t="s">
        <v>2381</v>
      </c>
      <c r="I40" s="24">
        <v>112111</v>
      </c>
      <c r="J40" s="24">
        <v>131</v>
      </c>
      <c r="K40" s="46" t="s">
        <v>21</v>
      </c>
      <c r="L40" s="46">
        <v>1</v>
      </c>
      <c r="M40" s="39">
        <v>13155443</v>
      </c>
      <c r="N40" s="91">
        <f t="shared" si="2"/>
        <v>13155443</v>
      </c>
      <c r="O40" s="24" t="s">
        <v>22</v>
      </c>
    </row>
    <row r="41" spans="1:15" ht="15" customHeight="1" x14ac:dyDescent="0.2">
      <c r="A41" s="24" t="s">
        <v>33</v>
      </c>
      <c r="B41" s="95">
        <v>45839</v>
      </c>
      <c r="C41" s="24">
        <f t="shared" si="0"/>
        <v>103</v>
      </c>
      <c r="D41" s="24">
        <v>1</v>
      </c>
      <c r="G41" s="37" t="s">
        <v>1812</v>
      </c>
      <c r="H41" s="24" t="s">
        <v>2382</v>
      </c>
      <c r="I41" s="24">
        <v>112111</v>
      </c>
      <c r="J41" s="24">
        <v>131</v>
      </c>
      <c r="K41" s="46" t="s">
        <v>21</v>
      </c>
      <c r="L41" s="46">
        <v>1</v>
      </c>
      <c r="M41" s="39">
        <v>23100000</v>
      </c>
      <c r="N41" s="91">
        <f t="shared" si="2"/>
        <v>23100000</v>
      </c>
      <c r="O41" s="24" t="s">
        <v>22</v>
      </c>
    </row>
    <row r="42" spans="1:15" ht="15" customHeight="1" x14ac:dyDescent="0.2">
      <c r="A42" s="24" t="s">
        <v>89</v>
      </c>
      <c r="B42" s="95">
        <v>45850</v>
      </c>
      <c r="C42" s="24">
        <f t="shared" si="0"/>
        <v>104</v>
      </c>
      <c r="D42" s="24">
        <v>1</v>
      </c>
      <c r="G42" s="37" t="s">
        <v>2383</v>
      </c>
      <c r="H42" s="42" t="s">
        <v>1008</v>
      </c>
      <c r="I42" s="24">
        <v>1111</v>
      </c>
      <c r="J42" s="24">
        <v>112111</v>
      </c>
      <c r="K42" s="46" t="s">
        <v>21</v>
      </c>
      <c r="L42" s="46">
        <v>1</v>
      </c>
      <c r="M42" s="38">
        <v>404180</v>
      </c>
      <c r="N42" s="86">
        <f t="shared" si="2"/>
        <v>404180</v>
      </c>
      <c r="O42" s="24" t="s">
        <v>22</v>
      </c>
    </row>
    <row r="43" spans="1:15" ht="15" customHeight="1" x14ac:dyDescent="0.2">
      <c r="A43" s="24" t="s">
        <v>33</v>
      </c>
      <c r="B43" s="95">
        <v>45864</v>
      </c>
      <c r="C43" s="24">
        <f t="shared" si="0"/>
        <v>105</v>
      </c>
      <c r="D43" s="24">
        <v>1</v>
      </c>
      <c r="G43" s="37" t="s">
        <v>2384</v>
      </c>
      <c r="H43" s="24" t="s">
        <v>129</v>
      </c>
      <c r="I43" s="24">
        <v>112111</v>
      </c>
      <c r="J43" s="24">
        <v>5154</v>
      </c>
      <c r="K43" s="46" t="s">
        <v>21</v>
      </c>
      <c r="L43" s="46">
        <v>1</v>
      </c>
      <c r="M43" s="38">
        <v>1932</v>
      </c>
      <c r="N43" s="86">
        <f t="shared" si="2"/>
        <v>1932</v>
      </c>
      <c r="O43" s="24" t="s">
        <v>22</v>
      </c>
    </row>
    <row r="44" spans="1:15" ht="15" customHeight="1" x14ac:dyDescent="0.2">
      <c r="A44" s="24" t="s">
        <v>89</v>
      </c>
      <c r="B44" s="95">
        <v>45866</v>
      </c>
      <c r="C44" s="24">
        <f t="shared" si="0"/>
        <v>106</v>
      </c>
      <c r="D44" s="24">
        <v>1</v>
      </c>
      <c r="G44" s="37" t="s">
        <v>2383</v>
      </c>
      <c r="H44" s="42" t="s">
        <v>1008</v>
      </c>
      <c r="I44" s="24">
        <v>1111</v>
      </c>
      <c r="J44" s="24">
        <v>112111</v>
      </c>
      <c r="K44" s="46" t="s">
        <v>21</v>
      </c>
      <c r="L44" s="46">
        <v>1</v>
      </c>
      <c r="M44" s="39">
        <v>1300000</v>
      </c>
      <c r="N44" s="91">
        <f t="shared" si="2"/>
        <v>1300000</v>
      </c>
      <c r="O44" s="24" t="s">
        <v>22</v>
      </c>
    </row>
    <row r="45" spans="1:15" ht="15" customHeight="1" x14ac:dyDescent="0.2">
      <c r="A45" s="24" t="s">
        <v>33</v>
      </c>
      <c r="B45" s="95">
        <v>45868</v>
      </c>
      <c r="C45" s="24">
        <f t="shared" si="0"/>
        <v>107</v>
      </c>
      <c r="D45" s="24">
        <v>1</v>
      </c>
      <c r="G45" s="37" t="s">
        <v>1812</v>
      </c>
      <c r="H45" s="24" t="s">
        <v>2385</v>
      </c>
      <c r="I45" s="24">
        <v>112111</v>
      </c>
      <c r="J45" s="24">
        <v>131</v>
      </c>
      <c r="K45" s="46" t="s">
        <v>21</v>
      </c>
      <c r="L45" s="46">
        <v>1</v>
      </c>
      <c r="M45" s="39">
        <v>6680000</v>
      </c>
      <c r="N45" s="91">
        <f t="shared" si="2"/>
        <v>6680000</v>
      </c>
      <c r="O45" s="24" t="s">
        <v>22</v>
      </c>
    </row>
    <row r="46" spans="1:15" ht="15" customHeight="1" x14ac:dyDescent="0.2">
      <c r="A46" s="24" t="s">
        <v>33</v>
      </c>
      <c r="B46" s="95">
        <v>45868</v>
      </c>
      <c r="C46" s="24">
        <f t="shared" si="0"/>
        <v>108</v>
      </c>
      <c r="D46" s="24">
        <v>1</v>
      </c>
      <c r="G46" s="37" t="s">
        <v>1812</v>
      </c>
      <c r="H46" s="24" t="s">
        <v>2386</v>
      </c>
      <c r="I46" s="24">
        <v>112111</v>
      </c>
      <c r="J46" s="24">
        <v>131</v>
      </c>
      <c r="K46" s="46" t="s">
        <v>21</v>
      </c>
      <c r="L46" s="46">
        <v>1</v>
      </c>
      <c r="M46" s="39">
        <v>42000000</v>
      </c>
      <c r="N46" s="91">
        <f t="shared" si="2"/>
        <v>42000000</v>
      </c>
      <c r="O46" s="24" t="s">
        <v>22</v>
      </c>
    </row>
    <row r="47" spans="1:15" ht="15" customHeight="1" x14ac:dyDescent="0.2">
      <c r="A47" s="24" t="s">
        <v>89</v>
      </c>
      <c r="B47" s="95">
        <v>45868</v>
      </c>
      <c r="C47" s="24">
        <f t="shared" si="0"/>
        <v>109</v>
      </c>
      <c r="D47" s="24">
        <v>1</v>
      </c>
      <c r="G47" s="79" t="s">
        <v>146</v>
      </c>
      <c r="H47" s="46" t="s">
        <v>604</v>
      </c>
      <c r="I47" s="46">
        <v>3383</v>
      </c>
      <c r="J47" s="24">
        <v>112111</v>
      </c>
      <c r="K47" s="46" t="s">
        <v>21</v>
      </c>
      <c r="L47" s="46">
        <v>1</v>
      </c>
      <c r="M47" s="90">
        <v>690300</v>
      </c>
      <c r="N47" s="91">
        <f t="shared" si="2"/>
        <v>690300</v>
      </c>
      <c r="O47" s="24" t="s">
        <v>22</v>
      </c>
    </row>
    <row r="48" spans="1:15" ht="15" customHeight="1" x14ac:dyDescent="0.2">
      <c r="A48" s="24" t="s">
        <v>18</v>
      </c>
      <c r="B48" s="95">
        <v>45869</v>
      </c>
      <c r="C48" s="24">
        <f t="shared" si="0"/>
        <v>110</v>
      </c>
      <c r="D48" s="24">
        <v>1</v>
      </c>
      <c r="G48" s="15" t="s">
        <v>252</v>
      </c>
      <c r="H48" s="13" t="s">
        <v>1578</v>
      </c>
      <c r="I48" s="24">
        <v>131</v>
      </c>
      <c r="J48" s="24">
        <v>5113</v>
      </c>
      <c r="K48" s="46" t="s">
        <v>21</v>
      </c>
      <c r="L48" s="46">
        <v>1</v>
      </c>
      <c r="M48" s="39">
        <v>5649564</v>
      </c>
      <c r="N48" s="91">
        <f t="shared" si="2"/>
        <v>5649564</v>
      </c>
      <c r="O48" s="24" t="s">
        <v>22</v>
      </c>
    </row>
    <row r="49" spans="1:15" ht="15" customHeight="1" x14ac:dyDescent="0.2">
      <c r="A49" s="24" t="s">
        <v>33</v>
      </c>
      <c r="B49" s="95">
        <v>45869</v>
      </c>
      <c r="C49" s="24">
        <f t="shared" si="0"/>
        <v>111</v>
      </c>
      <c r="D49" s="24">
        <v>1</v>
      </c>
      <c r="G49" s="15" t="s">
        <v>252</v>
      </c>
      <c r="H49" s="13" t="s">
        <v>1579</v>
      </c>
      <c r="I49" s="24">
        <v>112111</v>
      </c>
      <c r="J49" s="24">
        <v>131</v>
      </c>
      <c r="K49" s="46" t="s">
        <v>21</v>
      </c>
      <c r="L49" s="46">
        <v>1</v>
      </c>
      <c r="M49" s="39">
        <v>5649564</v>
      </c>
      <c r="N49" s="91">
        <f t="shared" si="2"/>
        <v>5649564</v>
      </c>
      <c r="O49" s="24" t="s">
        <v>22</v>
      </c>
    </row>
    <row r="50" spans="1:15" ht="15" customHeight="1" x14ac:dyDescent="0.2">
      <c r="A50" s="24" t="s">
        <v>89</v>
      </c>
      <c r="B50" s="95">
        <v>45869</v>
      </c>
      <c r="C50" s="24">
        <f t="shared" si="0"/>
        <v>112</v>
      </c>
      <c r="D50" s="24">
        <v>1</v>
      </c>
      <c r="G50" s="37" t="s">
        <v>2383</v>
      </c>
      <c r="H50" s="42" t="s">
        <v>1008</v>
      </c>
      <c r="I50" s="24">
        <v>1111</v>
      </c>
      <c r="J50" s="24">
        <v>112111</v>
      </c>
      <c r="K50" s="46" t="s">
        <v>21</v>
      </c>
      <c r="L50" s="46">
        <v>1</v>
      </c>
      <c r="M50" s="39">
        <v>83369000</v>
      </c>
      <c r="N50" s="91">
        <f t="shared" si="2"/>
        <v>83369000</v>
      </c>
      <c r="O50" s="24" t="s">
        <v>22</v>
      </c>
    </row>
    <row r="51" spans="1:15" ht="15" customHeight="1" x14ac:dyDescent="0.2">
      <c r="A51" s="24" t="s">
        <v>89</v>
      </c>
      <c r="B51" s="95">
        <v>45869</v>
      </c>
      <c r="C51" s="24">
        <f t="shared" si="0"/>
        <v>113</v>
      </c>
      <c r="D51" s="24">
        <v>1</v>
      </c>
      <c r="G51" s="37" t="s">
        <v>2383</v>
      </c>
      <c r="H51" s="42" t="s">
        <v>1008</v>
      </c>
      <c r="I51" s="24">
        <v>1111</v>
      </c>
      <c r="J51" s="24">
        <v>112111</v>
      </c>
      <c r="K51" s="46" t="s">
        <v>21</v>
      </c>
      <c r="L51" s="46">
        <v>1</v>
      </c>
      <c r="M51" s="39">
        <v>4051000</v>
      </c>
      <c r="N51" s="91">
        <f t="shared" si="2"/>
        <v>4051000</v>
      </c>
      <c r="O51" s="24" t="s">
        <v>22</v>
      </c>
    </row>
    <row r="52" spans="1:15" ht="15" customHeight="1" x14ac:dyDescent="0.2">
      <c r="A52" s="24" t="s">
        <v>89</v>
      </c>
      <c r="B52" s="95">
        <v>45870</v>
      </c>
      <c r="C52" s="24">
        <f t="shared" si="0"/>
        <v>114</v>
      </c>
      <c r="D52" s="24">
        <v>1</v>
      </c>
      <c r="G52" s="37" t="s">
        <v>2383</v>
      </c>
      <c r="H52" s="42" t="s">
        <v>1008</v>
      </c>
      <c r="I52" s="24">
        <v>1111</v>
      </c>
      <c r="J52" s="24">
        <v>112111</v>
      </c>
      <c r="K52" s="46" t="s">
        <v>21</v>
      </c>
      <c r="L52" s="46">
        <v>1</v>
      </c>
      <c r="M52" s="39">
        <v>12727950</v>
      </c>
      <c r="N52" s="91">
        <f t="shared" si="2"/>
        <v>12727950</v>
      </c>
      <c r="O52" s="24" t="s">
        <v>22</v>
      </c>
    </row>
    <row r="53" spans="1:15" ht="15" customHeight="1" x14ac:dyDescent="0.2">
      <c r="A53" s="24" t="s">
        <v>33</v>
      </c>
      <c r="B53" s="95">
        <v>45881</v>
      </c>
      <c r="C53" s="24">
        <f t="shared" si="0"/>
        <v>115</v>
      </c>
      <c r="D53" s="24">
        <v>1</v>
      </c>
      <c r="G53" s="37" t="s">
        <v>1812</v>
      </c>
      <c r="H53" s="24" t="s">
        <v>2387</v>
      </c>
      <c r="I53" s="24">
        <v>112111</v>
      </c>
      <c r="J53" s="24">
        <v>131</v>
      </c>
      <c r="K53" s="46" t="s">
        <v>21</v>
      </c>
      <c r="L53" s="46">
        <v>1</v>
      </c>
      <c r="M53" s="39">
        <v>5950000</v>
      </c>
      <c r="N53" s="91">
        <f t="shared" si="2"/>
        <v>5950000</v>
      </c>
      <c r="O53" s="24" t="s">
        <v>22</v>
      </c>
    </row>
    <row r="54" spans="1:15" ht="15" customHeight="1" x14ac:dyDescent="0.2">
      <c r="A54" s="24" t="s">
        <v>33</v>
      </c>
      <c r="B54" s="95">
        <v>45897</v>
      </c>
      <c r="C54" s="24">
        <f t="shared" si="0"/>
        <v>116</v>
      </c>
      <c r="D54" s="24">
        <v>1</v>
      </c>
      <c r="G54" s="37" t="s">
        <v>267</v>
      </c>
      <c r="H54" s="24" t="s">
        <v>1531</v>
      </c>
      <c r="I54" s="24">
        <v>112111</v>
      </c>
      <c r="J54" s="24">
        <v>3388</v>
      </c>
      <c r="K54" s="46" t="s">
        <v>21</v>
      </c>
      <c r="L54" s="46">
        <v>1</v>
      </c>
      <c r="M54" s="39">
        <v>5534000</v>
      </c>
      <c r="N54" s="91">
        <f t="shared" si="2"/>
        <v>5534000</v>
      </c>
      <c r="O54" s="24" t="s">
        <v>22</v>
      </c>
    </row>
    <row r="55" spans="1:15" ht="15" customHeight="1" x14ac:dyDescent="0.2">
      <c r="A55" s="24" t="s">
        <v>89</v>
      </c>
      <c r="B55" s="95">
        <v>45897</v>
      </c>
      <c r="C55" s="24">
        <f t="shared" si="0"/>
        <v>117</v>
      </c>
      <c r="D55" s="24">
        <v>1</v>
      </c>
      <c r="G55" s="37" t="s">
        <v>267</v>
      </c>
      <c r="H55" s="24" t="s">
        <v>2388</v>
      </c>
      <c r="I55" s="24">
        <v>3388</v>
      </c>
      <c r="J55" s="24">
        <v>112111</v>
      </c>
      <c r="K55" s="46" t="s">
        <v>21</v>
      </c>
      <c r="L55" s="46">
        <v>1</v>
      </c>
      <c r="M55" s="39">
        <v>5534000</v>
      </c>
      <c r="N55" s="91">
        <f t="shared" si="2"/>
        <v>5534000</v>
      </c>
      <c r="O55" s="24" t="s">
        <v>22</v>
      </c>
    </row>
    <row r="56" spans="1:15" ht="15" customHeight="1" x14ac:dyDescent="0.2">
      <c r="A56" s="24" t="s">
        <v>89</v>
      </c>
      <c r="B56" s="95">
        <v>45897</v>
      </c>
      <c r="C56" s="24">
        <f t="shared" si="0"/>
        <v>118</v>
      </c>
      <c r="D56" s="24">
        <v>1</v>
      </c>
      <c r="G56" s="37" t="s">
        <v>2383</v>
      </c>
      <c r="H56" s="42" t="s">
        <v>1008</v>
      </c>
      <c r="I56" s="24">
        <v>1111</v>
      </c>
      <c r="J56" s="24">
        <v>112111</v>
      </c>
      <c r="K56" s="46" t="s">
        <v>21</v>
      </c>
      <c r="L56" s="46">
        <v>1</v>
      </c>
      <c r="M56" s="39">
        <v>5534000</v>
      </c>
      <c r="N56" s="91">
        <f t="shared" si="2"/>
        <v>5534000</v>
      </c>
      <c r="O56" s="24" t="s">
        <v>22</v>
      </c>
    </row>
    <row r="57" spans="1:15" ht="15" customHeight="1" x14ac:dyDescent="0.2">
      <c r="A57" s="24" t="s">
        <v>18</v>
      </c>
      <c r="B57" s="95">
        <v>45899</v>
      </c>
      <c r="C57" s="24">
        <f t="shared" si="0"/>
        <v>119</v>
      </c>
      <c r="D57" s="24">
        <v>1</v>
      </c>
      <c r="G57" s="15" t="s">
        <v>252</v>
      </c>
      <c r="H57" s="13" t="s">
        <v>1578</v>
      </c>
      <c r="I57" s="24">
        <v>131</v>
      </c>
      <c r="J57" s="24">
        <v>5113</v>
      </c>
      <c r="K57" s="46" t="s">
        <v>21</v>
      </c>
      <c r="L57" s="46">
        <v>1</v>
      </c>
      <c r="M57" s="39">
        <v>2125740</v>
      </c>
      <c r="N57" s="91">
        <f t="shared" ref="N57:N85" si="3">L57*M57</f>
        <v>2125740</v>
      </c>
      <c r="O57" s="24" t="s">
        <v>22</v>
      </c>
    </row>
    <row r="58" spans="1:15" ht="15" customHeight="1" x14ac:dyDescent="0.2">
      <c r="A58" s="24" t="s">
        <v>33</v>
      </c>
      <c r="B58" s="95">
        <v>45899</v>
      </c>
      <c r="C58" s="24">
        <f t="shared" si="0"/>
        <v>120</v>
      </c>
      <c r="D58" s="24">
        <v>1</v>
      </c>
      <c r="G58" s="15" t="s">
        <v>252</v>
      </c>
      <c r="H58" s="13" t="s">
        <v>1579</v>
      </c>
      <c r="I58" s="24">
        <v>112111</v>
      </c>
      <c r="J58" s="24">
        <v>131</v>
      </c>
      <c r="K58" s="46" t="s">
        <v>21</v>
      </c>
      <c r="L58" s="46">
        <v>1</v>
      </c>
      <c r="M58" s="39">
        <v>2125740</v>
      </c>
      <c r="N58" s="91">
        <f t="shared" si="3"/>
        <v>2125740</v>
      </c>
      <c r="O58" s="24" t="s">
        <v>22</v>
      </c>
    </row>
    <row r="59" spans="1:15" ht="15" customHeight="1" x14ac:dyDescent="0.2">
      <c r="A59" s="24" t="s">
        <v>89</v>
      </c>
      <c r="B59" s="95">
        <v>45899</v>
      </c>
      <c r="C59" s="24">
        <f t="shared" si="0"/>
        <v>121</v>
      </c>
      <c r="D59" s="24">
        <v>1</v>
      </c>
      <c r="G59" s="37" t="s">
        <v>2383</v>
      </c>
      <c r="H59" s="42" t="s">
        <v>1008</v>
      </c>
      <c r="I59" s="24">
        <v>1111</v>
      </c>
      <c r="J59" s="24">
        <v>112111</v>
      </c>
      <c r="K59" s="46" t="s">
        <v>21</v>
      </c>
      <c r="L59" s="46">
        <v>1</v>
      </c>
      <c r="M59" s="39">
        <v>1269000</v>
      </c>
      <c r="N59" s="91">
        <f t="shared" si="3"/>
        <v>1269000</v>
      </c>
      <c r="O59" s="24" t="s">
        <v>22</v>
      </c>
    </row>
    <row r="60" spans="1:15" ht="15" customHeight="1" x14ac:dyDescent="0.2">
      <c r="A60" s="24" t="s">
        <v>89</v>
      </c>
      <c r="B60" s="95">
        <v>45899</v>
      </c>
      <c r="C60" s="24">
        <f t="shared" si="0"/>
        <v>122</v>
      </c>
      <c r="D60" s="24">
        <v>1</v>
      </c>
      <c r="G60" s="79" t="s">
        <v>146</v>
      </c>
      <c r="H60" s="46" t="s">
        <v>281</v>
      </c>
      <c r="I60" s="46">
        <v>3383</v>
      </c>
      <c r="J60" s="24">
        <v>112111</v>
      </c>
      <c r="K60" s="46" t="s">
        <v>21</v>
      </c>
      <c r="L60" s="46">
        <v>1</v>
      </c>
      <c r="M60" s="39">
        <v>690300</v>
      </c>
      <c r="N60" s="91">
        <f t="shared" si="3"/>
        <v>690300</v>
      </c>
      <c r="O60" s="24" t="s">
        <v>22</v>
      </c>
    </row>
    <row r="61" spans="1:15" ht="15" customHeight="1" x14ac:dyDescent="0.2">
      <c r="A61" s="24" t="s">
        <v>33</v>
      </c>
      <c r="B61" s="95">
        <v>45899</v>
      </c>
      <c r="C61" s="24">
        <f t="shared" si="0"/>
        <v>123</v>
      </c>
      <c r="D61" s="24">
        <v>1</v>
      </c>
      <c r="G61" s="37" t="s">
        <v>2384</v>
      </c>
      <c r="H61" s="24" t="s">
        <v>129</v>
      </c>
      <c r="I61" s="24">
        <v>112111</v>
      </c>
      <c r="J61" s="24">
        <v>5154</v>
      </c>
      <c r="K61" s="46" t="s">
        <v>21</v>
      </c>
      <c r="L61" s="46">
        <v>1</v>
      </c>
      <c r="M61" s="38">
        <v>658</v>
      </c>
      <c r="N61" s="86">
        <f t="shared" si="3"/>
        <v>658</v>
      </c>
      <c r="O61" s="24" t="s">
        <v>22</v>
      </c>
    </row>
    <row r="62" spans="1:15" ht="15" customHeight="1" x14ac:dyDescent="0.2">
      <c r="A62" s="24" t="s">
        <v>33</v>
      </c>
      <c r="B62" s="95">
        <v>45904</v>
      </c>
      <c r="C62" s="24">
        <f t="shared" si="0"/>
        <v>124</v>
      </c>
      <c r="D62" s="24">
        <v>1</v>
      </c>
      <c r="G62" s="37" t="s">
        <v>1812</v>
      </c>
      <c r="H62" s="24" t="s">
        <v>2389</v>
      </c>
      <c r="I62" s="24">
        <v>112111</v>
      </c>
      <c r="J62" s="24">
        <v>131</v>
      </c>
      <c r="K62" s="46" t="s">
        <v>21</v>
      </c>
      <c r="L62" s="46">
        <v>1</v>
      </c>
      <c r="M62" s="39">
        <v>24500000</v>
      </c>
      <c r="N62" s="91">
        <f t="shared" si="3"/>
        <v>24500000</v>
      </c>
      <c r="O62" s="24" t="s">
        <v>22</v>
      </c>
    </row>
    <row r="63" spans="1:15" ht="15" customHeight="1" x14ac:dyDescent="0.2">
      <c r="A63" s="24" t="s">
        <v>33</v>
      </c>
      <c r="B63" s="95">
        <v>45904</v>
      </c>
      <c r="C63" s="24">
        <f t="shared" si="0"/>
        <v>125</v>
      </c>
      <c r="D63" s="24">
        <v>1</v>
      </c>
      <c r="G63" s="37" t="s">
        <v>1812</v>
      </c>
      <c r="H63" s="24" t="s">
        <v>2390</v>
      </c>
      <c r="I63" s="24">
        <v>112111</v>
      </c>
      <c r="J63" s="24">
        <v>131</v>
      </c>
      <c r="K63" s="46" t="s">
        <v>21</v>
      </c>
      <c r="L63" s="46">
        <v>1</v>
      </c>
      <c r="M63" s="39">
        <v>13991223</v>
      </c>
      <c r="N63" s="91">
        <f t="shared" si="3"/>
        <v>13991223</v>
      </c>
      <c r="O63" s="24" t="s">
        <v>22</v>
      </c>
    </row>
    <row r="64" spans="1:15" ht="15" customHeight="1" x14ac:dyDescent="0.2">
      <c r="A64" s="24" t="s">
        <v>33</v>
      </c>
      <c r="B64" s="95">
        <v>45904</v>
      </c>
      <c r="C64" s="24">
        <f t="shared" si="0"/>
        <v>126</v>
      </c>
      <c r="D64" s="24">
        <v>1</v>
      </c>
      <c r="G64" s="37" t="s">
        <v>1812</v>
      </c>
      <c r="H64" s="24" t="s">
        <v>2391</v>
      </c>
      <c r="I64" s="24">
        <v>112111</v>
      </c>
      <c r="J64" s="24">
        <v>131</v>
      </c>
      <c r="K64" s="46" t="s">
        <v>21</v>
      </c>
      <c r="L64" s="46">
        <v>1</v>
      </c>
      <c r="M64" s="39">
        <v>3883600</v>
      </c>
      <c r="N64" s="91">
        <f t="shared" si="3"/>
        <v>3883600</v>
      </c>
      <c r="O64" s="24" t="s">
        <v>22</v>
      </c>
    </row>
    <row r="65" spans="1:15" ht="15" customHeight="1" x14ac:dyDescent="0.2">
      <c r="A65" s="24" t="s">
        <v>89</v>
      </c>
      <c r="B65" s="95">
        <v>45904</v>
      </c>
      <c r="C65" s="24">
        <f t="shared" si="0"/>
        <v>127</v>
      </c>
      <c r="D65" s="24">
        <v>1</v>
      </c>
      <c r="G65" s="37" t="s">
        <v>2383</v>
      </c>
      <c r="H65" s="42" t="s">
        <v>1008</v>
      </c>
      <c r="I65" s="24">
        <v>1111</v>
      </c>
      <c r="J65" s="24">
        <v>112111</v>
      </c>
      <c r="K65" s="46" t="s">
        <v>21</v>
      </c>
      <c r="L65" s="46">
        <v>1</v>
      </c>
      <c r="M65" s="39">
        <v>39410000</v>
      </c>
      <c r="N65" s="91">
        <f t="shared" si="3"/>
        <v>39410000</v>
      </c>
      <c r="O65" s="24" t="s">
        <v>22</v>
      </c>
    </row>
    <row r="66" spans="1:15" ht="15" customHeight="1" x14ac:dyDescent="0.2">
      <c r="A66" s="24" t="s">
        <v>89</v>
      </c>
      <c r="B66" s="95">
        <v>45913</v>
      </c>
      <c r="C66" s="24">
        <f t="shared" si="0"/>
        <v>128</v>
      </c>
      <c r="D66" s="24">
        <v>1</v>
      </c>
      <c r="G66" s="37" t="s">
        <v>2383</v>
      </c>
      <c r="H66" s="42" t="s">
        <v>1008</v>
      </c>
      <c r="I66" s="24">
        <v>1111</v>
      </c>
      <c r="J66" s="24">
        <v>112111</v>
      </c>
      <c r="K66" s="46" t="s">
        <v>21</v>
      </c>
      <c r="L66" s="46">
        <v>1</v>
      </c>
      <c r="M66" s="39">
        <v>1000000</v>
      </c>
      <c r="N66" s="91">
        <f t="shared" si="3"/>
        <v>1000000</v>
      </c>
      <c r="O66" s="24" t="s">
        <v>22</v>
      </c>
    </row>
    <row r="67" spans="1:15" ht="15" customHeight="1" x14ac:dyDescent="0.2">
      <c r="A67" s="24" t="s">
        <v>33</v>
      </c>
      <c r="B67" s="95">
        <v>45927</v>
      </c>
      <c r="C67" s="24">
        <f t="shared" si="0"/>
        <v>129</v>
      </c>
      <c r="D67" s="24">
        <v>1</v>
      </c>
      <c r="G67" s="37" t="s">
        <v>2384</v>
      </c>
      <c r="H67" s="24" t="s">
        <v>129</v>
      </c>
      <c r="I67" s="24">
        <v>112111</v>
      </c>
      <c r="J67" s="24">
        <v>5154</v>
      </c>
      <c r="K67" s="46" t="s">
        <v>21</v>
      </c>
      <c r="L67" s="46">
        <v>1</v>
      </c>
      <c r="M67" s="39">
        <v>247</v>
      </c>
      <c r="N67" s="91">
        <f t="shared" si="3"/>
        <v>247</v>
      </c>
      <c r="O67" s="24" t="s">
        <v>22</v>
      </c>
    </row>
    <row r="68" spans="1:15" ht="15" customHeight="1" x14ac:dyDescent="0.2">
      <c r="A68" s="24" t="s">
        <v>368</v>
      </c>
      <c r="B68" s="94" t="s">
        <v>2354</v>
      </c>
      <c r="C68" s="24">
        <f t="shared" si="0"/>
        <v>130</v>
      </c>
      <c r="D68" s="24">
        <v>1</v>
      </c>
      <c r="G68" s="37" t="s">
        <v>1607</v>
      </c>
      <c r="H68" s="24" t="s">
        <v>2392</v>
      </c>
      <c r="I68" s="24">
        <v>331</v>
      </c>
      <c r="J68" s="24">
        <v>1111</v>
      </c>
      <c r="K68" s="24" t="s">
        <v>21</v>
      </c>
      <c r="L68" s="24">
        <v>1</v>
      </c>
      <c r="M68" s="39">
        <v>500000</v>
      </c>
      <c r="N68" s="39">
        <f t="shared" si="3"/>
        <v>500000</v>
      </c>
      <c r="O68" s="24" t="s">
        <v>22</v>
      </c>
    </row>
    <row r="69" spans="1:15" ht="15" customHeight="1" x14ac:dyDescent="0.2">
      <c r="A69" s="24" t="s">
        <v>368</v>
      </c>
      <c r="B69" s="94" t="s">
        <v>2355</v>
      </c>
      <c r="C69" s="24">
        <f t="shared" ref="C69:C85" si="4">C68+D69</f>
        <v>131</v>
      </c>
      <c r="D69" s="24">
        <v>1</v>
      </c>
      <c r="G69" s="37" t="s">
        <v>1976</v>
      </c>
      <c r="H69" s="24" t="s">
        <v>2393</v>
      </c>
      <c r="I69" s="24">
        <v>331</v>
      </c>
      <c r="J69" s="24">
        <v>1111</v>
      </c>
      <c r="K69" s="24" t="s">
        <v>21</v>
      </c>
      <c r="L69" s="24">
        <v>1</v>
      </c>
      <c r="M69" s="39">
        <v>500000</v>
      </c>
      <c r="N69" s="39">
        <f t="shared" si="3"/>
        <v>500000</v>
      </c>
      <c r="O69" s="24" t="s">
        <v>22</v>
      </c>
    </row>
    <row r="70" spans="1:15" ht="15" customHeight="1" x14ac:dyDescent="0.2">
      <c r="A70" s="24" t="s">
        <v>368</v>
      </c>
      <c r="B70" s="94" t="s">
        <v>2356</v>
      </c>
      <c r="C70" s="24">
        <f t="shared" si="4"/>
        <v>132</v>
      </c>
      <c r="D70" s="24">
        <v>1</v>
      </c>
      <c r="G70" s="37" t="s">
        <v>1725</v>
      </c>
      <c r="H70" s="24" t="s">
        <v>2394</v>
      </c>
      <c r="I70" s="24">
        <v>331</v>
      </c>
      <c r="J70" s="24">
        <v>1111</v>
      </c>
      <c r="K70" s="24" t="s">
        <v>21</v>
      </c>
      <c r="L70" s="24">
        <v>1</v>
      </c>
      <c r="M70" s="39">
        <v>500000</v>
      </c>
      <c r="N70" s="39">
        <f t="shared" si="3"/>
        <v>500000</v>
      </c>
      <c r="O70" s="24" t="s">
        <v>22</v>
      </c>
    </row>
    <row r="71" spans="1:15" ht="15" customHeight="1" x14ac:dyDescent="0.2">
      <c r="A71" s="24" t="s">
        <v>368</v>
      </c>
      <c r="B71" s="94" t="s">
        <v>2356</v>
      </c>
      <c r="C71" s="24">
        <f t="shared" si="4"/>
        <v>133</v>
      </c>
      <c r="D71" s="24">
        <v>1</v>
      </c>
      <c r="G71" s="37" t="s">
        <v>19</v>
      </c>
      <c r="H71" s="24" t="s">
        <v>2395</v>
      </c>
      <c r="I71" s="24">
        <v>331</v>
      </c>
      <c r="J71" s="24">
        <v>1111</v>
      </c>
      <c r="K71" s="24" t="s">
        <v>21</v>
      </c>
      <c r="L71" s="24">
        <v>1</v>
      </c>
      <c r="M71" s="39">
        <v>63000</v>
      </c>
      <c r="N71" s="39">
        <f t="shared" si="3"/>
        <v>63000</v>
      </c>
      <c r="O71" s="24" t="s">
        <v>22</v>
      </c>
    </row>
    <row r="72" spans="1:15" ht="15" customHeight="1" x14ac:dyDescent="0.2">
      <c r="A72" s="24" t="s">
        <v>368</v>
      </c>
      <c r="B72" s="94" t="s">
        <v>2357</v>
      </c>
      <c r="C72" s="24">
        <f t="shared" si="4"/>
        <v>134</v>
      </c>
      <c r="D72" s="24">
        <v>1</v>
      </c>
      <c r="G72" s="37" t="s">
        <v>158</v>
      </c>
      <c r="H72" s="24" t="s">
        <v>2396</v>
      </c>
      <c r="I72" s="24">
        <v>331</v>
      </c>
      <c r="J72" s="24">
        <v>1111</v>
      </c>
      <c r="K72" s="24" t="s">
        <v>21</v>
      </c>
      <c r="L72" s="24">
        <v>1</v>
      </c>
      <c r="M72" s="39">
        <v>3240000</v>
      </c>
      <c r="N72" s="39">
        <f t="shared" si="3"/>
        <v>3240000</v>
      </c>
      <c r="O72" s="24" t="s">
        <v>22</v>
      </c>
    </row>
    <row r="73" spans="1:15" ht="15" customHeight="1" x14ac:dyDescent="0.2">
      <c r="A73" s="24" t="s">
        <v>368</v>
      </c>
      <c r="B73" s="94" t="s">
        <v>2358</v>
      </c>
      <c r="C73" s="24">
        <f t="shared" si="4"/>
        <v>135</v>
      </c>
      <c r="D73" s="24">
        <v>1</v>
      </c>
      <c r="G73" s="37" t="s">
        <v>2360</v>
      </c>
      <c r="H73" s="24" t="s">
        <v>2397</v>
      </c>
      <c r="I73" s="24">
        <v>331</v>
      </c>
      <c r="J73" s="24">
        <v>1111</v>
      </c>
      <c r="K73" s="24" t="s">
        <v>21</v>
      </c>
      <c r="L73" s="24">
        <v>1</v>
      </c>
      <c r="M73" s="39">
        <v>500000</v>
      </c>
      <c r="N73" s="39">
        <f t="shared" si="3"/>
        <v>500000</v>
      </c>
      <c r="O73" s="24" t="s">
        <v>22</v>
      </c>
    </row>
    <row r="74" spans="1:15" ht="15" customHeight="1" x14ac:dyDescent="0.2">
      <c r="A74" s="24" t="s">
        <v>368</v>
      </c>
      <c r="B74" s="94" t="s">
        <v>2120</v>
      </c>
      <c r="C74" s="24">
        <f t="shared" si="4"/>
        <v>136</v>
      </c>
      <c r="D74" s="24">
        <v>1</v>
      </c>
      <c r="G74" s="37" t="s">
        <v>1725</v>
      </c>
      <c r="H74" s="24" t="s">
        <v>2398</v>
      </c>
      <c r="I74" s="24">
        <v>331</v>
      </c>
      <c r="J74" s="24">
        <v>1111</v>
      </c>
      <c r="K74" s="24" t="s">
        <v>21</v>
      </c>
      <c r="L74" s="24">
        <v>1</v>
      </c>
      <c r="M74" s="39">
        <v>500000</v>
      </c>
      <c r="N74" s="39">
        <f t="shared" si="3"/>
        <v>500000</v>
      </c>
      <c r="O74" s="24" t="s">
        <v>22</v>
      </c>
    </row>
    <row r="75" spans="1:15" ht="15" customHeight="1" x14ac:dyDescent="0.2">
      <c r="A75" s="24" t="s">
        <v>368</v>
      </c>
      <c r="B75" s="94" t="s">
        <v>2121</v>
      </c>
      <c r="C75" s="24">
        <f t="shared" si="4"/>
        <v>137</v>
      </c>
      <c r="D75" s="24">
        <v>1</v>
      </c>
      <c r="G75" s="37" t="s">
        <v>19</v>
      </c>
      <c r="H75" s="24" t="s">
        <v>2399</v>
      </c>
      <c r="I75" s="24">
        <v>331</v>
      </c>
      <c r="J75" s="24">
        <v>1111</v>
      </c>
      <c r="K75" s="24" t="s">
        <v>21</v>
      </c>
      <c r="L75" s="24">
        <v>1</v>
      </c>
      <c r="M75" s="39">
        <v>164000</v>
      </c>
      <c r="N75" s="39">
        <f t="shared" si="3"/>
        <v>164000</v>
      </c>
      <c r="O75" s="24" t="s">
        <v>22</v>
      </c>
    </row>
    <row r="76" spans="1:15" ht="15" customHeight="1" x14ac:dyDescent="0.2">
      <c r="A76" s="24" t="s">
        <v>368</v>
      </c>
      <c r="B76" s="94" t="s">
        <v>1476</v>
      </c>
      <c r="C76" s="24">
        <f t="shared" si="4"/>
        <v>138</v>
      </c>
      <c r="D76" s="24">
        <v>1</v>
      </c>
      <c r="G76" s="37" t="s">
        <v>1607</v>
      </c>
      <c r="H76" s="24" t="s">
        <v>2400</v>
      </c>
      <c r="I76" s="24">
        <v>331</v>
      </c>
      <c r="J76" s="24">
        <v>1111</v>
      </c>
      <c r="K76" s="24" t="s">
        <v>21</v>
      </c>
      <c r="L76" s="24">
        <v>1</v>
      </c>
      <c r="M76" s="39">
        <v>500000</v>
      </c>
      <c r="N76" s="39">
        <f t="shared" si="3"/>
        <v>500000</v>
      </c>
      <c r="O76" s="24" t="s">
        <v>22</v>
      </c>
    </row>
    <row r="77" spans="1:15" ht="15" customHeight="1" x14ac:dyDescent="0.2">
      <c r="A77" s="24" t="s">
        <v>368</v>
      </c>
      <c r="B77" s="94" t="s">
        <v>2046</v>
      </c>
      <c r="C77" s="24">
        <f t="shared" si="4"/>
        <v>139</v>
      </c>
      <c r="D77" s="24">
        <v>1</v>
      </c>
      <c r="G77" s="37" t="s">
        <v>1607</v>
      </c>
      <c r="H77" s="24" t="s">
        <v>2401</v>
      </c>
      <c r="I77" s="24">
        <v>331</v>
      </c>
      <c r="J77" s="24">
        <v>1111</v>
      </c>
      <c r="K77" s="24" t="s">
        <v>21</v>
      </c>
      <c r="L77" s="24">
        <v>1</v>
      </c>
      <c r="M77" s="39">
        <v>500000</v>
      </c>
      <c r="N77" s="39">
        <f t="shared" si="3"/>
        <v>500000</v>
      </c>
      <c r="O77" s="24" t="s">
        <v>22</v>
      </c>
    </row>
    <row r="78" spans="1:15" ht="15" customHeight="1" x14ac:dyDescent="0.2">
      <c r="A78" s="24" t="s">
        <v>368</v>
      </c>
      <c r="B78" s="94" t="s">
        <v>1418</v>
      </c>
      <c r="C78" s="24">
        <f t="shared" si="4"/>
        <v>140</v>
      </c>
      <c r="D78" s="24">
        <v>1</v>
      </c>
      <c r="G78" s="37" t="s">
        <v>1725</v>
      </c>
      <c r="H78" s="24" t="s">
        <v>2402</v>
      </c>
      <c r="I78" s="24">
        <v>331</v>
      </c>
      <c r="J78" s="24">
        <v>1111</v>
      </c>
      <c r="K78" s="24" t="s">
        <v>21</v>
      </c>
      <c r="L78" s="24">
        <v>1</v>
      </c>
      <c r="M78" s="39">
        <v>500000</v>
      </c>
      <c r="N78" s="39">
        <f t="shared" si="3"/>
        <v>500000</v>
      </c>
      <c r="O78" s="24" t="s">
        <v>22</v>
      </c>
    </row>
    <row r="79" spans="1:15" ht="15" customHeight="1" x14ac:dyDescent="0.2">
      <c r="A79" s="24" t="s">
        <v>368</v>
      </c>
      <c r="B79" s="94" t="s">
        <v>1480</v>
      </c>
      <c r="C79" s="24">
        <f t="shared" si="4"/>
        <v>141</v>
      </c>
      <c r="D79" s="24">
        <v>1</v>
      </c>
      <c r="G79" s="37" t="s">
        <v>158</v>
      </c>
      <c r="H79" s="24" t="s">
        <v>2403</v>
      </c>
      <c r="I79" s="24">
        <v>331</v>
      </c>
      <c r="J79" s="24">
        <v>1111</v>
      </c>
      <c r="K79" s="24" t="s">
        <v>21</v>
      </c>
      <c r="L79" s="24">
        <v>1</v>
      </c>
      <c r="M79" s="39">
        <v>3240000</v>
      </c>
      <c r="N79" s="39">
        <f t="shared" si="3"/>
        <v>3240000</v>
      </c>
      <c r="O79" s="24" t="s">
        <v>22</v>
      </c>
    </row>
    <row r="80" spans="1:15" ht="15" customHeight="1" x14ac:dyDescent="0.2">
      <c r="A80" s="24" t="s">
        <v>368</v>
      </c>
      <c r="B80" s="94" t="s">
        <v>1478</v>
      </c>
      <c r="C80" s="24">
        <f t="shared" si="4"/>
        <v>142</v>
      </c>
      <c r="D80" s="24">
        <v>1</v>
      </c>
      <c r="G80" s="37" t="s">
        <v>2361</v>
      </c>
      <c r="H80" s="24" t="s">
        <v>2404</v>
      </c>
      <c r="I80" s="24">
        <v>331</v>
      </c>
      <c r="J80" s="24">
        <v>1111</v>
      </c>
      <c r="K80" s="24" t="s">
        <v>21</v>
      </c>
      <c r="L80" s="24">
        <v>1</v>
      </c>
      <c r="M80" s="39">
        <v>500000</v>
      </c>
      <c r="N80" s="39">
        <f t="shared" si="3"/>
        <v>500000</v>
      </c>
      <c r="O80" s="24" t="s">
        <v>22</v>
      </c>
    </row>
    <row r="81" spans="1:15" ht="15" customHeight="1" x14ac:dyDescent="0.2">
      <c r="A81" s="24" t="s">
        <v>368</v>
      </c>
      <c r="B81" s="94" t="s">
        <v>2049</v>
      </c>
      <c r="C81" s="24">
        <f t="shared" si="4"/>
        <v>143</v>
      </c>
      <c r="D81" s="24">
        <v>1</v>
      </c>
      <c r="G81" s="37" t="s">
        <v>1607</v>
      </c>
      <c r="H81" s="24" t="s">
        <v>2405</v>
      </c>
      <c r="I81" s="24">
        <v>331</v>
      </c>
      <c r="J81" s="24">
        <v>1111</v>
      </c>
      <c r="K81" s="24" t="s">
        <v>21</v>
      </c>
      <c r="L81" s="24">
        <v>1</v>
      </c>
      <c r="M81" s="39">
        <v>500000</v>
      </c>
      <c r="N81" s="39">
        <f t="shared" si="3"/>
        <v>500000</v>
      </c>
      <c r="O81" s="24" t="s">
        <v>22</v>
      </c>
    </row>
    <row r="82" spans="1:15" ht="15" customHeight="1" x14ac:dyDescent="0.2">
      <c r="A82" s="24" t="s">
        <v>368</v>
      </c>
      <c r="B82" s="94" t="s">
        <v>1481</v>
      </c>
      <c r="C82" s="24">
        <f t="shared" si="4"/>
        <v>144</v>
      </c>
      <c r="D82" s="24">
        <v>1</v>
      </c>
      <c r="G82" s="37" t="s">
        <v>19</v>
      </c>
      <c r="H82" s="24" t="s">
        <v>2406</v>
      </c>
      <c r="I82" s="24">
        <v>331</v>
      </c>
      <c r="J82" s="24">
        <v>1111</v>
      </c>
      <c r="K82" s="24" t="s">
        <v>21</v>
      </c>
      <c r="L82" s="24">
        <v>1</v>
      </c>
      <c r="M82" s="39">
        <v>95000</v>
      </c>
      <c r="N82" s="39">
        <f t="shared" si="3"/>
        <v>95000</v>
      </c>
      <c r="O82" s="24" t="s">
        <v>22</v>
      </c>
    </row>
    <row r="83" spans="1:15" ht="15" customHeight="1" x14ac:dyDescent="0.2">
      <c r="A83" s="24" t="s">
        <v>368</v>
      </c>
      <c r="B83" s="94" t="s">
        <v>2359</v>
      </c>
      <c r="C83" s="24">
        <f t="shared" si="4"/>
        <v>145</v>
      </c>
      <c r="D83" s="24">
        <v>1</v>
      </c>
      <c r="G83" s="37" t="s">
        <v>19</v>
      </c>
      <c r="H83" s="24" t="s">
        <v>2407</v>
      </c>
      <c r="I83" s="24">
        <v>331</v>
      </c>
      <c r="J83" s="24">
        <v>1111</v>
      </c>
      <c r="K83" s="24" t="s">
        <v>21</v>
      </c>
      <c r="L83" s="24">
        <v>1</v>
      </c>
      <c r="M83" s="39">
        <v>179000</v>
      </c>
      <c r="N83" s="39">
        <f t="shared" si="3"/>
        <v>179000</v>
      </c>
      <c r="O83" s="24" t="s">
        <v>22</v>
      </c>
    </row>
    <row r="84" spans="1:15" ht="15" customHeight="1" x14ac:dyDescent="0.2">
      <c r="A84" s="24" t="s">
        <v>368</v>
      </c>
      <c r="B84" s="94" t="s">
        <v>2078</v>
      </c>
      <c r="C84" s="24">
        <f t="shared" si="4"/>
        <v>146</v>
      </c>
      <c r="D84" s="24">
        <v>1</v>
      </c>
      <c r="G84" s="37" t="s">
        <v>19</v>
      </c>
      <c r="H84" s="24" t="s">
        <v>2408</v>
      </c>
      <c r="I84" s="24">
        <v>331</v>
      </c>
      <c r="J84" s="24">
        <v>1111</v>
      </c>
      <c r="K84" s="24" t="s">
        <v>21</v>
      </c>
      <c r="L84" s="24">
        <v>1</v>
      </c>
      <c r="M84" s="39">
        <v>56000</v>
      </c>
      <c r="N84" s="39">
        <f t="shared" si="3"/>
        <v>56000</v>
      </c>
      <c r="O84" s="24" t="s">
        <v>22</v>
      </c>
    </row>
    <row r="85" spans="1:15" ht="15" customHeight="1" x14ac:dyDescent="0.2">
      <c r="A85" s="24" t="s">
        <v>368</v>
      </c>
      <c r="B85" s="94" t="s">
        <v>2233</v>
      </c>
      <c r="C85" s="24">
        <f t="shared" si="4"/>
        <v>147</v>
      </c>
      <c r="D85" s="24">
        <v>1</v>
      </c>
      <c r="G85" s="37" t="s">
        <v>1607</v>
      </c>
      <c r="H85" s="24" t="s">
        <v>2409</v>
      </c>
      <c r="I85" s="24">
        <v>331</v>
      </c>
      <c r="J85" s="24">
        <v>1111</v>
      </c>
      <c r="K85" s="24" t="s">
        <v>21</v>
      </c>
      <c r="L85" s="24">
        <v>1</v>
      </c>
      <c r="M85" s="39">
        <v>500000</v>
      </c>
      <c r="N85" s="39">
        <f t="shared" si="3"/>
        <v>500000</v>
      </c>
      <c r="O85" s="24" t="s">
        <v>22</v>
      </c>
    </row>
    <row r="86" spans="1:15" ht="15" customHeight="1" x14ac:dyDescent="0.2">
      <c r="A86" s="24" t="s">
        <v>89</v>
      </c>
      <c r="B86" s="95">
        <v>45839</v>
      </c>
      <c r="C86" s="24">
        <f t="shared" ref="C86" si="5">C85+D86</f>
        <v>148</v>
      </c>
      <c r="D86" s="24">
        <v>1</v>
      </c>
      <c r="G86" s="37" t="s">
        <v>2383</v>
      </c>
      <c r="H86" s="42" t="s">
        <v>1008</v>
      </c>
      <c r="I86" s="24">
        <v>1111</v>
      </c>
      <c r="J86" s="24">
        <v>112111</v>
      </c>
      <c r="K86" s="24" t="s">
        <v>21</v>
      </c>
      <c r="L86" s="24">
        <v>1</v>
      </c>
      <c r="M86" s="39">
        <v>47300000</v>
      </c>
      <c r="N86" s="39">
        <f t="shared" ref="N86" si="6">L86*M86</f>
        <v>47300000</v>
      </c>
      <c r="O86" s="24" t="s">
        <v>22</v>
      </c>
    </row>
  </sheetData>
  <autoFilter ref="A3:P85" xr:uid="{00000000-0009-0000-0000-00000A000000}"/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06"/>
  <sheetViews>
    <sheetView topLeftCell="A3" workbookViewId="0">
      <selection activeCell="A32" sqref="A32:O34"/>
    </sheetView>
  </sheetViews>
  <sheetFormatPr defaultRowHeight="15" customHeight="1" x14ac:dyDescent="0.2"/>
  <cols>
    <col min="1" max="1" width="9.140625" style="24"/>
    <col min="2" max="2" width="9.140625" style="36"/>
    <col min="3" max="6" width="9.140625" style="24"/>
    <col min="7" max="7" width="9.5703125" style="37" bestFit="1" customWidth="1"/>
    <col min="8" max="8" width="35.42578125" style="24" customWidth="1"/>
    <col min="9" max="12" width="9.140625" style="24"/>
    <col min="13" max="14" width="11.28515625" style="39" bestFit="1" customWidth="1"/>
    <col min="15" max="15" width="11.28515625" style="24" bestFit="1" customWidth="1"/>
    <col min="16" max="16384" width="9.140625" style="24"/>
  </cols>
  <sheetData>
    <row r="1" spans="1:16" ht="15" customHeight="1" thickBot="1" x14ac:dyDescent="0.25">
      <c r="A1" s="177" t="s">
        <v>0</v>
      </c>
      <c r="B1" s="192" t="s">
        <v>1</v>
      </c>
      <c r="C1" s="177" t="s">
        <v>2</v>
      </c>
      <c r="D1" s="175" t="s">
        <v>3</v>
      </c>
      <c r="E1" s="175" t="s">
        <v>4</v>
      </c>
      <c r="F1" s="175" t="s">
        <v>5</v>
      </c>
      <c r="G1" s="180" t="s">
        <v>6</v>
      </c>
      <c r="H1" s="182" t="s">
        <v>7</v>
      </c>
      <c r="I1" s="184" t="s">
        <v>8</v>
      </c>
      <c r="J1" s="185"/>
      <c r="K1" s="177" t="s">
        <v>9</v>
      </c>
      <c r="L1" s="177" t="s">
        <v>10</v>
      </c>
      <c r="M1" s="190" t="s">
        <v>1287</v>
      </c>
      <c r="N1" s="190" t="s">
        <v>1288</v>
      </c>
      <c r="O1" s="49" t="s">
        <v>1289</v>
      </c>
      <c r="P1" s="42"/>
    </row>
    <row r="2" spans="1:16" ht="15" customHeight="1" thickBot="1" x14ac:dyDescent="0.25">
      <c r="A2" s="178"/>
      <c r="B2" s="193"/>
      <c r="C2" s="178"/>
      <c r="D2" s="179"/>
      <c r="E2" s="179"/>
      <c r="F2" s="176"/>
      <c r="G2" s="181"/>
      <c r="H2" s="183"/>
      <c r="I2" s="50" t="s">
        <v>13</v>
      </c>
      <c r="J2" s="51" t="s">
        <v>14</v>
      </c>
      <c r="K2" s="178"/>
      <c r="L2" s="178"/>
      <c r="M2" s="191"/>
      <c r="N2" s="191"/>
      <c r="O2" s="42" t="s">
        <v>1289</v>
      </c>
      <c r="P2" s="42"/>
    </row>
    <row r="3" spans="1:16" ht="15" customHeight="1" x14ac:dyDescent="0.2">
      <c r="A3" s="52"/>
      <c r="B3" s="92"/>
      <c r="C3" s="52">
        <v>197</v>
      </c>
      <c r="D3" s="53"/>
      <c r="E3" s="53"/>
      <c r="F3" s="53"/>
      <c r="G3" s="78" t="s">
        <v>15</v>
      </c>
      <c r="H3" s="54"/>
      <c r="I3" s="54"/>
      <c r="J3" s="54"/>
      <c r="K3" s="52"/>
      <c r="L3" s="52"/>
      <c r="M3" s="89"/>
      <c r="N3" s="89"/>
      <c r="O3" s="42" t="s">
        <v>16</v>
      </c>
      <c r="P3" s="42" t="s">
        <v>17</v>
      </c>
    </row>
    <row r="4" spans="1:16" ht="15" customHeight="1" x14ac:dyDescent="0.2">
      <c r="A4" s="24" t="s">
        <v>18</v>
      </c>
      <c r="B4" s="36" t="s">
        <v>2231</v>
      </c>
      <c r="C4" s="24">
        <f>C3+D4</f>
        <v>198</v>
      </c>
      <c r="D4" s="24">
        <v>1</v>
      </c>
      <c r="G4" s="37" t="s">
        <v>627</v>
      </c>
      <c r="H4" s="24" t="s">
        <v>2413</v>
      </c>
      <c r="I4" s="24">
        <v>131</v>
      </c>
      <c r="J4" s="24">
        <v>5118</v>
      </c>
      <c r="K4" s="24" t="s">
        <v>21</v>
      </c>
      <c r="L4" s="24">
        <v>1</v>
      </c>
      <c r="M4" s="39">
        <v>16129032</v>
      </c>
      <c r="N4" s="39">
        <f>L4*M4</f>
        <v>16129032</v>
      </c>
      <c r="O4" s="38" t="s">
        <v>22</v>
      </c>
    </row>
    <row r="5" spans="1:16" ht="15" customHeight="1" x14ac:dyDescent="0.2">
      <c r="A5" s="24" t="s">
        <v>18</v>
      </c>
      <c r="B5" s="36" t="s">
        <v>2231</v>
      </c>
      <c r="C5" s="24">
        <f t="shared" ref="C5:C68" si="0">C4+D5</f>
        <v>199</v>
      </c>
      <c r="D5" s="24">
        <v>1</v>
      </c>
      <c r="G5" s="37" t="s">
        <v>627</v>
      </c>
      <c r="H5" s="24" t="s">
        <v>2414</v>
      </c>
      <c r="I5" s="24">
        <v>333821</v>
      </c>
      <c r="J5" s="24">
        <v>131</v>
      </c>
      <c r="K5" s="24" t="s">
        <v>21</v>
      </c>
      <c r="L5" s="24">
        <v>1</v>
      </c>
      <c r="M5" s="39">
        <v>161290</v>
      </c>
      <c r="N5" s="39">
        <f t="shared" ref="N5:N71" si="1">L5*M5</f>
        <v>161290</v>
      </c>
      <c r="O5" s="38" t="s">
        <v>22</v>
      </c>
    </row>
    <row r="6" spans="1:16" ht="15" customHeight="1" x14ac:dyDescent="0.2">
      <c r="A6" s="24" t="s">
        <v>18</v>
      </c>
      <c r="B6" s="36" t="s">
        <v>2114</v>
      </c>
      <c r="C6" s="24">
        <f t="shared" si="0"/>
        <v>200</v>
      </c>
      <c r="D6" s="24">
        <v>1</v>
      </c>
      <c r="G6" s="37" t="s">
        <v>617</v>
      </c>
      <c r="H6" s="24" t="s">
        <v>2415</v>
      </c>
      <c r="I6" s="24">
        <v>131</v>
      </c>
      <c r="J6" s="24">
        <v>5118</v>
      </c>
      <c r="K6" s="24" t="s">
        <v>21</v>
      </c>
      <c r="L6" s="24">
        <v>1</v>
      </c>
      <c r="M6" s="39">
        <v>51612903</v>
      </c>
      <c r="N6" s="39">
        <f t="shared" si="1"/>
        <v>51612903</v>
      </c>
      <c r="O6" s="38" t="s">
        <v>22</v>
      </c>
    </row>
    <row r="7" spans="1:16" ht="15" customHeight="1" x14ac:dyDescent="0.2">
      <c r="A7" s="24" t="s">
        <v>18</v>
      </c>
      <c r="B7" s="36" t="s">
        <v>2114</v>
      </c>
      <c r="C7" s="24">
        <f t="shared" si="0"/>
        <v>201</v>
      </c>
      <c r="D7" s="24">
        <v>1</v>
      </c>
      <c r="G7" s="37" t="s">
        <v>617</v>
      </c>
      <c r="H7" s="24" t="s">
        <v>2416</v>
      </c>
      <c r="I7" s="24">
        <v>333821</v>
      </c>
      <c r="J7" s="24">
        <v>131</v>
      </c>
      <c r="K7" s="24" t="s">
        <v>21</v>
      </c>
      <c r="L7" s="24">
        <v>1</v>
      </c>
      <c r="M7" s="39">
        <v>516129</v>
      </c>
      <c r="N7" s="39">
        <f t="shared" si="1"/>
        <v>516129</v>
      </c>
      <c r="O7" s="38" t="s">
        <v>22</v>
      </c>
    </row>
    <row r="8" spans="1:16" ht="15" customHeight="1" x14ac:dyDescent="0.2">
      <c r="A8" s="24" t="s">
        <v>18</v>
      </c>
      <c r="B8" s="36" t="s">
        <v>1474</v>
      </c>
      <c r="C8" s="24">
        <f t="shared" si="0"/>
        <v>202</v>
      </c>
      <c r="D8" s="24">
        <v>1</v>
      </c>
      <c r="G8" s="37" t="s">
        <v>2234</v>
      </c>
      <c r="H8" s="24" t="s">
        <v>2417</v>
      </c>
      <c r="I8" s="24">
        <v>131</v>
      </c>
      <c r="J8" s="24">
        <v>5118</v>
      </c>
      <c r="K8" s="24" t="s">
        <v>21</v>
      </c>
      <c r="L8" s="24">
        <v>1</v>
      </c>
      <c r="M8" s="39">
        <v>56989247</v>
      </c>
      <c r="N8" s="39">
        <f t="shared" si="1"/>
        <v>56989247</v>
      </c>
      <c r="O8" s="38" t="s">
        <v>22</v>
      </c>
    </row>
    <row r="9" spans="1:16" ht="15" customHeight="1" x14ac:dyDescent="0.2">
      <c r="A9" s="24" t="s">
        <v>18</v>
      </c>
      <c r="B9" s="36" t="s">
        <v>1474</v>
      </c>
      <c r="C9" s="24">
        <f t="shared" si="0"/>
        <v>203</v>
      </c>
      <c r="D9" s="24">
        <v>1</v>
      </c>
      <c r="G9" s="37" t="s">
        <v>2234</v>
      </c>
      <c r="H9" s="24" t="s">
        <v>2418</v>
      </c>
      <c r="I9" s="24">
        <v>333821</v>
      </c>
      <c r="J9" s="24">
        <v>131</v>
      </c>
      <c r="K9" s="24" t="s">
        <v>21</v>
      </c>
      <c r="L9" s="24">
        <v>1</v>
      </c>
      <c r="M9" s="39">
        <v>569892</v>
      </c>
      <c r="N9" s="39">
        <f t="shared" si="1"/>
        <v>569892</v>
      </c>
      <c r="O9" s="38" t="s">
        <v>22</v>
      </c>
    </row>
    <row r="10" spans="1:16" ht="15" customHeight="1" x14ac:dyDescent="0.2">
      <c r="A10" s="24" t="s">
        <v>18</v>
      </c>
      <c r="B10" s="36" t="s">
        <v>2300</v>
      </c>
      <c r="C10" s="24">
        <f t="shared" si="0"/>
        <v>204</v>
      </c>
      <c r="D10" s="24">
        <v>1</v>
      </c>
      <c r="G10" s="37" t="s">
        <v>96</v>
      </c>
      <c r="H10" s="24" t="s">
        <v>2419</v>
      </c>
      <c r="I10" s="24">
        <v>131</v>
      </c>
      <c r="J10" s="24">
        <v>5118</v>
      </c>
      <c r="K10" s="24" t="s">
        <v>21</v>
      </c>
      <c r="L10" s="24">
        <v>1</v>
      </c>
      <c r="M10" s="39">
        <v>96774194</v>
      </c>
      <c r="N10" s="39">
        <f t="shared" si="1"/>
        <v>96774194</v>
      </c>
      <c r="O10" s="38" t="s">
        <v>22</v>
      </c>
    </row>
    <row r="11" spans="1:16" ht="15" customHeight="1" x14ac:dyDescent="0.2">
      <c r="A11" s="24" t="s">
        <v>18</v>
      </c>
      <c r="B11" s="36" t="s">
        <v>2300</v>
      </c>
      <c r="C11" s="24">
        <f t="shared" si="0"/>
        <v>205</v>
      </c>
      <c r="D11" s="24">
        <v>1</v>
      </c>
      <c r="G11" s="37" t="s">
        <v>96</v>
      </c>
      <c r="H11" s="24" t="s">
        <v>2420</v>
      </c>
      <c r="I11" s="24">
        <v>333821</v>
      </c>
      <c r="J11" s="24">
        <v>131</v>
      </c>
      <c r="K11" s="24" t="s">
        <v>21</v>
      </c>
      <c r="L11" s="24">
        <v>1</v>
      </c>
      <c r="M11" s="39">
        <v>967742</v>
      </c>
      <c r="N11" s="39">
        <f t="shared" si="1"/>
        <v>967742</v>
      </c>
      <c r="O11" s="38" t="s">
        <v>22</v>
      </c>
    </row>
    <row r="12" spans="1:16" ht="15" customHeight="1" x14ac:dyDescent="0.2">
      <c r="A12" s="24" t="s">
        <v>18</v>
      </c>
      <c r="B12" s="36" t="s">
        <v>2046</v>
      </c>
      <c r="C12" s="24">
        <f t="shared" si="0"/>
        <v>206</v>
      </c>
      <c r="D12" s="24">
        <v>1</v>
      </c>
      <c r="G12" s="37" t="s">
        <v>656</v>
      </c>
      <c r="H12" s="24" t="s">
        <v>2421</v>
      </c>
      <c r="I12" s="24">
        <v>131</v>
      </c>
      <c r="J12" s="24">
        <v>5118</v>
      </c>
      <c r="K12" s="24" t="s">
        <v>21</v>
      </c>
      <c r="L12" s="24">
        <v>1</v>
      </c>
      <c r="M12" s="39">
        <v>50505050</v>
      </c>
      <c r="N12" s="39">
        <f t="shared" si="1"/>
        <v>50505050</v>
      </c>
      <c r="O12" s="38" t="s">
        <v>22</v>
      </c>
    </row>
    <row r="13" spans="1:16" ht="15" customHeight="1" x14ac:dyDescent="0.2">
      <c r="A13" s="24" t="s">
        <v>18</v>
      </c>
      <c r="B13" s="36" t="s">
        <v>2046</v>
      </c>
      <c r="C13" s="24">
        <f t="shared" si="0"/>
        <v>207</v>
      </c>
      <c r="D13" s="24">
        <v>1</v>
      </c>
      <c r="G13" s="37" t="s">
        <v>656</v>
      </c>
      <c r="H13" s="24" t="s">
        <v>2422</v>
      </c>
      <c r="I13" s="24">
        <v>333821</v>
      </c>
      <c r="J13" s="24">
        <v>131</v>
      </c>
      <c r="K13" s="24" t="s">
        <v>21</v>
      </c>
      <c r="L13" s="24">
        <v>1</v>
      </c>
      <c r="M13" s="39">
        <v>505050</v>
      </c>
      <c r="N13" s="39">
        <f t="shared" si="1"/>
        <v>505050</v>
      </c>
      <c r="O13" s="38" t="s">
        <v>22</v>
      </c>
    </row>
    <row r="14" spans="1:16" ht="15" customHeight="1" x14ac:dyDescent="0.2">
      <c r="A14" s="24" t="s">
        <v>18</v>
      </c>
      <c r="B14" s="36" t="s">
        <v>2075</v>
      </c>
      <c r="C14" s="24">
        <f t="shared" si="0"/>
        <v>208</v>
      </c>
      <c r="D14" s="24">
        <v>1</v>
      </c>
      <c r="G14" s="37" t="s">
        <v>617</v>
      </c>
      <c r="H14" s="24" t="s">
        <v>2423</v>
      </c>
      <c r="I14" s="24">
        <v>131</v>
      </c>
      <c r="J14" s="24">
        <v>5118</v>
      </c>
      <c r="K14" s="24" t="s">
        <v>21</v>
      </c>
      <c r="L14" s="24">
        <v>1</v>
      </c>
      <c r="M14" s="39">
        <v>5376344</v>
      </c>
      <c r="N14" s="39">
        <f t="shared" si="1"/>
        <v>5376344</v>
      </c>
      <c r="O14" s="38" t="s">
        <v>22</v>
      </c>
    </row>
    <row r="15" spans="1:16" ht="15" customHeight="1" x14ac:dyDescent="0.2">
      <c r="A15" s="24" t="s">
        <v>18</v>
      </c>
      <c r="B15" s="36" t="s">
        <v>2075</v>
      </c>
      <c r="C15" s="24">
        <f t="shared" si="0"/>
        <v>209</v>
      </c>
      <c r="D15" s="24">
        <v>1</v>
      </c>
      <c r="G15" s="37" t="s">
        <v>617</v>
      </c>
      <c r="H15" s="24" t="s">
        <v>2424</v>
      </c>
      <c r="I15" s="24">
        <v>333821</v>
      </c>
      <c r="J15" s="24">
        <v>131</v>
      </c>
      <c r="K15" s="24" t="s">
        <v>21</v>
      </c>
      <c r="L15" s="24">
        <v>1</v>
      </c>
      <c r="M15" s="39">
        <v>53763</v>
      </c>
      <c r="N15" s="39">
        <f t="shared" si="1"/>
        <v>53763</v>
      </c>
      <c r="O15" s="38" t="s">
        <v>22</v>
      </c>
    </row>
    <row r="16" spans="1:16" ht="15" customHeight="1" x14ac:dyDescent="0.2">
      <c r="A16" s="24" t="s">
        <v>18</v>
      </c>
      <c r="B16" s="36" t="s">
        <v>1418</v>
      </c>
      <c r="C16" s="24">
        <f t="shared" si="0"/>
        <v>210</v>
      </c>
      <c r="D16" s="24">
        <v>1</v>
      </c>
      <c r="G16" s="37" t="s">
        <v>2410</v>
      </c>
      <c r="H16" s="24" t="s">
        <v>2425</v>
      </c>
      <c r="I16" s="24">
        <v>131</v>
      </c>
      <c r="J16" s="24">
        <v>5118</v>
      </c>
      <c r="K16" s="24" t="s">
        <v>21</v>
      </c>
      <c r="L16" s="24">
        <v>1</v>
      </c>
      <c r="M16" s="39">
        <v>53763440</v>
      </c>
      <c r="N16" s="39">
        <f t="shared" si="1"/>
        <v>53763440</v>
      </c>
      <c r="O16" s="38" t="s">
        <v>22</v>
      </c>
    </row>
    <row r="17" spans="1:15" ht="15" customHeight="1" x14ac:dyDescent="0.2">
      <c r="A17" s="24" t="s">
        <v>18</v>
      </c>
      <c r="B17" s="36" t="s">
        <v>1418</v>
      </c>
      <c r="C17" s="24">
        <f t="shared" si="0"/>
        <v>211</v>
      </c>
      <c r="D17" s="24">
        <v>1</v>
      </c>
      <c r="G17" s="37" t="s">
        <v>2410</v>
      </c>
      <c r="H17" s="24" t="s">
        <v>2426</v>
      </c>
      <c r="I17" s="24">
        <v>333821</v>
      </c>
      <c r="J17" s="24">
        <v>131</v>
      </c>
      <c r="K17" s="24" t="s">
        <v>21</v>
      </c>
      <c r="L17" s="24">
        <v>1</v>
      </c>
      <c r="M17" s="39">
        <v>537634</v>
      </c>
      <c r="N17" s="39">
        <f t="shared" si="1"/>
        <v>537634</v>
      </c>
      <c r="O17" s="38" t="s">
        <v>22</v>
      </c>
    </row>
    <row r="18" spans="1:15" ht="15" customHeight="1" x14ac:dyDescent="0.2">
      <c r="A18" s="24" t="s">
        <v>18</v>
      </c>
      <c r="B18" s="36" t="s">
        <v>1419</v>
      </c>
      <c r="C18" s="24">
        <f t="shared" si="0"/>
        <v>212</v>
      </c>
      <c r="D18" s="24">
        <v>1</v>
      </c>
      <c r="G18" s="37" t="s">
        <v>756</v>
      </c>
      <c r="H18" s="24" t="s">
        <v>2427</v>
      </c>
      <c r="I18" s="24">
        <v>131</v>
      </c>
      <c r="J18" s="24">
        <v>5118</v>
      </c>
      <c r="K18" s="24" t="s">
        <v>21</v>
      </c>
      <c r="L18" s="24">
        <v>1</v>
      </c>
      <c r="M18" s="39">
        <v>28494624</v>
      </c>
      <c r="N18" s="39">
        <f t="shared" si="1"/>
        <v>28494624</v>
      </c>
      <c r="O18" s="38" t="s">
        <v>22</v>
      </c>
    </row>
    <row r="19" spans="1:15" ht="15" customHeight="1" x14ac:dyDescent="0.2">
      <c r="A19" s="24" t="s">
        <v>18</v>
      </c>
      <c r="B19" s="36" t="s">
        <v>1419</v>
      </c>
      <c r="C19" s="24">
        <f t="shared" si="0"/>
        <v>213</v>
      </c>
      <c r="D19" s="24">
        <v>1</v>
      </c>
      <c r="G19" s="37" t="s">
        <v>756</v>
      </c>
      <c r="H19" s="24" t="s">
        <v>2428</v>
      </c>
      <c r="I19" s="24">
        <v>333821</v>
      </c>
      <c r="J19" s="24">
        <v>131</v>
      </c>
      <c r="K19" s="24" t="s">
        <v>21</v>
      </c>
      <c r="L19" s="24">
        <v>1</v>
      </c>
      <c r="M19" s="39">
        <v>284946</v>
      </c>
      <c r="N19" s="39">
        <f t="shared" si="1"/>
        <v>284946</v>
      </c>
      <c r="O19" s="38" t="s">
        <v>22</v>
      </c>
    </row>
    <row r="20" spans="1:15" ht="15" customHeight="1" x14ac:dyDescent="0.2">
      <c r="A20" s="24" t="s">
        <v>18</v>
      </c>
      <c r="B20" s="36" t="s">
        <v>1421</v>
      </c>
      <c r="C20" s="24">
        <f t="shared" si="0"/>
        <v>214</v>
      </c>
      <c r="D20" s="24">
        <v>1</v>
      </c>
      <c r="G20" s="37" t="s">
        <v>1824</v>
      </c>
      <c r="H20" s="24" t="s">
        <v>2429</v>
      </c>
      <c r="I20" s="24">
        <v>131</v>
      </c>
      <c r="J20" s="24">
        <v>5118</v>
      </c>
      <c r="K20" s="24" t="s">
        <v>21</v>
      </c>
      <c r="L20" s="24">
        <v>1</v>
      </c>
      <c r="M20" s="39">
        <v>51612903</v>
      </c>
      <c r="N20" s="39">
        <f t="shared" si="1"/>
        <v>51612903</v>
      </c>
      <c r="O20" s="38" t="s">
        <v>22</v>
      </c>
    </row>
    <row r="21" spans="1:15" ht="15" customHeight="1" x14ac:dyDescent="0.2">
      <c r="A21" s="24" t="s">
        <v>18</v>
      </c>
      <c r="B21" s="36" t="s">
        <v>1421</v>
      </c>
      <c r="C21" s="24">
        <f t="shared" si="0"/>
        <v>215</v>
      </c>
      <c r="D21" s="24">
        <v>1</v>
      </c>
      <c r="G21" s="37" t="s">
        <v>1824</v>
      </c>
      <c r="H21" s="24" t="s">
        <v>2430</v>
      </c>
      <c r="I21" s="24">
        <v>333821</v>
      </c>
      <c r="J21" s="24">
        <v>131</v>
      </c>
      <c r="K21" s="24" t="s">
        <v>21</v>
      </c>
      <c r="L21" s="24">
        <v>1</v>
      </c>
      <c r="M21" s="39">
        <v>516129</v>
      </c>
      <c r="N21" s="39">
        <f t="shared" si="1"/>
        <v>516129</v>
      </c>
      <c r="O21" s="38" t="s">
        <v>22</v>
      </c>
    </row>
    <row r="22" spans="1:15" ht="15" customHeight="1" x14ac:dyDescent="0.2">
      <c r="A22" s="24" t="s">
        <v>18</v>
      </c>
      <c r="B22" s="36" t="s">
        <v>1423</v>
      </c>
      <c r="C22" s="24">
        <f t="shared" si="0"/>
        <v>216</v>
      </c>
      <c r="D22" s="24">
        <v>1</v>
      </c>
      <c r="G22" s="37" t="s">
        <v>1107</v>
      </c>
      <c r="H22" s="24" t="s">
        <v>2431</v>
      </c>
      <c r="I22" s="24">
        <v>131</v>
      </c>
      <c r="J22" s="24">
        <v>5118</v>
      </c>
      <c r="K22" s="24" t="s">
        <v>21</v>
      </c>
      <c r="L22" s="24">
        <v>1</v>
      </c>
      <c r="M22" s="39">
        <v>56989247</v>
      </c>
      <c r="N22" s="39">
        <f t="shared" si="1"/>
        <v>56989247</v>
      </c>
      <c r="O22" s="38" t="s">
        <v>22</v>
      </c>
    </row>
    <row r="23" spans="1:15" ht="15" customHeight="1" x14ac:dyDescent="0.2">
      <c r="A23" s="24" t="s">
        <v>18</v>
      </c>
      <c r="B23" s="36" t="s">
        <v>1423</v>
      </c>
      <c r="C23" s="24">
        <f t="shared" si="0"/>
        <v>217</v>
      </c>
      <c r="D23" s="24">
        <v>1</v>
      </c>
      <c r="G23" s="37" t="s">
        <v>1107</v>
      </c>
      <c r="H23" s="24" t="s">
        <v>2432</v>
      </c>
      <c r="I23" s="24">
        <v>333821</v>
      </c>
      <c r="J23" s="24">
        <v>131</v>
      </c>
      <c r="K23" s="24" t="s">
        <v>21</v>
      </c>
      <c r="L23" s="24">
        <v>1</v>
      </c>
      <c r="M23" s="39">
        <v>569892</v>
      </c>
      <c r="N23" s="39">
        <f t="shared" si="1"/>
        <v>569892</v>
      </c>
      <c r="O23" s="38" t="s">
        <v>22</v>
      </c>
    </row>
    <row r="24" spans="1:15" ht="15" customHeight="1" x14ac:dyDescent="0.2">
      <c r="A24" s="24" t="s">
        <v>18</v>
      </c>
      <c r="B24" s="36" t="s">
        <v>1423</v>
      </c>
      <c r="C24" s="24">
        <f t="shared" si="0"/>
        <v>218</v>
      </c>
      <c r="D24" s="24">
        <v>1</v>
      </c>
      <c r="G24" s="37" t="s">
        <v>756</v>
      </c>
      <c r="H24" s="24" t="s">
        <v>2433</v>
      </c>
      <c r="I24" s="24">
        <v>131</v>
      </c>
      <c r="J24" s="24">
        <v>5118</v>
      </c>
      <c r="K24" s="24" t="s">
        <v>21</v>
      </c>
      <c r="L24" s="24">
        <v>1</v>
      </c>
      <c r="M24" s="39">
        <v>28494623</v>
      </c>
      <c r="N24" s="39">
        <f t="shared" si="1"/>
        <v>28494623</v>
      </c>
      <c r="O24" s="38" t="s">
        <v>22</v>
      </c>
    </row>
    <row r="25" spans="1:15" ht="15" customHeight="1" x14ac:dyDescent="0.2">
      <c r="A25" s="24" t="s">
        <v>18</v>
      </c>
      <c r="B25" s="36" t="s">
        <v>1423</v>
      </c>
      <c r="C25" s="24">
        <f t="shared" si="0"/>
        <v>219</v>
      </c>
      <c r="D25" s="24">
        <v>1</v>
      </c>
      <c r="G25" s="37" t="s">
        <v>756</v>
      </c>
      <c r="H25" s="24" t="s">
        <v>2434</v>
      </c>
      <c r="I25" s="24">
        <v>333821</v>
      </c>
      <c r="J25" s="24">
        <v>131</v>
      </c>
      <c r="K25" s="24" t="s">
        <v>21</v>
      </c>
      <c r="L25" s="24">
        <v>1</v>
      </c>
      <c r="M25" s="39">
        <v>284946</v>
      </c>
      <c r="N25" s="39">
        <f t="shared" si="1"/>
        <v>284946</v>
      </c>
      <c r="O25" s="38" t="s">
        <v>22</v>
      </c>
    </row>
    <row r="26" spans="1:15" ht="15" customHeight="1" x14ac:dyDescent="0.2">
      <c r="A26" s="24" t="s">
        <v>18</v>
      </c>
      <c r="B26" s="36" t="s">
        <v>2050</v>
      </c>
      <c r="C26" s="24">
        <f t="shared" si="0"/>
        <v>220</v>
      </c>
      <c r="D26" s="24">
        <v>1</v>
      </c>
      <c r="G26" s="37" t="s">
        <v>2411</v>
      </c>
      <c r="H26" s="24" t="s">
        <v>2435</v>
      </c>
      <c r="I26" s="24">
        <v>131</v>
      </c>
      <c r="J26" s="24">
        <v>5118</v>
      </c>
      <c r="K26" s="24" t="s">
        <v>21</v>
      </c>
      <c r="L26" s="24">
        <v>1</v>
      </c>
      <c r="M26" s="39">
        <v>7526881</v>
      </c>
      <c r="N26" s="39">
        <f t="shared" si="1"/>
        <v>7526881</v>
      </c>
      <c r="O26" s="38" t="s">
        <v>22</v>
      </c>
    </row>
    <row r="27" spans="1:15" ht="15" customHeight="1" x14ac:dyDescent="0.2">
      <c r="A27" s="24" t="s">
        <v>18</v>
      </c>
      <c r="B27" s="36" t="s">
        <v>2050</v>
      </c>
      <c r="C27" s="24">
        <f t="shared" si="0"/>
        <v>221</v>
      </c>
      <c r="D27" s="24">
        <v>1</v>
      </c>
      <c r="G27" s="37" t="s">
        <v>2411</v>
      </c>
      <c r="H27" s="24" t="s">
        <v>2436</v>
      </c>
      <c r="I27" s="24">
        <v>333821</v>
      </c>
      <c r="J27" s="24">
        <v>131</v>
      </c>
      <c r="K27" s="24" t="s">
        <v>21</v>
      </c>
      <c r="L27" s="24">
        <v>1</v>
      </c>
      <c r="M27" s="39">
        <v>75269</v>
      </c>
      <c r="N27" s="39">
        <f t="shared" si="1"/>
        <v>75269</v>
      </c>
      <c r="O27" s="38" t="s">
        <v>22</v>
      </c>
    </row>
    <row r="28" spans="1:15" ht="15" customHeight="1" x14ac:dyDescent="0.2">
      <c r="A28" s="24" t="s">
        <v>18</v>
      </c>
      <c r="B28" s="36" t="s">
        <v>2078</v>
      </c>
      <c r="C28" s="24">
        <f t="shared" si="0"/>
        <v>222</v>
      </c>
      <c r="D28" s="24">
        <v>1</v>
      </c>
      <c r="G28" s="37" t="s">
        <v>2412</v>
      </c>
      <c r="H28" s="24" t="s">
        <v>2437</v>
      </c>
      <c r="I28" s="24">
        <v>131</v>
      </c>
      <c r="J28" s="24">
        <v>5118</v>
      </c>
      <c r="K28" s="24" t="s">
        <v>21</v>
      </c>
      <c r="L28" s="24">
        <v>1</v>
      </c>
      <c r="M28" s="39">
        <v>5376344</v>
      </c>
      <c r="N28" s="39">
        <f t="shared" si="1"/>
        <v>5376344</v>
      </c>
      <c r="O28" s="38" t="s">
        <v>22</v>
      </c>
    </row>
    <row r="29" spans="1:15" ht="15" customHeight="1" x14ac:dyDescent="0.2">
      <c r="A29" s="24" t="s">
        <v>18</v>
      </c>
      <c r="B29" s="36" t="s">
        <v>2078</v>
      </c>
      <c r="C29" s="24">
        <f t="shared" si="0"/>
        <v>223</v>
      </c>
      <c r="D29" s="24">
        <v>1</v>
      </c>
      <c r="G29" s="37" t="s">
        <v>2412</v>
      </c>
      <c r="H29" s="24" t="s">
        <v>2438</v>
      </c>
      <c r="I29" s="24">
        <v>333821</v>
      </c>
      <c r="J29" s="24">
        <v>131</v>
      </c>
      <c r="K29" s="24" t="s">
        <v>21</v>
      </c>
      <c r="L29" s="24">
        <v>1</v>
      </c>
      <c r="M29" s="39">
        <v>53763</v>
      </c>
      <c r="N29" s="39">
        <f t="shared" si="1"/>
        <v>53763</v>
      </c>
      <c r="O29" s="38" t="s">
        <v>22</v>
      </c>
    </row>
    <row r="30" spans="1:15" ht="15" customHeight="1" x14ac:dyDescent="0.2">
      <c r="A30" s="24" t="s">
        <v>18</v>
      </c>
      <c r="B30" s="36" t="s">
        <v>1424</v>
      </c>
      <c r="C30" s="24">
        <f t="shared" si="0"/>
        <v>224</v>
      </c>
      <c r="D30" s="24">
        <v>1</v>
      </c>
      <c r="G30" s="37" t="s">
        <v>1107</v>
      </c>
      <c r="H30" s="24" t="s">
        <v>2439</v>
      </c>
      <c r="I30" s="24">
        <v>131</v>
      </c>
      <c r="J30" s="24">
        <v>5118</v>
      </c>
      <c r="K30" s="24" t="s">
        <v>21</v>
      </c>
      <c r="L30" s="24">
        <v>1</v>
      </c>
      <c r="M30" s="39">
        <v>5376344</v>
      </c>
      <c r="N30" s="39">
        <f t="shared" si="1"/>
        <v>5376344</v>
      </c>
      <c r="O30" s="38" t="s">
        <v>22</v>
      </c>
    </row>
    <row r="31" spans="1:15" ht="15" customHeight="1" x14ac:dyDescent="0.2">
      <c r="A31" s="24" t="s">
        <v>18</v>
      </c>
      <c r="B31" s="36" t="s">
        <v>1424</v>
      </c>
      <c r="C31" s="24">
        <f t="shared" si="0"/>
        <v>225</v>
      </c>
      <c r="D31" s="24">
        <v>1</v>
      </c>
      <c r="G31" s="37" t="s">
        <v>1107</v>
      </c>
      <c r="H31" s="24" t="s">
        <v>2440</v>
      </c>
      <c r="I31" s="24">
        <v>333821</v>
      </c>
      <c r="J31" s="24">
        <v>131</v>
      </c>
      <c r="K31" s="24" t="s">
        <v>21</v>
      </c>
      <c r="L31" s="24">
        <v>1</v>
      </c>
      <c r="M31" s="39">
        <v>53763</v>
      </c>
      <c r="N31" s="39">
        <f t="shared" si="1"/>
        <v>53763</v>
      </c>
      <c r="O31" s="38" t="s">
        <v>22</v>
      </c>
    </row>
    <row r="32" spans="1:15" ht="15" customHeight="1" x14ac:dyDescent="0.2">
      <c r="A32" s="24" t="s">
        <v>18</v>
      </c>
      <c r="B32" s="36">
        <v>45869</v>
      </c>
      <c r="C32" s="24">
        <f t="shared" si="0"/>
        <v>226</v>
      </c>
      <c r="D32" s="24">
        <v>1</v>
      </c>
      <c r="G32" s="37" t="s">
        <v>1235</v>
      </c>
      <c r="H32" s="24" t="s">
        <v>147</v>
      </c>
      <c r="I32" s="24">
        <v>64271</v>
      </c>
      <c r="J32" s="24">
        <v>3383</v>
      </c>
      <c r="K32" s="24" t="s">
        <v>21</v>
      </c>
      <c r="L32" s="24">
        <v>1</v>
      </c>
      <c r="M32" s="39">
        <v>690300</v>
      </c>
      <c r="N32" s="39">
        <v>690300</v>
      </c>
      <c r="O32" s="38" t="s">
        <v>22</v>
      </c>
    </row>
    <row r="33" spans="1:15" ht="15" customHeight="1" x14ac:dyDescent="0.2">
      <c r="A33" s="24" t="s">
        <v>18</v>
      </c>
      <c r="B33" s="36">
        <v>45900</v>
      </c>
      <c r="C33" s="24">
        <f t="shared" si="0"/>
        <v>227</v>
      </c>
      <c r="D33" s="24">
        <v>1</v>
      </c>
      <c r="G33" s="37" t="s">
        <v>1235</v>
      </c>
      <c r="H33" s="24" t="s">
        <v>280</v>
      </c>
      <c r="I33" s="24">
        <v>64271</v>
      </c>
      <c r="J33" s="24">
        <v>3383</v>
      </c>
      <c r="K33" s="24" t="s">
        <v>21</v>
      </c>
      <c r="L33" s="24">
        <v>1</v>
      </c>
      <c r="M33" s="39">
        <v>690300</v>
      </c>
      <c r="N33" s="39">
        <v>690300</v>
      </c>
      <c r="O33" s="38" t="s">
        <v>22</v>
      </c>
    </row>
    <row r="34" spans="1:15" ht="15" customHeight="1" x14ac:dyDescent="0.2">
      <c r="A34" s="24" t="s">
        <v>18</v>
      </c>
      <c r="B34" s="36">
        <v>45930</v>
      </c>
      <c r="C34" s="24">
        <f t="shared" si="0"/>
        <v>228</v>
      </c>
      <c r="D34" s="24">
        <v>1</v>
      </c>
      <c r="G34" s="37" t="s">
        <v>1235</v>
      </c>
      <c r="H34" s="24" t="s">
        <v>367</v>
      </c>
      <c r="I34" s="24">
        <v>64271</v>
      </c>
      <c r="J34" s="24">
        <v>3383</v>
      </c>
      <c r="K34" s="24" t="s">
        <v>21</v>
      </c>
      <c r="L34" s="24">
        <v>1</v>
      </c>
      <c r="M34" s="39">
        <v>690300</v>
      </c>
      <c r="N34" s="39">
        <v>690300</v>
      </c>
      <c r="O34" s="38" t="s">
        <v>22</v>
      </c>
    </row>
    <row r="35" spans="1:15" ht="15" customHeight="1" x14ac:dyDescent="0.2">
      <c r="A35" s="46" t="s">
        <v>18</v>
      </c>
      <c r="B35" s="93" t="s">
        <v>2045</v>
      </c>
      <c r="C35" s="24">
        <f t="shared" si="0"/>
        <v>229</v>
      </c>
      <c r="D35" s="24">
        <v>1</v>
      </c>
      <c r="E35" s="46"/>
      <c r="F35" s="46"/>
      <c r="G35" s="79" t="s">
        <v>158</v>
      </c>
      <c r="H35" s="46" t="s">
        <v>2457</v>
      </c>
      <c r="I35" s="46">
        <v>64277</v>
      </c>
      <c r="J35" s="46">
        <v>331</v>
      </c>
      <c r="K35" s="24" t="s">
        <v>21</v>
      </c>
      <c r="L35" s="24">
        <v>1</v>
      </c>
      <c r="M35" s="90">
        <v>3240000</v>
      </c>
      <c r="N35" s="39">
        <f t="shared" si="1"/>
        <v>3240000</v>
      </c>
      <c r="O35" s="38" t="s">
        <v>22</v>
      </c>
    </row>
    <row r="36" spans="1:15" ht="15" customHeight="1" x14ac:dyDescent="0.2">
      <c r="A36" s="46" t="s">
        <v>18</v>
      </c>
      <c r="B36" s="93" t="s">
        <v>2045</v>
      </c>
      <c r="C36" s="24">
        <f t="shared" si="0"/>
        <v>230</v>
      </c>
      <c r="D36" s="24">
        <v>1</v>
      </c>
      <c r="E36" s="46"/>
      <c r="F36" s="46"/>
      <c r="G36" s="79" t="s">
        <v>1590</v>
      </c>
      <c r="H36" s="46" t="s">
        <v>2632</v>
      </c>
      <c r="I36" s="46">
        <v>64277</v>
      </c>
      <c r="J36" s="46">
        <v>331</v>
      </c>
      <c r="K36" s="24" t="s">
        <v>21</v>
      </c>
      <c r="L36" s="24">
        <v>1</v>
      </c>
      <c r="M36" s="90">
        <v>8400000</v>
      </c>
      <c r="N36" s="39">
        <f t="shared" si="1"/>
        <v>8400000</v>
      </c>
      <c r="O36" s="38" t="s">
        <v>22</v>
      </c>
    </row>
    <row r="37" spans="1:15" ht="15" customHeight="1" x14ac:dyDescent="0.2">
      <c r="A37" s="46" t="s">
        <v>18</v>
      </c>
      <c r="B37" s="93" t="s">
        <v>2477</v>
      </c>
      <c r="C37" s="24">
        <f t="shared" si="0"/>
        <v>231</v>
      </c>
      <c r="D37" s="24">
        <v>1</v>
      </c>
      <c r="E37" s="46"/>
      <c r="F37" s="46"/>
      <c r="G37" s="79" t="s">
        <v>1569</v>
      </c>
      <c r="H37" s="42" t="s">
        <v>2489</v>
      </c>
      <c r="I37" s="46">
        <v>64276</v>
      </c>
      <c r="J37" s="46">
        <v>331</v>
      </c>
      <c r="K37" s="24" t="s">
        <v>21</v>
      </c>
      <c r="L37" s="24">
        <v>1</v>
      </c>
      <c r="M37" s="90">
        <v>65000</v>
      </c>
      <c r="N37" s="39">
        <f t="shared" si="1"/>
        <v>65000</v>
      </c>
      <c r="O37" s="38" t="s">
        <v>22</v>
      </c>
    </row>
    <row r="38" spans="1:15" ht="15" customHeight="1" x14ac:dyDescent="0.2">
      <c r="A38" s="46" t="s">
        <v>18</v>
      </c>
      <c r="B38" s="36" t="s">
        <v>2477</v>
      </c>
      <c r="C38" s="24">
        <f t="shared" si="0"/>
        <v>232</v>
      </c>
      <c r="D38" s="24">
        <v>1</v>
      </c>
      <c r="G38" s="37" t="s">
        <v>1569</v>
      </c>
      <c r="H38" s="42" t="s">
        <v>2490</v>
      </c>
      <c r="I38" s="46">
        <v>64276</v>
      </c>
      <c r="J38" s="46">
        <v>331</v>
      </c>
      <c r="K38" s="24" t="s">
        <v>21</v>
      </c>
      <c r="L38" s="24">
        <v>1</v>
      </c>
      <c r="M38" s="39">
        <v>20000</v>
      </c>
      <c r="N38" s="39">
        <f t="shared" si="1"/>
        <v>20000</v>
      </c>
      <c r="O38" s="38" t="s">
        <v>22</v>
      </c>
    </row>
    <row r="39" spans="1:15" ht="15" customHeight="1" x14ac:dyDescent="0.2">
      <c r="A39" s="46" t="s">
        <v>18</v>
      </c>
      <c r="B39" s="36" t="s">
        <v>2477</v>
      </c>
      <c r="C39" s="24">
        <f t="shared" si="0"/>
        <v>233</v>
      </c>
      <c r="D39" s="24">
        <v>1</v>
      </c>
      <c r="G39" s="37" t="s">
        <v>1569</v>
      </c>
      <c r="H39" s="42" t="s">
        <v>2491</v>
      </c>
      <c r="I39" s="46">
        <v>64276</v>
      </c>
      <c r="J39" s="46">
        <v>331</v>
      </c>
      <c r="K39" s="24" t="s">
        <v>21</v>
      </c>
      <c r="L39" s="24">
        <v>1</v>
      </c>
      <c r="M39" s="39">
        <v>21000</v>
      </c>
      <c r="N39" s="39">
        <f t="shared" si="1"/>
        <v>21000</v>
      </c>
      <c r="O39" s="38" t="s">
        <v>22</v>
      </c>
    </row>
    <row r="40" spans="1:15" ht="15" customHeight="1" x14ac:dyDescent="0.2">
      <c r="A40" s="46" t="s">
        <v>18</v>
      </c>
      <c r="B40" s="36" t="s">
        <v>2477</v>
      </c>
      <c r="C40" s="24">
        <f t="shared" si="0"/>
        <v>234</v>
      </c>
      <c r="D40" s="24">
        <v>1</v>
      </c>
      <c r="G40" s="37" t="s">
        <v>1569</v>
      </c>
      <c r="H40" s="42" t="s">
        <v>2492</v>
      </c>
      <c r="I40" s="46">
        <v>64276</v>
      </c>
      <c r="J40" s="46">
        <v>331</v>
      </c>
      <c r="K40" s="24" t="s">
        <v>21</v>
      </c>
      <c r="L40" s="24">
        <v>1</v>
      </c>
      <c r="M40" s="39">
        <v>31000</v>
      </c>
      <c r="N40" s="39">
        <f t="shared" si="1"/>
        <v>31000</v>
      </c>
      <c r="O40" s="38" t="s">
        <v>22</v>
      </c>
    </row>
    <row r="41" spans="1:15" ht="15" customHeight="1" x14ac:dyDescent="0.2">
      <c r="A41" s="46" t="s">
        <v>18</v>
      </c>
      <c r="B41" s="36" t="s">
        <v>2477</v>
      </c>
      <c r="C41" s="24">
        <f t="shared" si="0"/>
        <v>235</v>
      </c>
      <c r="D41" s="24">
        <v>1</v>
      </c>
      <c r="G41" s="37" t="s">
        <v>1569</v>
      </c>
      <c r="H41" s="42" t="s">
        <v>2493</v>
      </c>
      <c r="I41" s="46">
        <v>64276</v>
      </c>
      <c r="J41" s="46">
        <v>331</v>
      </c>
      <c r="K41" s="24" t="s">
        <v>21</v>
      </c>
      <c r="L41" s="24">
        <v>1</v>
      </c>
      <c r="M41" s="39">
        <v>39000</v>
      </c>
      <c r="N41" s="39">
        <f t="shared" si="1"/>
        <v>39000</v>
      </c>
      <c r="O41" s="38" t="s">
        <v>22</v>
      </c>
    </row>
    <row r="42" spans="1:15" ht="15" customHeight="1" x14ac:dyDescent="0.2">
      <c r="A42" s="46" t="s">
        <v>18</v>
      </c>
      <c r="B42" s="36" t="s">
        <v>2354</v>
      </c>
      <c r="C42" s="24">
        <f t="shared" si="0"/>
        <v>236</v>
      </c>
      <c r="D42" s="24">
        <v>1</v>
      </c>
      <c r="G42" s="37" t="s">
        <v>1569</v>
      </c>
      <c r="H42" s="42" t="s">
        <v>2494</v>
      </c>
      <c r="I42" s="46">
        <v>64276</v>
      </c>
      <c r="J42" s="46">
        <v>331</v>
      </c>
      <c r="K42" s="24" t="s">
        <v>21</v>
      </c>
      <c r="L42" s="24">
        <v>1</v>
      </c>
      <c r="M42" s="39">
        <v>38000</v>
      </c>
      <c r="N42" s="39">
        <f t="shared" si="1"/>
        <v>38000</v>
      </c>
      <c r="O42" s="38" t="s">
        <v>22</v>
      </c>
    </row>
    <row r="43" spans="1:15" ht="15" customHeight="1" x14ac:dyDescent="0.2">
      <c r="A43" s="46" t="s">
        <v>18</v>
      </c>
      <c r="B43" s="36" t="s">
        <v>2441</v>
      </c>
      <c r="C43" s="24">
        <f t="shared" si="0"/>
        <v>237</v>
      </c>
      <c r="D43" s="24">
        <v>1</v>
      </c>
      <c r="G43" s="37" t="s">
        <v>1569</v>
      </c>
      <c r="H43" s="42" t="s">
        <v>2495</v>
      </c>
      <c r="I43" s="46">
        <v>64276</v>
      </c>
      <c r="J43" s="46">
        <v>331</v>
      </c>
      <c r="K43" s="24" t="s">
        <v>21</v>
      </c>
      <c r="L43" s="24">
        <v>1</v>
      </c>
      <c r="M43" s="39">
        <v>75000</v>
      </c>
      <c r="N43" s="39">
        <f t="shared" si="1"/>
        <v>75000</v>
      </c>
      <c r="O43" s="38" t="s">
        <v>22</v>
      </c>
    </row>
    <row r="44" spans="1:15" ht="15" customHeight="1" x14ac:dyDescent="0.2">
      <c r="A44" s="46" t="s">
        <v>18</v>
      </c>
      <c r="B44" s="36" t="s">
        <v>2441</v>
      </c>
      <c r="C44" s="24">
        <f t="shared" si="0"/>
        <v>238</v>
      </c>
      <c r="D44" s="24">
        <v>1</v>
      </c>
      <c r="G44" s="37" t="s">
        <v>1569</v>
      </c>
      <c r="H44" s="42" t="s">
        <v>2496</v>
      </c>
      <c r="I44" s="46">
        <v>64276</v>
      </c>
      <c r="J44" s="46">
        <v>331</v>
      </c>
      <c r="K44" s="24" t="s">
        <v>21</v>
      </c>
      <c r="L44" s="24">
        <v>1</v>
      </c>
      <c r="M44" s="39">
        <v>76000</v>
      </c>
      <c r="N44" s="39">
        <f t="shared" si="1"/>
        <v>76000</v>
      </c>
      <c r="O44" s="38" t="s">
        <v>22</v>
      </c>
    </row>
    <row r="45" spans="1:15" ht="15" customHeight="1" x14ac:dyDescent="0.2">
      <c r="A45" s="46" t="s">
        <v>18</v>
      </c>
      <c r="B45" s="36" t="s">
        <v>2442</v>
      </c>
      <c r="C45" s="24">
        <f t="shared" si="0"/>
        <v>239</v>
      </c>
      <c r="D45" s="24">
        <v>1</v>
      </c>
      <c r="G45" s="37" t="s">
        <v>1569</v>
      </c>
      <c r="H45" s="42" t="s">
        <v>2497</v>
      </c>
      <c r="I45" s="46">
        <v>64276</v>
      </c>
      <c r="J45" s="46">
        <v>331</v>
      </c>
      <c r="K45" s="24" t="s">
        <v>21</v>
      </c>
      <c r="L45" s="24">
        <v>1</v>
      </c>
      <c r="M45" s="39">
        <v>48000</v>
      </c>
      <c r="N45" s="39">
        <f t="shared" si="1"/>
        <v>48000</v>
      </c>
      <c r="O45" s="38" t="s">
        <v>22</v>
      </c>
    </row>
    <row r="46" spans="1:15" ht="15" customHeight="1" x14ac:dyDescent="0.2">
      <c r="A46" s="46" t="s">
        <v>18</v>
      </c>
      <c r="B46" s="36" t="s">
        <v>2442</v>
      </c>
      <c r="C46" s="24">
        <f t="shared" si="0"/>
        <v>240</v>
      </c>
      <c r="D46" s="24">
        <v>1</v>
      </c>
      <c r="G46" s="37" t="s">
        <v>1569</v>
      </c>
      <c r="H46" s="42" t="s">
        <v>2498</v>
      </c>
      <c r="I46" s="46">
        <v>64276</v>
      </c>
      <c r="J46" s="46">
        <v>331</v>
      </c>
      <c r="K46" s="24" t="s">
        <v>21</v>
      </c>
      <c r="L46" s="24">
        <v>1</v>
      </c>
      <c r="M46" s="39">
        <v>67000</v>
      </c>
      <c r="N46" s="39">
        <f t="shared" si="1"/>
        <v>67000</v>
      </c>
      <c r="O46" s="38" t="s">
        <v>22</v>
      </c>
    </row>
    <row r="47" spans="1:15" ht="15" customHeight="1" x14ac:dyDescent="0.2">
      <c r="A47" s="46" t="s">
        <v>18</v>
      </c>
      <c r="B47" s="36" t="s">
        <v>2442</v>
      </c>
      <c r="C47" s="24">
        <f t="shared" si="0"/>
        <v>241</v>
      </c>
      <c r="D47" s="24">
        <v>1</v>
      </c>
      <c r="G47" s="37" t="s">
        <v>1569</v>
      </c>
      <c r="H47" s="42" t="s">
        <v>2499</v>
      </c>
      <c r="I47" s="46">
        <v>64276</v>
      </c>
      <c r="J47" s="46">
        <v>331</v>
      </c>
      <c r="K47" s="24" t="s">
        <v>21</v>
      </c>
      <c r="L47" s="24">
        <v>1</v>
      </c>
      <c r="M47" s="39">
        <v>39000</v>
      </c>
      <c r="N47" s="39">
        <f t="shared" si="1"/>
        <v>39000</v>
      </c>
      <c r="O47" s="38" t="s">
        <v>22</v>
      </c>
    </row>
    <row r="48" spans="1:15" ht="15" customHeight="1" x14ac:dyDescent="0.2">
      <c r="A48" s="46" t="s">
        <v>18</v>
      </c>
      <c r="B48" s="36" t="s">
        <v>2487</v>
      </c>
      <c r="C48" s="24">
        <f t="shared" si="0"/>
        <v>242</v>
      </c>
      <c r="D48" s="24">
        <v>1</v>
      </c>
      <c r="G48" s="37" t="s">
        <v>1569</v>
      </c>
      <c r="H48" s="42" t="s">
        <v>2500</v>
      </c>
      <c r="I48" s="46">
        <v>64276</v>
      </c>
      <c r="J48" s="46">
        <v>331</v>
      </c>
      <c r="K48" s="24" t="s">
        <v>21</v>
      </c>
      <c r="L48" s="24">
        <v>1</v>
      </c>
      <c r="M48" s="39">
        <v>54000</v>
      </c>
      <c r="N48" s="39">
        <f t="shared" si="1"/>
        <v>54000</v>
      </c>
      <c r="O48" s="38" t="s">
        <v>22</v>
      </c>
    </row>
    <row r="49" spans="1:15" ht="15" customHeight="1" x14ac:dyDescent="0.2">
      <c r="A49" s="46" t="s">
        <v>18</v>
      </c>
      <c r="B49" s="36" t="s">
        <v>2487</v>
      </c>
      <c r="C49" s="24">
        <f t="shared" si="0"/>
        <v>243</v>
      </c>
      <c r="D49" s="24">
        <v>1</v>
      </c>
      <c r="G49" s="37" t="s">
        <v>1569</v>
      </c>
      <c r="H49" s="42" t="s">
        <v>2501</v>
      </c>
      <c r="I49" s="46">
        <v>64276</v>
      </c>
      <c r="J49" s="46">
        <v>331</v>
      </c>
      <c r="K49" s="24" t="s">
        <v>21</v>
      </c>
      <c r="L49" s="24">
        <v>1</v>
      </c>
      <c r="M49" s="39">
        <v>54000</v>
      </c>
      <c r="N49" s="39">
        <f t="shared" si="1"/>
        <v>54000</v>
      </c>
      <c r="O49" s="38" t="s">
        <v>22</v>
      </c>
    </row>
    <row r="50" spans="1:15" ht="15" customHeight="1" x14ac:dyDescent="0.2">
      <c r="A50" s="46" t="s">
        <v>18</v>
      </c>
      <c r="B50" s="36" t="s">
        <v>2478</v>
      </c>
      <c r="C50" s="24">
        <f t="shared" si="0"/>
        <v>244</v>
      </c>
      <c r="D50" s="24">
        <v>1</v>
      </c>
      <c r="G50" s="37" t="s">
        <v>1569</v>
      </c>
      <c r="H50" s="42" t="s">
        <v>2502</v>
      </c>
      <c r="I50" s="46">
        <v>64276</v>
      </c>
      <c r="J50" s="46">
        <v>331</v>
      </c>
      <c r="K50" s="24" t="s">
        <v>21</v>
      </c>
      <c r="L50" s="24">
        <v>1</v>
      </c>
      <c r="M50" s="39">
        <v>29000</v>
      </c>
      <c r="N50" s="39">
        <f t="shared" si="1"/>
        <v>29000</v>
      </c>
      <c r="O50" s="38" t="s">
        <v>22</v>
      </c>
    </row>
    <row r="51" spans="1:15" ht="15" customHeight="1" x14ac:dyDescent="0.2">
      <c r="A51" s="46" t="s">
        <v>18</v>
      </c>
      <c r="B51" s="36" t="s">
        <v>2478</v>
      </c>
      <c r="C51" s="24">
        <f t="shared" si="0"/>
        <v>245</v>
      </c>
      <c r="D51" s="24">
        <v>1</v>
      </c>
      <c r="G51" s="37" t="s">
        <v>1569</v>
      </c>
      <c r="H51" s="42" t="s">
        <v>2503</v>
      </c>
      <c r="I51" s="46">
        <v>64276</v>
      </c>
      <c r="J51" s="46">
        <v>331</v>
      </c>
      <c r="K51" s="24" t="s">
        <v>21</v>
      </c>
      <c r="L51" s="24">
        <v>1</v>
      </c>
      <c r="M51" s="39">
        <v>32000</v>
      </c>
      <c r="N51" s="39">
        <f t="shared" si="1"/>
        <v>32000</v>
      </c>
      <c r="O51" s="38" t="s">
        <v>22</v>
      </c>
    </row>
    <row r="52" spans="1:15" ht="15" customHeight="1" x14ac:dyDescent="0.2">
      <c r="A52" s="46" t="s">
        <v>18</v>
      </c>
      <c r="B52" s="36" t="s">
        <v>2479</v>
      </c>
      <c r="C52" s="24">
        <f t="shared" si="0"/>
        <v>246</v>
      </c>
      <c r="D52" s="24">
        <v>1</v>
      </c>
      <c r="G52" s="37" t="s">
        <v>1569</v>
      </c>
      <c r="H52" s="42" t="s">
        <v>2504</v>
      </c>
      <c r="I52" s="46">
        <v>64276</v>
      </c>
      <c r="J52" s="46">
        <v>331</v>
      </c>
      <c r="K52" s="24" t="s">
        <v>21</v>
      </c>
      <c r="L52" s="24">
        <v>1</v>
      </c>
      <c r="M52" s="39">
        <v>19000</v>
      </c>
      <c r="N52" s="39">
        <f t="shared" si="1"/>
        <v>19000</v>
      </c>
      <c r="O52" s="38" t="s">
        <v>22</v>
      </c>
    </row>
    <row r="53" spans="1:15" ht="15" customHeight="1" x14ac:dyDescent="0.2">
      <c r="A53" s="46" t="s">
        <v>18</v>
      </c>
      <c r="B53" s="36" t="s">
        <v>2116</v>
      </c>
      <c r="C53" s="24">
        <f t="shared" si="0"/>
        <v>247</v>
      </c>
      <c r="D53" s="24">
        <v>1</v>
      </c>
      <c r="G53" s="37" t="s">
        <v>1569</v>
      </c>
      <c r="H53" s="42" t="s">
        <v>2505</v>
      </c>
      <c r="I53" s="46">
        <v>64276</v>
      </c>
      <c r="J53" s="46">
        <v>331</v>
      </c>
      <c r="K53" s="24" t="s">
        <v>21</v>
      </c>
      <c r="L53" s="24">
        <v>1</v>
      </c>
      <c r="M53" s="39">
        <v>49000</v>
      </c>
      <c r="N53" s="39">
        <f t="shared" si="1"/>
        <v>49000</v>
      </c>
      <c r="O53" s="38" t="s">
        <v>22</v>
      </c>
    </row>
    <row r="54" spans="1:15" ht="15" customHeight="1" x14ac:dyDescent="0.2">
      <c r="A54" s="46" t="s">
        <v>18</v>
      </c>
      <c r="B54" s="36" t="s">
        <v>2116</v>
      </c>
      <c r="C54" s="24">
        <f t="shared" si="0"/>
        <v>248</v>
      </c>
      <c r="D54" s="24">
        <v>1</v>
      </c>
      <c r="G54" s="37" t="s">
        <v>1569</v>
      </c>
      <c r="H54" s="42" t="s">
        <v>2506</v>
      </c>
      <c r="I54" s="46">
        <v>64276</v>
      </c>
      <c r="J54" s="46">
        <v>331</v>
      </c>
      <c r="K54" s="24" t="s">
        <v>21</v>
      </c>
      <c r="L54" s="24">
        <v>1</v>
      </c>
      <c r="M54" s="39">
        <v>20000</v>
      </c>
      <c r="N54" s="39">
        <f t="shared" si="1"/>
        <v>20000</v>
      </c>
      <c r="O54" s="38" t="s">
        <v>22</v>
      </c>
    </row>
    <row r="55" spans="1:15" ht="15" customHeight="1" x14ac:dyDescent="0.2">
      <c r="A55" s="46" t="s">
        <v>18</v>
      </c>
      <c r="B55" s="36" t="s">
        <v>2116</v>
      </c>
      <c r="C55" s="24">
        <f t="shared" si="0"/>
        <v>249</v>
      </c>
      <c r="D55" s="24">
        <v>1</v>
      </c>
      <c r="G55" s="37" t="s">
        <v>1569</v>
      </c>
      <c r="H55" s="42" t="s">
        <v>2507</v>
      </c>
      <c r="I55" s="46">
        <v>64276</v>
      </c>
      <c r="J55" s="46">
        <v>331</v>
      </c>
      <c r="K55" s="24" t="s">
        <v>21</v>
      </c>
      <c r="L55" s="24">
        <v>1</v>
      </c>
      <c r="M55" s="39">
        <v>21000</v>
      </c>
      <c r="N55" s="39">
        <f t="shared" si="1"/>
        <v>21000</v>
      </c>
      <c r="O55" s="38" t="s">
        <v>22</v>
      </c>
    </row>
    <row r="56" spans="1:15" ht="15" customHeight="1" x14ac:dyDescent="0.2">
      <c r="A56" s="46" t="s">
        <v>18</v>
      </c>
      <c r="B56" s="36" t="s">
        <v>2117</v>
      </c>
      <c r="C56" s="24">
        <f t="shared" si="0"/>
        <v>250</v>
      </c>
      <c r="D56" s="24">
        <v>1</v>
      </c>
      <c r="G56" s="37" t="s">
        <v>1569</v>
      </c>
      <c r="H56" s="42" t="s">
        <v>2508</v>
      </c>
      <c r="I56" s="46">
        <v>64276</v>
      </c>
      <c r="J56" s="46">
        <v>331</v>
      </c>
      <c r="K56" s="24" t="s">
        <v>21</v>
      </c>
      <c r="L56" s="24">
        <v>1</v>
      </c>
      <c r="M56" s="39">
        <v>32000</v>
      </c>
      <c r="N56" s="39">
        <f t="shared" si="1"/>
        <v>32000</v>
      </c>
      <c r="O56" s="38" t="s">
        <v>22</v>
      </c>
    </row>
    <row r="57" spans="1:15" ht="15" customHeight="1" x14ac:dyDescent="0.2">
      <c r="A57" s="46" t="s">
        <v>18</v>
      </c>
      <c r="B57" s="36" t="s">
        <v>2117</v>
      </c>
      <c r="C57" s="24">
        <f t="shared" si="0"/>
        <v>251</v>
      </c>
      <c r="D57" s="24">
        <v>1</v>
      </c>
      <c r="G57" s="37" t="s">
        <v>1569</v>
      </c>
      <c r="H57" s="42" t="s">
        <v>2509</v>
      </c>
      <c r="I57" s="46">
        <v>64276</v>
      </c>
      <c r="J57" s="46">
        <v>331</v>
      </c>
      <c r="K57" s="24" t="s">
        <v>21</v>
      </c>
      <c r="L57" s="24">
        <v>1</v>
      </c>
      <c r="M57" s="39">
        <v>37000</v>
      </c>
      <c r="N57" s="39">
        <f t="shared" si="1"/>
        <v>37000</v>
      </c>
      <c r="O57" s="38" t="s">
        <v>22</v>
      </c>
    </row>
    <row r="58" spans="1:15" ht="15" customHeight="1" x14ac:dyDescent="0.2">
      <c r="A58" s="46" t="s">
        <v>18</v>
      </c>
      <c r="B58" s="36" t="s">
        <v>1532</v>
      </c>
      <c r="C58" s="24">
        <f t="shared" si="0"/>
        <v>252</v>
      </c>
      <c r="D58" s="24">
        <v>1</v>
      </c>
      <c r="G58" s="37" t="s">
        <v>1569</v>
      </c>
      <c r="H58" s="42" t="s">
        <v>2510</v>
      </c>
      <c r="I58" s="46">
        <v>64276</v>
      </c>
      <c r="J58" s="46">
        <v>331</v>
      </c>
      <c r="K58" s="24" t="s">
        <v>21</v>
      </c>
      <c r="L58" s="24">
        <v>1</v>
      </c>
      <c r="M58" s="39">
        <v>112000</v>
      </c>
      <c r="N58" s="39">
        <f t="shared" si="1"/>
        <v>112000</v>
      </c>
      <c r="O58" s="38" t="s">
        <v>22</v>
      </c>
    </row>
    <row r="59" spans="1:15" ht="15" customHeight="1" x14ac:dyDescent="0.2">
      <c r="A59" s="46" t="s">
        <v>18</v>
      </c>
      <c r="B59" s="36" t="s">
        <v>1532</v>
      </c>
      <c r="C59" s="24">
        <f t="shared" si="0"/>
        <v>253</v>
      </c>
      <c r="D59" s="24">
        <v>1</v>
      </c>
      <c r="G59" s="37" t="s">
        <v>1569</v>
      </c>
      <c r="H59" s="42" t="s">
        <v>2511</v>
      </c>
      <c r="I59" s="46">
        <v>64276</v>
      </c>
      <c r="J59" s="46">
        <v>331</v>
      </c>
      <c r="K59" s="24" t="s">
        <v>21</v>
      </c>
      <c r="L59" s="24">
        <v>1</v>
      </c>
      <c r="M59" s="39">
        <v>105000</v>
      </c>
      <c r="N59" s="39">
        <f t="shared" si="1"/>
        <v>105000</v>
      </c>
      <c r="O59" s="38" t="s">
        <v>22</v>
      </c>
    </row>
    <row r="60" spans="1:15" ht="15" customHeight="1" x14ac:dyDescent="0.2">
      <c r="A60" s="46" t="s">
        <v>18</v>
      </c>
      <c r="B60" s="36" t="s">
        <v>2042</v>
      </c>
      <c r="C60" s="24">
        <f t="shared" si="0"/>
        <v>254</v>
      </c>
      <c r="D60" s="24">
        <v>1</v>
      </c>
      <c r="G60" s="37" t="s">
        <v>1569</v>
      </c>
      <c r="H60" s="42" t="s">
        <v>2512</v>
      </c>
      <c r="I60" s="46">
        <v>64276</v>
      </c>
      <c r="J60" s="46">
        <v>331</v>
      </c>
      <c r="K60" s="24" t="s">
        <v>21</v>
      </c>
      <c r="L60" s="24">
        <v>1</v>
      </c>
      <c r="M60" s="39">
        <v>32000</v>
      </c>
      <c r="N60" s="39">
        <f t="shared" si="1"/>
        <v>32000</v>
      </c>
      <c r="O60" s="38" t="s">
        <v>22</v>
      </c>
    </row>
    <row r="61" spans="1:15" ht="15" customHeight="1" x14ac:dyDescent="0.2">
      <c r="A61" s="46" t="s">
        <v>18</v>
      </c>
      <c r="B61" s="36" t="s">
        <v>2480</v>
      </c>
      <c r="C61" s="24">
        <f t="shared" si="0"/>
        <v>255</v>
      </c>
      <c r="D61" s="24">
        <v>1</v>
      </c>
      <c r="G61" s="37" t="s">
        <v>1569</v>
      </c>
      <c r="H61" s="42" t="s">
        <v>2513</v>
      </c>
      <c r="I61" s="46">
        <v>64276</v>
      </c>
      <c r="J61" s="46">
        <v>331</v>
      </c>
      <c r="K61" s="24" t="s">
        <v>21</v>
      </c>
      <c r="L61" s="24">
        <v>1</v>
      </c>
      <c r="M61" s="39">
        <v>38000</v>
      </c>
      <c r="N61" s="39">
        <f t="shared" si="1"/>
        <v>38000</v>
      </c>
      <c r="O61" s="38" t="s">
        <v>22</v>
      </c>
    </row>
    <row r="62" spans="1:15" ht="15" customHeight="1" x14ac:dyDescent="0.2">
      <c r="A62" s="46" t="s">
        <v>18</v>
      </c>
      <c r="B62" s="36" t="s">
        <v>2480</v>
      </c>
      <c r="C62" s="24">
        <f t="shared" si="0"/>
        <v>256</v>
      </c>
      <c r="D62" s="24">
        <v>1</v>
      </c>
      <c r="G62" s="37" t="s">
        <v>1569</v>
      </c>
      <c r="H62" s="42" t="s">
        <v>2514</v>
      </c>
      <c r="I62" s="46">
        <v>64276</v>
      </c>
      <c r="J62" s="46">
        <v>331</v>
      </c>
      <c r="K62" s="24" t="s">
        <v>21</v>
      </c>
      <c r="L62" s="24">
        <v>1</v>
      </c>
      <c r="M62" s="39">
        <v>40000</v>
      </c>
      <c r="N62" s="39">
        <f t="shared" si="1"/>
        <v>40000</v>
      </c>
      <c r="O62" s="38" t="s">
        <v>22</v>
      </c>
    </row>
    <row r="63" spans="1:15" ht="15" customHeight="1" x14ac:dyDescent="0.2">
      <c r="A63" s="46" t="s">
        <v>18</v>
      </c>
      <c r="B63" s="36" t="s">
        <v>2231</v>
      </c>
      <c r="C63" s="24">
        <f t="shared" si="0"/>
        <v>257</v>
      </c>
      <c r="D63" s="24">
        <v>1</v>
      </c>
      <c r="G63" s="37" t="s">
        <v>1569</v>
      </c>
      <c r="H63" s="42" t="s">
        <v>2515</v>
      </c>
      <c r="I63" s="46">
        <v>64276</v>
      </c>
      <c r="J63" s="46">
        <v>331</v>
      </c>
      <c r="K63" s="24" t="s">
        <v>21</v>
      </c>
      <c r="L63" s="24">
        <v>1</v>
      </c>
      <c r="M63" s="39">
        <v>25000</v>
      </c>
      <c r="N63" s="39">
        <f t="shared" si="1"/>
        <v>25000</v>
      </c>
      <c r="O63" s="38" t="s">
        <v>22</v>
      </c>
    </row>
    <row r="64" spans="1:15" ht="15" customHeight="1" x14ac:dyDescent="0.2">
      <c r="A64" s="46" t="s">
        <v>18</v>
      </c>
      <c r="B64" s="36" t="s">
        <v>2231</v>
      </c>
      <c r="C64" s="24">
        <f t="shared" si="0"/>
        <v>258</v>
      </c>
      <c r="D64" s="24">
        <v>1</v>
      </c>
      <c r="G64" s="37" t="s">
        <v>1569</v>
      </c>
      <c r="H64" s="42" t="s">
        <v>2516</v>
      </c>
      <c r="I64" s="46">
        <v>64276</v>
      </c>
      <c r="J64" s="46">
        <v>331</v>
      </c>
      <c r="K64" s="24" t="s">
        <v>21</v>
      </c>
      <c r="L64" s="24">
        <v>1</v>
      </c>
      <c r="M64" s="39">
        <v>36000</v>
      </c>
      <c r="N64" s="39">
        <f t="shared" si="1"/>
        <v>36000</v>
      </c>
      <c r="O64" s="38" t="s">
        <v>22</v>
      </c>
    </row>
    <row r="65" spans="1:15" ht="15" customHeight="1" x14ac:dyDescent="0.2">
      <c r="A65" s="46" t="s">
        <v>18</v>
      </c>
      <c r="B65" s="36" t="s">
        <v>2231</v>
      </c>
      <c r="C65" s="24">
        <f t="shared" si="0"/>
        <v>259</v>
      </c>
      <c r="D65" s="24">
        <v>1</v>
      </c>
      <c r="G65" s="37" t="s">
        <v>1569</v>
      </c>
      <c r="H65" s="42" t="s">
        <v>2517</v>
      </c>
      <c r="I65" s="46">
        <v>64276</v>
      </c>
      <c r="J65" s="46">
        <v>331</v>
      </c>
      <c r="K65" s="24" t="s">
        <v>21</v>
      </c>
      <c r="L65" s="24">
        <v>1</v>
      </c>
      <c r="M65" s="39">
        <v>43000</v>
      </c>
      <c r="N65" s="39">
        <f t="shared" si="1"/>
        <v>43000</v>
      </c>
      <c r="O65" s="38" t="s">
        <v>22</v>
      </c>
    </row>
    <row r="66" spans="1:15" ht="15" customHeight="1" x14ac:dyDescent="0.2">
      <c r="A66" s="46" t="s">
        <v>18</v>
      </c>
      <c r="B66" s="36" t="s">
        <v>2073</v>
      </c>
      <c r="C66" s="24">
        <f t="shared" si="0"/>
        <v>260</v>
      </c>
      <c r="D66" s="24">
        <v>1</v>
      </c>
      <c r="G66" s="37" t="s">
        <v>1569</v>
      </c>
      <c r="H66" s="42" t="s">
        <v>2518</v>
      </c>
      <c r="I66" s="46">
        <v>64276</v>
      </c>
      <c r="J66" s="46">
        <v>331</v>
      </c>
      <c r="K66" s="24" t="s">
        <v>21</v>
      </c>
      <c r="L66" s="24">
        <v>1</v>
      </c>
      <c r="M66" s="39">
        <v>49000</v>
      </c>
      <c r="N66" s="39">
        <f t="shared" si="1"/>
        <v>49000</v>
      </c>
      <c r="O66" s="38" t="s">
        <v>22</v>
      </c>
    </row>
    <row r="67" spans="1:15" ht="15" customHeight="1" x14ac:dyDescent="0.2">
      <c r="A67" s="46" t="s">
        <v>18</v>
      </c>
      <c r="B67" s="36" t="s">
        <v>2073</v>
      </c>
      <c r="C67" s="24">
        <f t="shared" si="0"/>
        <v>261</v>
      </c>
      <c r="D67" s="24">
        <v>1</v>
      </c>
      <c r="G67" s="37" t="s">
        <v>1569</v>
      </c>
      <c r="H67" s="42" t="s">
        <v>2519</v>
      </c>
      <c r="I67" s="46">
        <v>64276</v>
      </c>
      <c r="J67" s="46">
        <v>331</v>
      </c>
      <c r="K67" s="24" t="s">
        <v>21</v>
      </c>
      <c r="L67" s="24">
        <v>1</v>
      </c>
      <c r="M67" s="39">
        <v>28000</v>
      </c>
      <c r="N67" s="39">
        <f t="shared" si="1"/>
        <v>28000</v>
      </c>
      <c r="O67" s="38" t="s">
        <v>22</v>
      </c>
    </row>
    <row r="68" spans="1:15" ht="15" customHeight="1" x14ac:dyDescent="0.2">
      <c r="A68" s="46" t="s">
        <v>18</v>
      </c>
      <c r="B68" s="36" t="s">
        <v>2073</v>
      </c>
      <c r="C68" s="24">
        <f t="shared" si="0"/>
        <v>262</v>
      </c>
      <c r="D68" s="24">
        <v>1</v>
      </c>
      <c r="G68" s="37" t="s">
        <v>1569</v>
      </c>
      <c r="H68" s="42" t="s">
        <v>2520</v>
      </c>
      <c r="I68" s="46">
        <v>64276</v>
      </c>
      <c r="J68" s="46">
        <v>331</v>
      </c>
      <c r="K68" s="24" t="s">
        <v>21</v>
      </c>
      <c r="L68" s="24">
        <v>1</v>
      </c>
      <c r="M68" s="39">
        <v>49000</v>
      </c>
      <c r="N68" s="39">
        <f t="shared" si="1"/>
        <v>49000</v>
      </c>
      <c r="O68" s="38" t="s">
        <v>22</v>
      </c>
    </row>
    <row r="69" spans="1:15" ht="15" customHeight="1" x14ac:dyDescent="0.2">
      <c r="A69" s="46" t="s">
        <v>18</v>
      </c>
      <c r="B69" s="36" t="s">
        <v>2073</v>
      </c>
      <c r="C69" s="24">
        <f t="shared" ref="C69:C132" si="2">C68+D69</f>
        <v>263</v>
      </c>
      <c r="D69" s="24">
        <v>1</v>
      </c>
      <c r="G69" s="37" t="s">
        <v>1569</v>
      </c>
      <c r="H69" s="42" t="s">
        <v>2521</v>
      </c>
      <c r="I69" s="46">
        <v>64276</v>
      </c>
      <c r="J69" s="46">
        <v>331</v>
      </c>
      <c r="K69" s="24" t="s">
        <v>21</v>
      </c>
      <c r="L69" s="24">
        <v>1</v>
      </c>
      <c r="M69" s="39">
        <v>71000</v>
      </c>
      <c r="N69" s="39">
        <f t="shared" si="1"/>
        <v>71000</v>
      </c>
      <c r="O69" s="38" t="s">
        <v>22</v>
      </c>
    </row>
    <row r="70" spans="1:15" ht="15" customHeight="1" x14ac:dyDescent="0.2">
      <c r="A70" s="46" t="s">
        <v>18</v>
      </c>
      <c r="B70" s="36" t="s">
        <v>2073</v>
      </c>
      <c r="C70" s="24">
        <f t="shared" si="2"/>
        <v>264</v>
      </c>
      <c r="D70" s="24">
        <v>1</v>
      </c>
      <c r="G70" s="37" t="s">
        <v>1569</v>
      </c>
      <c r="H70" s="42" t="s">
        <v>2522</v>
      </c>
      <c r="I70" s="46">
        <v>64276</v>
      </c>
      <c r="J70" s="46">
        <v>331</v>
      </c>
      <c r="K70" s="24" t="s">
        <v>21</v>
      </c>
      <c r="L70" s="24">
        <v>1</v>
      </c>
      <c r="M70" s="39">
        <v>72000</v>
      </c>
      <c r="N70" s="39">
        <f t="shared" si="1"/>
        <v>72000</v>
      </c>
      <c r="O70" s="38" t="s">
        <v>22</v>
      </c>
    </row>
    <row r="71" spans="1:15" ht="15" customHeight="1" x14ac:dyDescent="0.2">
      <c r="A71" s="46" t="s">
        <v>18</v>
      </c>
      <c r="B71" s="36" t="s">
        <v>2073</v>
      </c>
      <c r="C71" s="24">
        <f t="shared" si="2"/>
        <v>265</v>
      </c>
      <c r="D71" s="24">
        <v>1</v>
      </c>
      <c r="G71" s="37" t="s">
        <v>1569</v>
      </c>
      <c r="H71" s="42" t="s">
        <v>2523</v>
      </c>
      <c r="I71" s="46">
        <v>64276</v>
      </c>
      <c r="J71" s="46">
        <v>331</v>
      </c>
      <c r="K71" s="24" t="s">
        <v>21</v>
      </c>
      <c r="L71" s="24">
        <v>1</v>
      </c>
      <c r="M71" s="39">
        <v>67000</v>
      </c>
      <c r="N71" s="39">
        <f t="shared" si="1"/>
        <v>67000</v>
      </c>
      <c r="O71" s="38" t="s">
        <v>22</v>
      </c>
    </row>
    <row r="72" spans="1:15" ht="15" customHeight="1" x14ac:dyDescent="0.2">
      <c r="A72" s="46" t="s">
        <v>18</v>
      </c>
      <c r="B72" s="36" t="s">
        <v>2073</v>
      </c>
      <c r="C72" s="24">
        <f t="shared" si="2"/>
        <v>266</v>
      </c>
      <c r="D72" s="24">
        <v>1</v>
      </c>
      <c r="G72" s="37" t="s">
        <v>1569</v>
      </c>
      <c r="H72" s="42" t="s">
        <v>2524</v>
      </c>
      <c r="I72" s="46">
        <v>64276</v>
      </c>
      <c r="J72" s="46">
        <v>331</v>
      </c>
      <c r="K72" s="24" t="s">
        <v>21</v>
      </c>
      <c r="L72" s="24">
        <v>1</v>
      </c>
      <c r="M72" s="39">
        <v>32000</v>
      </c>
      <c r="N72" s="39">
        <f t="shared" ref="N72:N135" si="3">L72*M72</f>
        <v>32000</v>
      </c>
      <c r="O72" s="38" t="s">
        <v>22</v>
      </c>
    </row>
    <row r="73" spans="1:15" ht="15" customHeight="1" x14ac:dyDescent="0.2">
      <c r="A73" s="46" t="s">
        <v>18</v>
      </c>
      <c r="B73" s="36" t="s">
        <v>2043</v>
      </c>
      <c r="C73" s="24">
        <f t="shared" si="2"/>
        <v>267</v>
      </c>
      <c r="D73" s="24">
        <v>1</v>
      </c>
      <c r="G73" s="37" t="s">
        <v>2486</v>
      </c>
      <c r="H73" s="24" t="s">
        <v>2630</v>
      </c>
      <c r="I73" s="46">
        <v>6425</v>
      </c>
      <c r="J73" s="46">
        <v>331</v>
      </c>
      <c r="K73" s="24" t="s">
        <v>21</v>
      </c>
      <c r="L73" s="24">
        <v>1</v>
      </c>
      <c r="M73" s="39">
        <v>11000</v>
      </c>
      <c r="N73" s="39">
        <f t="shared" si="3"/>
        <v>11000</v>
      </c>
      <c r="O73" s="38" t="s">
        <v>22</v>
      </c>
    </row>
    <row r="74" spans="1:15" ht="15" customHeight="1" x14ac:dyDescent="0.2">
      <c r="A74" s="46" t="s">
        <v>18</v>
      </c>
      <c r="B74" s="36" t="s">
        <v>1533</v>
      </c>
      <c r="C74" s="24">
        <f t="shared" si="2"/>
        <v>268</v>
      </c>
      <c r="D74" s="24">
        <v>1</v>
      </c>
      <c r="G74" s="37" t="s">
        <v>1569</v>
      </c>
      <c r="H74" s="42" t="s">
        <v>2525</v>
      </c>
      <c r="I74" s="46">
        <v>64276</v>
      </c>
      <c r="J74" s="46">
        <v>331</v>
      </c>
      <c r="K74" s="24" t="s">
        <v>21</v>
      </c>
      <c r="L74" s="24">
        <v>1</v>
      </c>
      <c r="M74" s="39">
        <v>48000</v>
      </c>
      <c r="N74" s="39">
        <f t="shared" si="3"/>
        <v>48000</v>
      </c>
      <c r="O74" s="38" t="s">
        <v>22</v>
      </c>
    </row>
    <row r="75" spans="1:15" ht="15" customHeight="1" x14ac:dyDescent="0.2">
      <c r="A75" s="46" t="s">
        <v>18</v>
      </c>
      <c r="B75" s="36" t="s">
        <v>2044</v>
      </c>
      <c r="C75" s="24">
        <f t="shared" si="2"/>
        <v>269</v>
      </c>
      <c r="D75" s="24">
        <v>1</v>
      </c>
      <c r="G75" s="37" t="s">
        <v>1569</v>
      </c>
      <c r="H75" s="42" t="s">
        <v>2526</v>
      </c>
      <c r="I75" s="46">
        <v>64276</v>
      </c>
      <c r="J75" s="46">
        <v>331</v>
      </c>
      <c r="K75" s="24" t="s">
        <v>21</v>
      </c>
      <c r="L75" s="24">
        <v>1</v>
      </c>
      <c r="M75" s="39">
        <v>39000</v>
      </c>
      <c r="N75" s="39">
        <f t="shared" si="3"/>
        <v>39000</v>
      </c>
      <c r="O75" s="38" t="s">
        <v>22</v>
      </c>
    </row>
    <row r="76" spans="1:15" ht="15" customHeight="1" x14ac:dyDescent="0.2">
      <c r="A76" s="46" t="s">
        <v>18</v>
      </c>
      <c r="B76" s="36" t="s">
        <v>2045</v>
      </c>
      <c r="C76" s="24">
        <f t="shared" si="2"/>
        <v>270</v>
      </c>
      <c r="D76" s="24">
        <v>1</v>
      </c>
      <c r="G76" s="37" t="s">
        <v>1569</v>
      </c>
      <c r="H76" s="42" t="s">
        <v>2527</v>
      </c>
      <c r="I76" s="46">
        <v>64276</v>
      </c>
      <c r="J76" s="46">
        <v>331</v>
      </c>
      <c r="K76" s="24" t="s">
        <v>21</v>
      </c>
      <c r="L76" s="24">
        <v>1</v>
      </c>
      <c r="M76" s="39">
        <v>31000</v>
      </c>
      <c r="N76" s="39">
        <f t="shared" si="3"/>
        <v>31000</v>
      </c>
      <c r="O76" s="38" t="s">
        <v>22</v>
      </c>
    </row>
    <row r="77" spans="1:15" ht="15" customHeight="1" x14ac:dyDescent="0.2">
      <c r="A77" s="46" t="s">
        <v>18</v>
      </c>
      <c r="B77" s="36" t="s">
        <v>2354</v>
      </c>
      <c r="C77" s="24">
        <f t="shared" si="2"/>
        <v>271</v>
      </c>
      <c r="D77" s="24">
        <v>1</v>
      </c>
      <c r="G77" s="37" t="s">
        <v>1735</v>
      </c>
      <c r="H77" s="24" t="s">
        <v>2459</v>
      </c>
      <c r="I77" s="46">
        <v>64277</v>
      </c>
      <c r="J77" s="46">
        <v>331</v>
      </c>
      <c r="K77" s="24" t="s">
        <v>21</v>
      </c>
      <c r="L77" s="24">
        <v>1</v>
      </c>
      <c r="M77" s="39">
        <v>2126250</v>
      </c>
      <c r="N77" s="39">
        <f t="shared" si="3"/>
        <v>2126250</v>
      </c>
      <c r="O77" s="38" t="s">
        <v>22</v>
      </c>
    </row>
    <row r="78" spans="1:15" ht="15" customHeight="1" x14ac:dyDescent="0.2">
      <c r="A78" s="46" t="s">
        <v>18</v>
      </c>
      <c r="B78" s="36" t="s">
        <v>2441</v>
      </c>
      <c r="C78" s="24">
        <f t="shared" si="2"/>
        <v>272</v>
      </c>
      <c r="D78" s="24">
        <v>1</v>
      </c>
      <c r="G78" s="37" t="s">
        <v>1671</v>
      </c>
      <c r="H78" s="24" t="s">
        <v>2469</v>
      </c>
      <c r="I78" s="46">
        <v>64276</v>
      </c>
      <c r="J78" s="46">
        <v>331</v>
      </c>
      <c r="K78" s="24" t="s">
        <v>21</v>
      </c>
      <c r="L78" s="24">
        <v>1</v>
      </c>
      <c r="M78" s="39">
        <v>1250000</v>
      </c>
      <c r="N78" s="39">
        <f t="shared" si="3"/>
        <v>1250000</v>
      </c>
      <c r="O78" s="38" t="s">
        <v>22</v>
      </c>
    </row>
    <row r="79" spans="1:15" ht="15" customHeight="1" x14ac:dyDescent="0.2">
      <c r="A79" s="46" t="s">
        <v>18</v>
      </c>
      <c r="B79" s="36" t="s">
        <v>2442</v>
      </c>
      <c r="C79" s="24">
        <f t="shared" si="2"/>
        <v>273</v>
      </c>
      <c r="D79" s="24">
        <v>1</v>
      </c>
      <c r="G79" s="37" t="s">
        <v>1797</v>
      </c>
      <c r="H79" s="24" t="s">
        <v>2631</v>
      </c>
      <c r="I79" s="46">
        <v>64277</v>
      </c>
      <c r="J79" s="46">
        <v>331</v>
      </c>
      <c r="K79" s="24" t="s">
        <v>21</v>
      </c>
      <c r="L79" s="24">
        <v>1</v>
      </c>
      <c r="M79" s="39">
        <v>496182</v>
      </c>
      <c r="N79" s="39">
        <f t="shared" si="3"/>
        <v>496182</v>
      </c>
      <c r="O79" s="38" t="s">
        <v>22</v>
      </c>
    </row>
    <row r="80" spans="1:15" ht="15" customHeight="1" x14ac:dyDescent="0.2">
      <c r="A80" s="46" t="s">
        <v>18</v>
      </c>
      <c r="B80" s="36" t="s">
        <v>2442</v>
      </c>
      <c r="C80" s="24">
        <f t="shared" si="2"/>
        <v>274</v>
      </c>
      <c r="D80" s="24">
        <v>1</v>
      </c>
      <c r="G80" s="37" t="s">
        <v>1799</v>
      </c>
      <c r="H80" s="24" t="s">
        <v>2460</v>
      </c>
      <c r="I80" s="46">
        <v>64277</v>
      </c>
      <c r="J80" s="46">
        <v>331</v>
      </c>
      <c r="K80" s="24" t="s">
        <v>21</v>
      </c>
      <c r="L80" s="24">
        <v>1</v>
      </c>
      <c r="M80" s="39">
        <v>1062600</v>
      </c>
      <c r="N80" s="39">
        <f t="shared" si="3"/>
        <v>1062600</v>
      </c>
      <c r="O80" s="38" t="s">
        <v>22</v>
      </c>
    </row>
    <row r="81" spans="1:15" ht="15" customHeight="1" x14ac:dyDescent="0.2">
      <c r="A81" s="46" t="s">
        <v>18</v>
      </c>
      <c r="B81" s="36" t="s">
        <v>2117</v>
      </c>
      <c r="C81" s="24">
        <f t="shared" si="2"/>
        <v>275</v>
      </c>
      <c r="D81" s="24">
        <v>1</v>
      </c>
      <c r="G81" s="37" t="s">
        <v>2446</v>
      </c>
      <c r="H81" s="24" t="s">
        <v>2461</v>
      </c>
      <c r="I81" s="46">
        <v>64277</v>
      </c>
      <c r="J81" s="46">
        <v>331</v>
      </c>
      <c r="K81" s="24" t="s">
        <v>21</v>
      </c>
      <c r="L81" s="24">
        <v>1</v>
      </c>
      <c r="M81" s="39">
        <v>1566000</v>
      </c>
      <c r="N81" s="39">
        <f t="shared" si="3"/>
        <v>1566000</v>
      </c>
      <c r="O81" s="38" t="s">
        <v>22</v>
      </c>
    </row>
    <row r="82" spans="1:15" ht="15" customHeight="1" x14ac:dyDescent="0.2">
      <c r="A82" s="46" t="s">
        <v>18</v>
      </c>
      <c r="B82" s="36" t="s">
        <v>1415</v>
      </c>
      <c r="C82" s="24">
        <f t="shared" si="2"/>
        <v>276</v>
      </c>
      <c r="D82" s="24">
        <v>1</v>
      </c>
      <c r="G82" s="37" t="s">
        <v>1919</v>
      </c>
      <c r="H82" s="24" t="s">
        <v>2470</v>
      </c>
      <c r="I82" s="46">
        <v>64276</v>
      </c>
      <c r="J82" s="46">
        <v>331</v>
      </c>
      <c r="K82" s="24" t="s">
        <v>21</v>
      </c>
      <c r="L82" s="24">
        <v>1</v>
      </c>
      <c r="M82" s="39">
        <v>8900000</v>
      </c>
      <c r="N82" s="39">
        <f t="shared" si="3"/>
        <v>8900000</v>
      </c>
      <c r="O82" s="38" t="s">
        <v>22</v>
      </c>
    </row>
    <row r="83" spans="1:15" ht="15" customHeight="1" x14ac:dyDescent="0.2">
      <c r="A83" s="46" t="s">
        <v>18</v>
      </c>
      <c r="B83" s="36" t="s">
        <v>1534</v>
      </c>
      <c r="C83" s="24">
        <f t="shared" si="2"/>
        <v>277</v>
      </c>
      <c r="D83" s="24">
        <v>1</v>
      </c>
      <c r="G83" s="37" t="s">
        <v>2447</v>
      </c>
      <c r="H83" s="24" t="s">
        <v>2471</v>
      </c>
      <c r="I83" s="46">
        <v>64276</v>
      </c>
      <c r="J83" s="46">
        <v>331</v>
      </c>
      <c r="K83" s="24" t="s">
        <v>21</v>
      </c>
      <c r="L83" s="24">
        <v>1</v>
      </c>
      <c r="M83" s="39">
        <v>690000</v>
      </c>
      <c r="N83" s="39">
        <f t="shared" si="3"/>
        <v>690000</v>
      </c>
      <c r="O83" s="38" t="s">
        <v>22</v>
      </c>
    </row>
    <row r="84" spans="1:15" ht="15" customHeight="1" x14ac:dyDescent="0.2">
      <c r="A84" s="46" t="s">
        <v>18</v>
      </c>
      <c r="B84" s="36" t="s">
        <v>2443</v>
      </c>
      <c r="C84" s="24">
        <f t="shared" si="2"/>
        <v>278</v>
      </c>
      <c r="D84" s="24">
        <v>1</v>
      </c>
      <c r="G84" s="37" t="s">
        <v>259</v>
      </c>
      <c r="H84" s="24" t="s">
        <v>2628</v>
      </c>
      <c r="I84" s="46">
        <v>64276</v>
      </c>
      <c r="J84" s="46">
        <v>331</v>
      </c>
      <c r="K84" s="24" t="s">
        <v>21</v>
      </c>
      <c r="L84" s="24">
        <v>1</v>
      </c>
      <c r="M84" s="39">
        <v>1944000</v>
      </c>
      <c r="N84" s="39">
        <f t="shared" si="3"/>
        <v>1944000</v>
      </c>
      <c r="O84" s="38" t="s">
        <v>22</v>
      </c>
    </row>
    <row r="85" spans="1:15" ht="15" customHeight="1" x14ac:dyDescent="0.2">
      <c r="A85" s="46" t="s">
        <v>18</v>
      </c>
      <c r="B85" s="36" t="s">
        <v>2443</v>
      </c>
      <c r="C85" s="24">
        <f t="shared" si="2"/>
        <v>279</v>
      </c>
      <c r="D85" s="24">
        <v>1</v>
      </c>
      <c r="G85" s="37" t="s">
        <v>259</v>
      </c>
      <c r="H85" s="24" t="s">
        <v>2629</v>
      </c>
      <c r="I85" s="46">
        <v>64276</v>
      </c>
      <c r="J85" s="46">
        <v>331</v>
      </c>
      <c r="K85" s="24" t="s">
        <v>21</v>
      </c>
      <c r="L85" s="24">
        <v>1</v>
      </c>
      <c r="M85" s="39">
        <v>1951000</v>
      </c>
      <c r="N85" s="39">
        <f t="shared" si="3"/>
        <v>1951000</v>
      </c>
      <c r="O85" s="38" t="s">
        <v>22</v>
      </c>
    </row>
    <row r="86" spans="1:15" ht="15" customHeight="1" x14ac:dyDescent="0.2">
      <c r="A86" s="46" t="s">
        <v>18</v>
      </c>
      <c r="B86" s="36" t="s">
        <v>1535</v>
      </c>
      <c r="C86" s="24">
        <f t="shared" si="2"/>
        <v>280</v>
      </c>
      <c r="D86" s="24">
        <v>1</v>
      </c>
      <c r="G86" s="37" t="s">
        <v>2448</v>
      </c>
      <c r="H86" s="24" t="s">
        <v>2633</v>
      </c>
      <c r="I86" s="46">
        <v>64277</v>
      </c>
      <c r="J86" s="46">
        <v>331</v>
      </c>
      <c r="K86" s="24" t="s">
        <v>21</v>
      </c>
      <c r="L86" s="24">
        <v>1</v>
      </c>
      <c r="M86" s="39">
        <v>36295000</v>
      </c>
      <c r="N86" s="39">
        <f t="shared" si="3"/>
        <v>36295000</v>
      </c>
      <c r="O86" s="38" t="s">
        <v>22</v>
      </c>
    </row>
    <row r="87" spans="1:15" ht="15" customHeight="1" x14ac:dyDescent="0.2">
      <c r="A87" s="46" t="s">
        <v>18</v>
      </c>
      <c r="B87" s="36" t="s">
        <v>1535</v>
      </c>
      <c r="C87" s="24">
        <f t="shared" si="2"/>
        <v>281</v>
      </c>
      <c r="D87" s="24">
        <v>1</v>
      </c>
      <c r="G87" s="37" t="s">
        <v>2448</v>
      </c>
      <c r="H87" s="24" t="s">
        <v>2634</v>
      </c>
      <c r="I87" s="46">
        <v>64277</v>
      </c>
      <c r="J87" s="46">
        <v>331</v>
      </c>
      <c r="K87" s="24" t="s">
        <v>21</v>
      </c>
      <c r="L87" s="24">
        <v>1</v>
      </c>
      <c r="M87" s="39">
        <v>8289010</v>
      </c>
      <c r="N87" s="39">
        <f t="shared" si="3"/>
        <v>8289010</v>
      </c>
      <c r="O87" s="38" t="s">
        <v>22</v>
      </c>
    </row>
    <row r="88" spans="1:15" ht="15" customHeight="1" x14ac:dyDescent="0.2">
      <c r="A88" s="46" t="s">
        <v>18</v>
      </c>
      <c r="B88" s="36" t="s">
        <v>1535</v>
      </c>
      <c r="C88" s="24">
        <f t="shared" si="2"/>
        <v>282</v>
      </c>
      <c r="D88" s="24">
        <v>1</v>
      </c>
      <c r="G88" s="37" t="s">
        <v>2448</v>
      </c>
      <c r="H88" s="24" t="s">
        <v>2635</v>
      </c>
      <c r="I88" s="46">
        <v>64277</v>
      </c>
      <c r="J88" s="46">
        <v>331</v>
      </c>
      <c r="K88" s="24" t="s">
        <v>21</v>
      </c>
      <c r="L88" s="24">
        <v>1</v>
      </c>
      <c r="M88" s="39">
        <v>1400000</v>
      </c>
      <c r="N88" s="39">
        <f t="shared" si="3"/>
        <v>1400000</v>
      </c>
      <c r="O88" s="38" t="s">
        <v>22</v>
      </c>
    </row>
    <row r="89" spans="1:15" ht="15" customHeight="1" x14ac:dyDescent="0.2">
      <c r="A89" s="46" t="s">
        <v>18</v>
      </c>
      <c r="B89" s="36" t="s">
        <v>2120</v>
      </c>
      <c r="C89" s="24">
        <f t="shared" si="2"/>
        <v>283</v>
      </c>
      <c r="D89" s="24">
        <v>1</v>
      </c>
      <c r="G89" s="37" t="s">
        <v>1569</v>
      </c>
      <c r="H89" s="42" t="s">
        <v>2528</v>
      </c>
      <c r="I89" s="46">
        <v>64276</v>
      </c>
      <c r="J89" s="46">
        <v>331</v>
      </c>
      <c r="K89" s="24" t="s">
        <v>21</v>
      </c>
      <c r="L89" s="24">
        <v>1</v>
      </c>
      <c r="M89" s="39">
        <v>32000</v>
      </c>
      <c r="N89" s="39">
        <f t="shared" si="3"/>
        <v>32000</v>
      </c>
      <c r="O89" s="38" t="s">
        <v>22</v>
      </c>
    </row>
    <row r="90" spans="1:15" ht="15" customHeight="1" x14ac:dyDescent="0.2">
      <c r="A90" s="46" t="s">
        <v>18</v>
      </c>
      <c r="B90" s="36" t="s">
        <v>2122</v>
      </c>
      <c r="C90" s="24">
        <f t="shared" si="2"/>
        <v>284</v>
      </c>
      <c r="D90" s="24">
        <v>1</v>
      </c>
      <c r="G90" s="37" t="s">
        <v>1569</v>
      </c>
      <c r="H90" s="42" t="s">
        <v>2529</v>
      </c>
      <c r="I90" s="46">
        <v>64276</v>
      </c>
      <c r="J90" s="46">
        <v>331</v>
      </c>
      <c r="K90" s="24" t="s">
        <v>21</v>
      </c>
      <c r="L90" s="24">
        <v>1</v>
      </c>
      <c r="M90" s="39">
        <v>48000</v>
      </c>
      <c r="N90" s="39">
        <f t="shared" si="3"/>
        <v>48000</v>
      </c>
      <c r="O90" s="38" t="s">
        <v>22</v>
      </c>
    </row>
    <row r="91" spans="1:15" ht="15" customHeight="1" x14ac:dyDescent="0.2">
      <c r="A91" s="46" t="s">
        <v>18</v>
      </c>
      <c r="B91" s="36" t="s">
        <v>2122</v>
      </c>
      <c r="C91" s="24">
        <f t="shared" si="2"/>
        <v>285</v>
      </c>
      <c r="D91" s="24">
        <v>1</v>
      </c>
      <c r="G91" s="37" t="s">
        <v>1569</v>
      </c>
      <c r="H91" s="42" t="s">
        <v>2530</v>
      </c>
      <c r="I91" s="46">
        <v>64276</v>
      </c>
      <c r="J91" s="46">
        <v>331</v>
      </c>
      <c r="K91" s="24" t="s">
        <v>21</v>
      </c>
      <c r="L91" s="24">
        <v>1</v>
      </c>
      <c r="M91" s="39">
        <v>49000</v>
      </c>
      <c r="N91" s="39">
        <f t="shared" si="3"/>
        <v>49000</v>
      </c>
      <c r="O91" s="38" t="s">
        <v>22</v>
      </c>
    </row>
    <row r="92" spans="1:15" ht="15" customHeight="1" x14ac:dyDescent="0.2">
      <c r="A92" s="46" t="s">
        <v>18</v>
      </c>
      <c r="B92" s="36" t="s">
        <v>2358</v>
      </c>
      <c r="C92" s="24">
        <f t="shared" si="2"/>
        <v>286</v>
      </c>
      <c r="D92" s="24">
        <v>1</v>
      </c>
      <c r="G92" s="37" t="s">
        <v>1569</v>
      </c>
      <c r="H92" s="42" t="s">
        <v>2531</v>
      </c>
      <c r="I92" s="46">
        <v>64276</v>
      </c>
      <c r="J92" s="46">
        <v>331</v>
      </c>
      <c r="K92" s="24" t="s">
        <v>21</v>
      </c>
      <c r="L92" s="24">
        <v>1</v>
      </c>
      <c r="M92" s="39">
        <v>49000</v>
      </c>
      <c r="N92" s="39">
        <f t="shared" si="3"/>
        <v>49000</v>
      </c>
      <c r="O92" s="38" t="s">
        <v>22</v>
      </c>
    </row>
    <row r="93" spans="1:15" ht="15" customHeight="1" x14ac:dyDescent="0.2">
      <c r="A93" s="46" t="s">
        <v>18</v>
      </c>
      <c r="B93" s="36" t="s">
        <v>2358</v>
      </c>
      <c r="C93" s="24">
        <f t="shared" si="2"/>
        <v>287</v>
      </c>
      <c r="D93" s="24">
        <v>1</v>
      </c>
      <c r="G93" s="37" t="s">
        <v>1569</v>
      </c>
      <c r="H93" s="42" t="s">
        <v>2532</v>
      </c>
      <c r="I93" s="46">
        <v>64276</v>
      </c>
      <c r="J93" s="46">
        <v>331</v>
      </c>
      <c r="K93" s="24" t="s">
        <v>21</v>
      </c>
      <c r="L93" s="24">
        <v>1</v>
      </c>
      <c r="M93" s="39">
        <v>46000</v>
      </c>
      <c r="N93" s="39">
        <f t="shared" si="3"/>
        <v>46000</v>
      </c>
      <c r="O93" s="38" t="s">
        <v>22</v>
      </c>
    </row>
    <row r="94" spans="1:15" ht="15" customHeight="1" x14ac:dyDescent="0.2">
      <c r="A94" s="46" t="s">
        <v>18</v>
      </c>
      <c r="B94" s="36" t="s">
        <v>2358</v>
      </c>
      <c r="C94" s="24">
        <f t="shared" si="2"/>
        <v>288</v>
      </c>
      <c r="D94" s="24">
        <v>1</v>
      </c>
      <c r="G94" s="37" t="s">
        <v>1569</v>
      </c>
      <c r="H94" s="42" t="s">
        <v>2533</v>
      </c>
      <c r="I94" s="46">
        <v>64276</v>
      </c>
      <c r="J94" s="46">
        <v>331</v>
      </c>
      <c r="K94" s="24" t="s">
        <v>21</v>
      </c>
      <c r="L94" s="24">
        <v>1</v>
      </c>
      <c r="M94" s="39">
        <v>46000</v>
      </c>
      <c r="N94" s="39">
        <f t="shared" si="3"/>
        <v>46000</v>
      </c>
      <c r="O94" s="38" t="s">
        <v>22</v>
      </c>
    </row>
    <row r="95" spans="1:15" ht="15" customHeight="1" x14ac:dyDescent="0.2">
      <c r="A95" s="46" t="s">
        <v>18</v>
      </c>
      <c r="B95" s="36" t="s">
        <v>2124</v>
      </c>
      <c r="C95" s="24">
        <f t="shared" si="2"/>
        <v>289</v>
      </c>
      <c r="D95" s="24">
        <v>1</v>
      </c>
      <c r="G95" s="37" t="s">
        <v>1569</v>
      </c>
      <c r="H95" s="42" t="s">
        <v>2534</v>
      </c>
      <c r="I95" s="46">
        <v>64276</v>
      </c>
      <c r="J95" s="46">
        <v>331</v>
      </c>
      <c r="K95" s="24" t="s">
        <v>21</v>
      </c>
      <c r="L95" s="24">
        <v>1</v>
      </c>
      <c r="M95" s="39">
        <v>74000</v>
      </c>
      <c r="N95" s="39">
        <f t="shared" si="3"/>
        <v>74000</v>
      </c>
      <c r="O95" s="38" t="s">
        <v>22</v>
      </c>
    </row>
    <row r="96" spans="1:15" ht="15" customHeight="1" x14ac:dyDescent="0.2">
      <c r="A96" s="46" t="s">
        <v>18</v>
      </c>
      <c r="B96" s="36" t="s">
        <v>2124</v>
      </c>
      <c r="C96" s="24">
        <f t="shared" si="2"/>
        <v>290</v>
      </c>
      <c r="D96" s="24">
        <v>1</v>
      </c>
      <c r="G96" s="37" t="s">
        <v>1569</v>
      </c>
      <c r="H96" s="42" t="s">
        <v>2535</v>
      </c>
      <c r="I96" s="46">
        <v>64276</v>
      </c>
      <c r="J96" s="46">
        <v>331</v>
      </c>
      <c r="K96" s="24" t="s">
        <v>21</v>
      </c>
      <c r="L96" s="24">
        <v>1</v>
      </c>
      <c r="M96" s="39">
        <v>26000</v>
      </c>
      <c r="N96" s="39">
        <f t="shared" si="3"/>
        <v>26000</v>
      </c>
      <c r="O96" s="38" t="s">
        <v>22</v>
      </c>
    </row>
    <row r="97" spans="1:15" ht="15" customHeight="1" x14ac:dyDescent="0.2">
      <c r="A97" s="46" t="s">
        <v>18</v>
      </c>
      <c r="B97" s="36" t="s">
        <v>2124</v>
      </c>
      <c r="C97" s="24">
        <f t="shared" si="2"/>
        <v>291</v>
      </c>
      <c r="D97" s="24">
        <v>1</v>
      </c>
      <c r="G97" s="37" t="s">
        <v>1569</v>
      </c>
      <c r="H97" s="42" t="s">
        <v>2536</v>
      </c>
      <c r="I97" s="46">
        <v>64276</v>
      </c>
      <c r="J97" s="46">
        <v>331</v>
      </c>
      <c r="K97" s="24" t="s">
        <v>21</v>
      </c>
      <c r="L97" s="24">
        <v>1</v>
      </c>
      <c r="M97" s="39">
        <v>26000</v>
      </c>
      <c r="N97" s="39">
        <f t="shared" si="3"/>
        <v>26000</v>
      </c>
      <c r="O97" s="38" t="s">
        <v>22</v>
      </c>
    </row>
    <row r="98" spans="1:15" ht="15" customHeight="1" x14ac:dyDescent="0.2">
      <c r="A98" s="46" t="s">
        <v>18</v>
      </c>
      <c r="B98" s="36" t="s">
        <v>2124</v>
      </c>
      <c r="C98" s="24">
        <f t="shared" si="2"/>
        <v>292</v>
      </c>
      <c r="D98" s="24">
        <v>1</v>
      </c>
      <c r="G98" s="37" t="s">
        <v>1569</v>
      </c>
      <c r="H98" s="42" t="s">
        <v>2537</v>
      </c>
      <c r="I98" s="46">
        <v>64276</v>
      </c>
      <c r="J98" s="46">
        <v>331</v>
      </c>
      <c r="K98" s="24" t="s">
        <v>21</v>
      </c>
      <c r="L98" s="24">
        <v>1</v>
      </c>
      <c r="M98" s="39">
        <v>74000</v>
      </c>
      <c r="N98" s="39">
        <f t="shared" si="3"/>
        <v>74000</v>
      </c>
      <c r="O98" s="38" t="s">
        <v>22</v>
      </c>
    </row>
    <row r="99" spans="1:15" ht="15" customHeight="1" x14ac:dyDescent="0.2">
      <c r="A99" s="46" t="s">
        <v>18</v>
      </c>
      <c r="B99" s="36" t="s">
        <v>2124</v>
      </c>
      <c r="C99" s="24">
        <f t="shared" si="2"/>
        <v>293</v>
      </c>
      <c r="D99" s="24">
        <v>1</v>
      </c>
      <c r="G99" s="37" t="s">
        <v>1569</v>
      </c>
      <c r="H99" s="42" t="s">
        <v>2538</v>
      </c>
      <c r="I99" s="46">
        <v>64276</v>
      </c>
      <c r="J99" s="46">
        <v>331</v>
      </c>
      <c r="K99" s="24" t="s">
        <v>21</v>
      </c>
      <c r="L99" s="24">
        <v>1</v>
      </c>
      <c r="M99" s="39">
        <v>74000</v>
      </c>
      <c r="N99" s="39">
        <f t="shared" si="3"/>
        <v>74000</v>
      </c>
      <c r="O99" s="38" t="s">
        <v>22</v>
      </c>
    </row>
    <row r="100" spans="1:15" ht="15" customHeight="1" x14ac:dyDescent="0.2">
      <c r="A100" s="46" t="s">
        <v>18</v>
      </c>
      <c r="B100" s="36" t="s">
        <v>1415</v>
      </c>
      <c r="C100" s="24">
        <f t="shared" si="2"/>
        <v>294</v>
      </c>
      <c r="D100" s="24">
        <v>1</v>
      </c>
      <c r="G100" s="37" t="s">
        <v>1569</v>
      </c>
      <c r="H100" s="42" t="s">
        <v>2539</v>
      </c>
      <c r="I100" s="46">
        <v>64276</v>
      </c>
      <c r="J100" s="46">
        <v>331</v>
      </c>
      <c r="K100" s="24" t="s">
        <v>21</v>
      </c>
      <c r="L100" s="24">
        <v>1</v>
      </c>
      <c r="M100" s="39">
        <v>74000</v>
      </c>
      <c r="N100" s="39">
        <f t="shared" si="3"/>
        <v>74000</v>
      </c>
      <c r="O100" s="38" t="s">
        <v>22</v>
      </c>
    </row>
    <row r="101" spans="1:15" ht="15" customHeight="1" x14ac:dyDescent="0.2">
      <c r="A101" s="46" t="s">
        <v>18</v>
      </c>
      <c r="B101" s="36" t="s">
        <v>1415</v>
      </c>
      <c r="C101" s="24">
        <f t="shared" si="2"/>
        <v>295</v>
      </c>
      <c r="D101" s="24">
        <v>1</v>
      </c>
      <c r="G101" s="37" t="s">
        <v>1569</v>
      </c>
      <c r="H101" s="42" t="s">
        <v>2540</v>
      </c>
      <c r="I101" s="46">
        <v>64276</v>
      </c>
      <c r="J101" s="46">
        <v>331</v>
      </c>
      <c r="K101" s="24" t="s">
        <v>21</v>
      </c>
      <c r="L101" s="24">
        <v>1</v>
      </c>
      <c r="M101" s="39">
        <v>74000</v>
      </c>
      <c r="N101" s="39">
        <f t="shared" si="3"/>
        <v>74000</v>
      </c>
      <c r="O101" s="38" t="s">
        <v>22</v>
      </c>
    </row>
    <row r="102" spans="1:15" ht="15" customHeight="1" x14ac:dyDescent="0.2">
      <c r="A102" s="46" t="s">
        <v>18</v>
      </c>
      <c r="B102" s="36" t="s">
        <v>1415</v>
      </c>
      <c r="C102" s="24">
        <f t="shared" si="2"/>
        <v>296</v>
      </c>
      <c r="D102" s="24">
        <v>1</v>
      </c>
      <c r="G102" s="37" t="s">
        <v>1569</v>
      </c>
      <c r="H102" s="42" t="s">
        <v>2541</v>
      </c>
      <c r="I102" s="46">
        <v>64276</v>
      </c>
      <c r="J102" s="46">
        <v>331</v>
      </c>
      <c r="K102" s="24" t="s">
        <v>21</v>
      </c>
      <c r="L102" s="24">
        <v>1</v>
      </c>
      <c r="M102" s="39">
        <v>74000</v>
      </c>
      <c r="N102" s="39">
        <f t="shared" si="3"/>
        <v>74000</v>
      </c>
      <c r="O102" s="38" t="s">
        <v>22</v>
      </c>
    </row>
    <row r="103" spans="1:15" ht="15" customHeight="1" x14ac:dyDescent="0.2">
      <c r="A103" s="46" t="s">
        <v>18</v>
      </c>
      <c r="B103" s="36" t="s">
        <v>1415</v>
      </c>
      <c r="C103" s="24">
        <f t="shared" si="2"/>
        <v>297</v>
      </c>
      <c r="D103" s="24">
        <v>1</v>
      </c>
      <c r="G103" s="37" t="s">
        <v>1569</v>
      </c>
      <c r="H103" s="42" t="s">
        <v>2542</v>
      </c>
      <c r="I103" s="46">
        <v>64276</v>
      </c>
      <c r="J103" s="46">
        <v>331</v>
      </c>
      <c r="K103" s="24" t="s">
        <v>21</v>
      </c>
      <c r="L103" s="24">
        <v>1</v>
      </c>
      <c r="M103" s="39">
        <v>74000</v>
      </c>
      <c r="N103" s="39">
        <f t="shared" si="3"/>
        <v>74000</v>
      </c>
      <c r="O103" s="38" t="s">
        <v>22</v>
      </c>
    </row>
    <row r="104" spans="1:15" ht="15" customHeight="1" x14ac:dyDescent="0.2">
      <c r="A104" s="46" t="s">
        <v>18</v>
      </c>
      <c r="B104" s="36" t="s">
        <v>1415</v>
      </c>
      <c r="C104" s="24">
        <f t="shared" si="2"/>
        <v>298</v>
      </c>
      <c r="D104" s="24">
        <v>1</v>
      </c>
      <c r="G104" s="37" t="s">
        <v>1569</v>
      </c>
      <c r="H104" s="42" t="s">
        <v>2543</v>
      </c>
      <c r="I104" s="46">
        <v>64276</v>
      </c>
      <c r="J104" s="46">
        <v>331</v>
      </c>
      <c r="K104" s="24" t="s">
        <v>21</v>
      </c>
      <c r="L104" s="24">
        <v>1</v>
      </c>
      <c r="M104" s="39">
        <v>57000</v>
      </c>
      <c r="N104" s="39">
        <f t="shared" si="3"/>
        <v>57000</v>
      </c>
      <c r="O104" s="38" t="s">
        <v>22</v>
      </c>
    </row>
    <row r="105" spans="1:15" ht="15" customHeight="1" x14ac:dyDescent="0.2">
      <c r="A105" s="46" t="s">
        <v>18</v>
      </c>
      <c r="B105" s="36" t="s">
        <v>1415</v>
      </c>
      <c r="C105" s="24">
        <f t="shared" si="2"/>
        <v>299</v>
      </c>
      <c r="D105" s="24">
        <v>1</v>
      </c>
      <c r="G105" s="37" t="s">
        <v>1569</v>
      </c>
      <c r="H105" s="42" t="s">
        <v>2544</v>
      </c>
      <c r="I105" s="46">
        <v>64276</v>
      </c>
      <c r="J105" s="46">
        <v>331</v>
      </c>
      <c r="K105" s="24" t="s">
        <v>21</v>
      </c>
      <c r="L105" s="24">
        <v>1</v>
      </c>
      <c r="M105" s="39">
        <v>74000</v>
      </c>
      <c r="N105" s="39">
        <f t="shared" si="3"/>
        <v>74000</v>
      </c>
      <c r="O105" s="38" t="s">
        <v>22</v>
      </c>
    </row>
    <row r="106" spans="1:15" ht="15" customHeight="1" x14ac:dyDescent="0.2">
      <c r="A106" s="46" t="s">
        <v>18</v>
      </c>
      <c r="B106" s="36" t="s">
        <v>1415</v>
      </c>
      <c r="C106" s="24">
        <f t="shared" si="2"/>
        <v>300</v>
      </c>
      <c r="D106" s="24">
        <v>1</v>
      </c>
      <c r="G106" s="37" t="s">
        <v>1569</v>
      </c>
      <c r="H106" s="42" t="s">
        <v>2545</v>
      </c>
      <c r="I106" s="46">
        <v>64276</v>
      </c>
      <c r="J106" s="46">
        <v>331</v>
      </c>
      <c r="K106" s="24" t="s">
        <v>21</v>
      </c>
      <c r="L106" s="24">
        <v>1</v>
      </c>
      <c r="M106" s="39">
        <v>57000</v>
      </c>
      <c r="N106" s="39">
        <f t="shared" si="3"/>
        <v>57000</v>
      </c>
      <c r="O106" s="38" t="s">
        <v>22</v>
      </c>
    </row>
    <row r="107" spans="1:15" ht="15" customHeight="1" x14ac:dyDescent="0.2">
      <c r="A107" s="46" t="s">
        <v>18</v>
      </c>
      <c r="B107" s="36" t="s">
        <v>1415</v>
      </c>
      <c r="C107" s="24">
        <f t="shared" si="2"/>
        <v>301</v>
      </c>
      <c r="D107" s="24">
        <v>1</v>
      </c>
      <c r="G107" s="37" t="s">
        <v>1569</v>
      </c>
      <c r="H107" s="42" t="s">
        <v>2546</v>
      </c>
      <c r="I107" s="46">
        <v>64276</v>
      </c>
      <c r="J107" s="46">
        <v>331</v>
      </c>
      <c r="K107" s="24" t="s">
        <v>21</v>
      </c>
      <c r="L107" s="24">
        <v>1</v>
      </c>
      <c r="M107" s="39">
        <v>14000</v>
      </c>
      <c r="N107" s="39">
        <f t="shared" si="3"/>
        <v>14000</v>
      </c>
      <c r="O107" s="38" t="s">
        <v>22</v>
      </c>
    </row>
    <row r="108" spans="1:15" ht="15" customHeight="1" x14ac:dyDescent="0.2">
      <c r="A108" s="46" t="s">
        <v>18</v>
      </c>
      <c r="B108" s="36" t="s">
        <v>1415</v>
      </c>
      <c r="C108" s="24">
        <f t="shared" si="2"/>
        <v>302</v>
      </c>
      <c r="D108" s="24">
        <v>1</v>
      </c>
      <c r="G108" s="37" t="s">
        <v>1569</v>
      </c>
      <c r="H108" s="42" t="s">
        <v>2547</v>
      </c>
      <c r="I108" s="46">
        <v>64276</v>
      </c>
      <c r="J108" s="46">
        <v>331</v>
      </c>
      <c r="K108" s="24" t="s">
        <v>21</v>
      </c>
      <c r="L108" s="24">
        <v>1</v>
      </c>
      <c r="M108" s="39">
        <v>74000</v>
      </c>
      <c r="N108" s="39">
        <f t="shared" si="3"/>
        <v>74000</v>
      </c>
      <c r="O108" s="38" t="s">
        <v>22</v>
      </c>
    </row>
    <row r="109" spans="1:15" ht="15" customHeight="1" x14ac:dyDescent="0.2">
      <c r="A109" s="46" t="s">
        <v>18</v>
      </c>
      <c r="B109" s="36" t="s">
        <v>1415</v>
      </c>
      <c r="C109" s="24">
        <f t="shared" si="2"/>
        <v>303</v>
      </c>
      <c r="D109" s="24">
        <v>1</v>
      </c>
      <c r="G109" s="37" t="s">
        <v>1569</v>
      </c>
      <c r="H109" s="42" t="s">
        <v>2548</v>
      </c>
      <c r="I109" s="46">
        <v>64276</v>
      </c>
      <c r="J109" s="46">
        <v>331</v>
      </c>
      <c r="K109" s="24" t="s">
        <v>21</v>
      </c>
      <c r="L109" s="24">
        <v>1</v>
      </c>
      <c r="M109" s="39">
        <v>21000</v>
      </c>
      <c r="N109" s="39">
        <f t="shared" si="3"/>
        <v>21000</v>
      </c>
      <c r="O109" s="38" t="s">
        <v>22</v>
      </c>
    </row>
    <row r="110" spans="1:15" ht="15" customHeight="1" x14ac:dyDescent="0.2">
      <c r="A110" s="46" t="s">
        <v>18</v>
      </c>
      <c r="B110" s="36" t="s">
        <v>1415</v>
      </c>
      <c r="C110" s="24">
        <f t="shared" si="2"/>
        <v>304</v>
      </c>
      <c r="D110" s="24">
        <v>1</v>
      </c>
      <c r="G110" s="37" t="s">
        <v>1569</v>
      </c>
      <c r="H110" s="42" t="s">
        <v>2549</v>
      </c>
      <c r="I110" s="46">
        <v>64276</v>
      </c>
      <c r="J110" s="46">
        <v>331</v>
      </c>
      <c r="K110" s="24" t="s">
        <v>21</v>
      </c>
      <c r="L110" s="24">
        <v>1</v>
      </c>
      <c r="M110" s="39">
        <v>57000</v>
      </c>
      <c r="N110" s="39">
        <f t="shared" si="3"/>
        <v>57000</v>
      </c>
      <c r="O110" s="38" t="s">
        <v>22</v>
      </c>
    </row>
    <row r="111" spans="1:15" ht="15" customHeight="1" x14ac:dyDescent="0.2">
      <c r="A111" s="46" t="s">
        <v>18</v>
      </c>
      <c r="B111" s="36" t="s">
        <v>1415</v>
      </c>
      <c r="C111" s="24">
        <f t="shared" si="2"/>
        <v>305</v>
      </c>
      <c r="D111" s="24">
        <v>1</v>
      </c>
      <c r="G111" s="37" t="s">
        <v>1569</v>
      </c>
      <c r="H111" s="42" t="s">
        <v>2550</v>
      </c>
      <c r="I111" s="46">
        <v>64276</v>
      </c>
      <c r="J111" s="46">
        <v>331</v>
      </c>
      <c r="K111" s="24" t="s">
        <v>21</v>
      </c>
      <c r="L111" s="24">
        <v>1</v>
      </c>
      <c r="M111" s="39">
        <v>14000</v>
      </c>
      <c r="N111" s="39">
        <f t="shared" si="3"/>
        <v>14000</v>
      </c>
      <c r="O111" s="38" t="s">
        <v>22</v>
      </c>
    </row>
    <row r="112" spans="1:15" ht="15" customHeight="1" x14ac:dyDescent="0.2">
      <c r="A112" s="46" t="s">
        <v>18</v>
      </c>
      <c r="B112" s="36" t="s">
        <v>1415</v>
      </c>
      <c r="C112" s="24">
        <f t="shared" si="2"/>
        <v>306</v>
      </c>
      <c r="D112" s="24">
        <v>1</v>
      </c>
      <c r="G112" s="37" t="s">
        <v>1569</v>
      </c>
      <c r="H112" s="42" t="s">
        <v>2551</v>
      </c>
      <c r="I112" s="46">
        <v>64276</v>
      </c>
      <c r="J112" s="46">
        <v>331</v>
      </c>
      <c r="K112" s="24" t="s">
        <v>21</v>
      </c>
      <c r="L112" s="24">
        <v>1</v>
      </c>
      <c r="M112" s="39">
        <v>14000</v>
      </c>
      <c r="N112" s="39">
        <f t="shared" si="3"/>
        <v>14000</v>
      </c>
      <c r="O112" s="38" t="s">
        <v>22</v>
      </c>
    </row>
    <row r="113" spans="1:15" ht="15" customHeight="1" x14ac:dyDescent="0.2">
      <c r="A113" s="46" t="s">
        <v>18</v>
      </c>
      <c r="B113" s="36" t="s">
        <v>1415</v>
      </c>
      <c r="C113" s="24">
        <f t="shared" si="2"/>
        <v>307</v>
      </c>
      <c r="D113" s="24">
        <v>1</v>
      </c>
      <c r="G113" s="37" t="s">
        <v>1569</v>
      </c>
      <c r="H113" s="42" t="s">
        <v>2552</v>
      </c>
      <c r="I113" s="46">
        <v>64276</v>
      </c>
      <c r="J113" s="46">
        <v>331</v>
      </c>
      <c r="K113" s="24" t="s">
        <v>21</v>
      </c>
      <c r="L113" s="24">
        <v>1</v>
      </c>
      <c r="M113" s="39">
        <v>74000</v>
      </c>
      <c r="N113" s="39">
        <f t="shared" si="3"/>
        <v>74000</v>
      </c>
      <c r="O113" s="38" t="s">
        <v>22</v>
      </c>
    </row>
    <row r="114" spans="1:15" ht="15" customHeight="1" x14ac:dyDescent="0.2">
      <c r="A114" s="46" t="s">
        <v>18</v>
      </c>
      <c r="B114" s="36" t="s">
        <v>1415</v>
      </c>
      <c r="C114" s="24">
        <f t="shared" si="2"/>
        <v>308</v>
      </c>
      <c r="D114" s="24">
        <v>1</v>
      </c>
      <c r="G114" s="37" t="s">
        <v>1569</v>
      </c>
      <c r="H114" s="42" t="s">
        <v>2553</v>
      </c>
      <c r="I114" s="46">
        <v>64276</v>
      </c>
      <c r="J114" s="46">
        <v>331</v>
      </c>
      <c r="K114" s="24" t="s">
        <v>21</v>
      </c>
      <c r="L114" s="24">
        <v>1</v>
      </c>
      <c r="M114" s="39">
        <v>21000</v>
      </c>
      <c r="N114" s="39">
        <f t="shared" si="3"/>
        <v>21000</v>
      </c>
      <c r="O114" s="38" t="s">
        <v>22</v>
      </c>
    </row>
    <row r="115" spans="1:15" ht="15" customHeight="1" x14ac:dyDescent="0.2">
      <c r="A115" s="46" t="s">
        <v>18</v>
      </c>
      <c r="B115" s="36" t="s">
        <v>1415</v>
      </c>
      <c r="C115" s="24">
        <f t="shared" si="2"/>
        <v>309</v>
      </c>
      <c r="D115" s="24">
        <v>1</v>
      </c>
      <c r="G115" s="37" t="s">
        <v>1569</v>
      </c>
      <c r="H115" s="42" t="s">
        <v>2554</v>
      </c>
      <c r="I115" s="46">
        <v>64276</v>
      </c>
      <c r="J115" s="46">
        <v>331</v>
      </c>
      <c r="K115" s="24" t="s">
        <v>21</v>
      </c>
      <c r="L115" s="24">
        <v>1</v>
      </c>
      <c r="M115" s="39">
        <v>74000</v>
      </c>
      <c r="N115" s="39">
        <f t="shared" si="3"/>
        <v>74000</v>
      </c>
      <c r="O115" s="38" t="s">
        <v>22</v>
      </c>
    </row>
    <row r="116" spans="1:15" ht="15" customHeight="1" x14ac:dyDescent="0.2">
      <c r="A116" s="46" t="s">
        <v>18</v>
      </c>
      <c r="B116" s="36" t="s">
        <v>1534</v>
      </c>
      <c r="C116" s="24">
        <f t="shared" si="2"/>
        <v>310</v>
      </c>
      <c r="D116" s="24">
        <v>1</v>
      </c>
      <c r="G116" s="37" t="s">
        <v>1569</v>
      </c>
      <c r="H116" s="42" t="s">
        <v>2555</v>
      </c>
      <c r="I116" s="46">
        <v>64276</v>
      </c>
      <c r="J116" s="46">
        <v>331</v>
      </c>
      <c r="K116" s="24" t="s">
        <v>21</v>
      </c>
      <c r="L116" s="24">
        <v>1</v>
      </c>
      <c r="M116" s="39">
        <v>21000</v>
      </c>
      <c r="N116" s="39">
        <f t="shared" si="3"/>
        <v>21000</v>
      </c>
      <c r="O116" s="38" t="s">
        <v>22</v>
      </c>
    </row>
    <row r="117" spans="1:15" ht="15" customHeight="1" x14ac:dyDescent="0.2">
      <c r="A117" s="46" t="s">
        <v>18</v>
      </c>
      <c r="B117" s="36" t="s">
        <v>1534</v>
      </c>
      <c r="C117" s="24">
        <f t="shared" si="2"/>
        <v>311</v>
      </c>
      <c r="D117" s="24">
        <v>1</v>
      </c>
      <c r="G117" s="37" t="s">
        <v>1569</v>
      </c>
      <c r="H117" s="42" t="s">
        <v>2556</v>
      </c>
      <c r="I117" s="46">
        <v>64276</v>
      </c>
      <c r="J117" s="46">
        <v>331</v>
      </c>
      <c r="K117" s="24" t="s">
        <v>21</v>
      </c>
      <c r="L117" s="24">
        <v>1</v>
      </c>
      <c r="M117" s="39">
        <v>74000</v>
      </c>
      <c r="N117" s="39">
        <f t="shared" si="3"/>
        <v>74000</v>
      </c>
      <c r="O117" s="38" t="s">
        <v>22</v>
      </c>
    </row>
    <row r="118" spans="1:15" ht="15" customHeight="1" x14ac:dyDescent="0.2">
      <c r="A118" s="46" t="s">
        <v>18</v>
      </c>
      <c r="B118" s="36" t="s">
        <v>1534</v>
      </c>
      <c r="C118" s="24">
        <f t="shared" si="2"/>
        <v>312</v>
      </c>
      <c r="D118" s="24">
        <v>1</v>
      </c>
      <c r="G118" s="37" t="s">
        <v>1569</v>
      </c>
      <c r="H118" s="42" t="s">
        <v>2557</v>
      </c>
      <c r="I118" s="46">
        <v>64276</v>
      </c>
      <c r="J118" s="46">
        <v>331</v>
      </c>
      <c r="K118" s="24" t="s">
        <v>21</v>
      </c>
      <c r="L118" s="24">
        <v>1</v>
      </c>
      <c r="M118" s="39">
        <v>21000</v>
      </c>
      <c r="N118" s="39">
        <f t="shared" si="3"/>
        <v>21000</v>
      </c>
      <c r="O118" s="38" t="s">
        <v>22</v>
      </c>
    </row>
    <row r="119" spans="1:15" ht="15" customHeight="1" x14ac:dyDescent="0.2">
      <c r="A119" s="46" t="s">
        <v>18</v>
      </c>
      <c r="B119" s="36" t="s">
        <v>1534</v>
      </c>
      <c r="C119" s="24">
        <f t="shared" si="2"/>
        <v>313</v>
      </c>
      <c r="D119" s="24">
        <v>1</v>
      </c>
      <c r="G119" s="37" t="s">
        <v>1569</v>
      </c>
      <c r="H119" s="42" t="s">
        <v>2558</v>
      </c>
      <c r="I119" s="46">
        <v>64276</v>
      </c>
      <c r="J119" s="46">
        <v>331</v>
      </c>
      <c r="K119" s="24" t="s">
        <v>21</v>
      </c>
      <c r="L119" s="24">
        <v>1</v>
      </c>
      <c r="M119" s="39">
        <v>74000</v>
      </c>
      <c r="N119" s="39">
        <f t="shared" si="3"/>
        <v>74000</v>
      </c>
      <c r="O119" s="38" t="s">
        <v>22</v>
      </c>
    </row>
    <row r="120" spans="1:15" ht="15" customHeight="1" x14ac:dyDescent="0.2">
      <c r="A120" s="46" t="s">
        <v>18</v>
      </c>
      <c r="B120" s="36" t="s">
        <v>1534</v>
      </c>
      <c r="C120" s="24">
        <f t="shared" si="2"/>
        <v>314</v>
      </c>
      <c r="D120" s="24">
        <v>1</v>
      </c>
      <c r="G120" s="37" t="s">
        <v>1569</v>
      </c>
      <c r="H120" s="42" t="s">
        <v>2559</v>
      </c>
      <c r="I120" s="46">
        <v>64276</v>
      </c>
      <c r="J120" s="46">
        <v>331</v>
      </c>
      <c r="K120" s="24" t="s">
        <v>21</v>
      </c>
      <c r="L120" s="24">
        <v>1</v>
      </c>
      <c r="M120" s="39">
        <v>21000</v>
      </c>
      <c r="N120" s="39">
        <f t="shared" si="3"/>
        <v>21000</v>
      </c>
      <c r="O120" s="38" t="s">
        <v>22</v>
      </c>
    </row>
    <row r="121" spans="1:15" ht="15" customHeight="1" x14ac:dyDescent="0.2">
      <c r="A121" s="46" t="s">
        <v>18</v>
      </c>
      <c r="B121" s="36" t="s">
        <v>1534</v>
      </c>
      <c r="C121" s="24">
        <f t="shared" si="2"/>
        <v>315</v>
      </c>
      <c r="D121" s="24">
        <v>1</v>
      </c>
      <c r="G121" s="37" t="s">
        <v>1569</v>
      </c>
      <c r="H121" s="42" t="s">
        <v>2560</v>
      </c>
      <c r="I121" s="46">
        <v>64276</v>
      </c>
      <c r="J121" s="46">
        <v>331</v>
      </c>
      <c r="K121" s="24" t="s">
        <v>21</v>
      </c>
      <c r="L121" s="24">
        <v>1</v>
      </c>
      <c r="M121" s="39">
        <v>21000</v>
      </c>
      <c r="N121" s="39">
        <f t="shared" si="3"/>
        <v>21000</v>
      </c>
      <c r="O121" s="38" t="s">
        <v>22</v>
      </c>
    </row>
    <row r="122" spans="1:15" ht="15" customHeight="1" x14ac:dyDescent="0.2">
      <c r="A122" s="46" t="s">
        <v>18</v>
      </c>
      <c r="B122" s="36" t="s">
        <v>1534</v>
      </c>
      <c r="C122" s="24">
        <f t="shared" si="2"/>
        <v>316</v>
      </c>
      <c r="D122" s="24">
        <v>1</v>
      </c>
      <c r="G122" s="37" t="s">
        <v>1569</v>
      </c>
      <c r="H122" s="42" t="s">
        <v>2561</v>
      </c>
      <c r="I122" s="46">
        <v>64276</v>
      </c>
      <c r="J122" s="46">
        <v>331</v>
      </c>
      <c r="K122" s="24" t="s">
        <v>21</v>
      </c>
      <c r="L122" s="24">
        <v>1</v>
      </c>
      <c r="M122" s="39">
        <v>21000</v>
      </c>
      <c r="N122" s="39">
        <f t="shared" si="3"/>
        <v>21000</v>
      </c>
      <c r="O122" s="38" t="s">
        <v>22</v>
      </c>
    </row>
    <row r="123" spans="1:15" ht="15" customHeight="1" x14ac:dyDescent="0.2">
      <c r="A123" s="46" t="s">
        <v>18</v>
      </c>
      <c r="B123" s="36" t="s">
        <v>2047</v>
      </c>
      <c r="C123" s="24">
        <f t="shared" si="2"/>
        <v>317</v>
      </c>
      <c r="D123" s="24">
        <v>1</v>
      </c>
      <c r="G123" s="37" t="s">
        <v>1569</v>
      </c>
      <c r="H123" s="42" t="s">
        <v>2562</v>
      </c>
      <c r="I123" s="46">
        <v>64276</v>
      </c>
      <c r="J123" s="46">
        <v>331</v>
      </c>
      <c r="K123" s="24" t="s">
        <v>21</v>
      </c>
      <c r="L123" s="24">
        <v>1</v>
      </c>
      <c r="M123" s="39">
        <v>134000</v>
      </c>
      <c r="N123" s="39">
        <f t="shared" si="3"/>
        <v>134000</v>
      </c>
      <c r="O123" s="38" t="s">
        <v>22</v>
      </c>
    </row>
    <row r="124" spans="1:15" ht="15" customHeight="1" x14ac:dyDescent="0.2">
      <c r="A124" s="46" t="s">
        <v>18</v>
      </c>
      <c r="B124" s="36" t="s">
        <v>2047</v>
      </c>
      <c r="C124" s="24">
        <f t="shared" si="2"/>
        <v>318</v>
      </c>
      <c r="D124" s="24">
        <v>1</v>
      </c>
      <c r="G124" s="37" t="s">
        <v>1569</v>
      </c>
      <c r="H124" s="42" t="s">
        <v>2563</v>
      </c>
      <c r="I124" s="46">
        <v>64276</v>
      </c>
      <c r="J124" s="46">
        <v>331</v>
      </c>
      <c r="K124" s="24" t="s">
        <v>21</v>
      </c>
      <c r="L124" s="24">
        <v>1</v>
      </c>
      <c r="M124" s="39">
        <v>110000</v>
      </c>
      <c r="N124" s="39">
        <f t="shared" si="3"/>
        <v>110000</v>
      </c>
      <c r="O124" s="38" t="s">
        <v>22</v>
      </c>
    </row>
    <row r="125" spans="1:15" ht="15" customHeight="1" x14ac:dyDescent="0.2">
      <c r="A125" s="46" t="s">
        <v>18</v>
      </c>
      <c r="B125" s="36" t="s">
        <v>2047</v>
      </c>
      <c r="C125" s="24">
        <f t="shared" si="2"/>
        <v>319</v>
      </c>
      <c r="D125" s="24">
        <v>1</v>
      </c>
      <c r="G125" s="37" t="s">
        <v>1569</v>
      </c>
      <c r="H125" s="42" t="s">
        <v>2564</v>
      </c>
      <c r="I125" s="46">
        <v>64276</v>
      </c>
      <c r="J125" s="46">
        <v>331</v>
      </c>
      <c r="K125" s="24" t="s">
        <v>21</v>
      </c>
      <c r="L125" s="24">
        <v>1</v>
      </c>
      <c r="M125" s="39">
        <v>89000</v>
      </c>
      <c r="N125" s="39">
        <f t="shared" si="3"/>
        <v>89000</v>
      </c>
      <c r="O125" s="38" t="s">
        <v>22</v>
      </c>
    </row>
    <row r="126" spans="1:15" ht="15" customHeight="1" x14ac:dyDescent="0.2">
      <c r="A126" s="46" t="s">
        <v>18</v>
      </c>
      <c r="B126" s="36" t="s">
        <v>2339</v>
      </c>
      <c r="C126" s="24">
        <f t="shared" si="2"/>
        <v>320</v>
      </c>
      <c r="D126" s="24">
        <v>1</v>
      </c>
      <c r="G126" s="37" t="s">
        <v>1569</v>
      </c>
      <c r="H126" s="42" t="s">
        <v>2565</v>
      </c>
      <c r="I126" s="46">
        <v>64276</v>
      </c>
      <c r="J126" s="46">
        <v>331</v>
      </c>
      <c r="K126" s="24" t="s">
        <v>21</v>
      </c>
      <c r="L126" s="24">
        <v>1</v>
      </c>
      <c r="M126" s="39">
        <v>34000</v>
      </c>
      <c r="N126" s="39">
        <f t="shared" si="3"/>
        <v>34000</v>
      </c>
      <c r="O126" s="38" t="s">
        <v>22</v>
      </c>
    </row>
    <row r="127" spans="1:15" ht="15" customHeight="1" x14ac:dyDescent="0.2">
      <c r="A127" s="46" t="s">
        <v>18</v>
      </c>
      <c r="B127" s="36" t="s">
        <v>2339</v>
      </c>
      <c r="C127" s="24">
        <f t="shared" si="2"/>
        <v>321</v>
      </c>
      <c r="D127" s="24">
        <v>1</v>
      </c>
      <c r="G127" s="37" t="s">
        <v>1569</v>
      </c>
      <c r="H127" s="42" t="s">
        <v>2566</v>
      </c>
      <c r="I127" s="46">
        <v>64276</v>
      </c>
      <c r="J127" s="46">
        <v>331</v>
      </c>
      <c r="K127" s="24" t="s">
        <v>21</v>
      </c>
      <c r="L127" s="24">
        <v>1</v>
      </c>
      <c r="M127" s="39">
        <v>38000</v>
      </c>
      <c r="N127" s="39">
        <f t="shared" si="3"/>
        <v>38000</v>
      </c>
      <c r="O127" s="38" t="s">
        <v>22</v>
      </c>
    </row>
    <row r="128" spans="1:15" ht="15" customHeight="1" x14ac:dyDescent="0.2">
      <c r="A128" s="46" t="s">
        <v>18</v>
      </c>
      <c r="B128" s="36" t="s">
        <v>2443</v>
      </c>
      <c r="C128" s="24">
        <f t="shared" si="2"/>
        <v>322</v>
      </c>
      <c r="D128" s="24">
        <v>1</v>
      </c>
      <c r="G128" s="37" t="s">
        <v>1569</v>
      </c>
      <c r="H128" s="42" t="s">
        <v>2567</v>
      </c>
      <c r="I128" s="46">
        <v>64276</v>
      </c>
      <c r="J128" s="46">
        <v>331</v>
      </c>
      <c r="K128" s="24" t="s">
        <v>21</v>
      </c>
      <c r="L128" s="24">
        <v>1</v>
      </c>
      <c r="M128" s="39">
        <v>33000</v>
      </c>
      <c r="N128" s="39">
        <f t="shared" si="3"/>
        <v>33000</v>
      </c>
      <c r="O128" s="38" t="s">
        <v>22</v>
      </c>
    </row>
    <row r="129" spans="1:15" ht="15" customHeight="1" x14ac:dyDescent="0.2">
      <c r="A129" s="46" t="s">
        <v>18</v>
      </c>
      <c r="B129" s="36" t="s">
        <v>2443</v>
      </c>
      <c r="C129" s="24">
        <f t="shared" si="2"/>
        <v>323</v>
      </c>
      <c r="D129" s="24">
        <v>1</v>
      </c>
      <c r="G129" s="37" t="s">
        <v>1569</v>
      </c>
      <c r="H129" s="42" t="s">
        <v>2568</v>
      </c>
      <c r="I129" s="46">
        <v>64276</v>
      </c>
      <c r="J129" s="46">
        <v>331</v>
      </c>
      <c r="K129" s="24" t="s">
        <v>21</v>
      </c>
      <c r="L129" s="24">
        <v>1</v>
      </c>
      <c r="M129" s="39">
        <v>27000</v>
      </c>
      <c r="N129" s="39">
        <f t="shared" si="3"/>
        <v>27000</v>
      </c>
      <c r="O129" s="38" t="s">
        <v>22</v>
      </c>
    </row>
    <row r="130" spans="1:15" ht="15" customHeight="1" x14ac:dyDescent="0.2">
      <c r="A130" s="46" t="s">
        <v>18</v>
      </c>
      <c r="B130" s="36" t="s">
        <v>2443</v>
      </c>
      <c r="C130" s="24">
        <f t="shared" si="2"/>
        <v>324</v>
      </c>
      <c r="D130" s="24">
        <v>1</v>
      </c>
      <c r="G130" s="37" t="s">
        <v>1569</v>
      </c>
      <c r="H130" s="42" t="s">
        <v>2569</v>
      </c>
      <c r="I130" s="46">
        <v>64276</v>
      </c>
      <c r="J130" s="46">
        <v>331</v>
      </c>
      <c r="K130" s="24" t="s">
        <v>21</v>
      </c>
      <c r="L130" s="24">
        <v>1</v>
      </c>
      <c r="M130" s="39">
        <v>21000</v>
      </c>
      <c r="N130" s="39">
        <f t="shared" si="3"/>
        <v>21000</v>
      </c>
      <c r="O130" s="38" t="s">
        <v>22</v>
      </c>
    </row>
    <row r="131" spans="1:15" ht="15" customHeight="1" x14ac:dyDescent="0.2">
      <c r="A131" s="46" t="s">
        <v>18</v>
      </c>
      <c r="B131" s="36" t="s">
        <v>2443</v>
      </c>
      <c r="C131" s="24">
        <f t="shared" si="2"/>
        <v>325</v>
      </c>
      <c r="D131" s="24">
        <v>1</v>
      </c>
      <c r="G131" s="37" t="s">
        <v>1569</v>
      </c>
      <c r="H131" s="42" t="s">
        <v>2570</v>
      </c>
      <c r="I131" s="46">
        <v>64276</v>
      </c>
      <c r="J131" s="46">
        <v>331</v>
      </c>
      <c r="K131" s="24" t="s">
        <v>21</v>
      </c>
      <c r="L131" s="24">
        <v>1</v>
      </c>
      <c r="M131" s="39">
        <v>13000</v>
      </c>
      <c r="N131" s="39">
        <f t="shared" si="3"/>
        <v>13000</v>
      </c>
      <c r="O131" s="38" t="s">
        <v>22</v>
      </c>
    </row>
    <row r="132" spans="1:15" ht="15" customHeight="1" x14ac:dyDescent="0.2">
      <c r="A132" s="46" t="s">
        <v>18</v>
      </c>
      <c r="B132" s="36" t="s">
        <v>1417</v>
      </c>
      <c r="C132" s="24">
        <f t="shared" si="2"/>
        <v>326</v>
      </c>
      <c r="D132" s="24">
        <v>1</v>
      </c>
      <c r="G132" s="37" t="s">
        <v>1569</v>
      </c>
      <c r="H132" s="42" t="s">
        <v>2571</v>
      </c>
      <c r="I132" s="46">
        <v>64276</v>
      </c>
      <c r="J132" s="46">
        <v>331</v>
      </c>
      <c r="K132" s="24" t="s">
        <v>21</v>
      </c>
      <c r="L132" s="24">
        <v>1</v>
      </c>
      <c r="M132" s="39">
        <v>49000</v>
      </c>
      <c r="N132" s="39">
        <f t="shared" si="3"/>
        <v>49000</v>
      </c>
      <c r="O132" s="38" t="s">
        <v>22</v>
      </c>
    </row>
    <row r="133" spans="1:15" ht="15" customHeight="1" x14ac:dyDescent="0.2">
      <c r="A133" s="46" t="s">
        <v>18</v>
      </c>
      <c r="B133" s="36" t="s">
        <v>1417</v>
      </c>
      <c r="C133" s="24">
        <f t="shared" ref="C133:C196" si="4">C132+D133</f>
        <v>327</v>
      </c>
      <c r="D133" s="24">
        <v>1</v>
      </c>
      <c r="G133" s="37" t="s">
        <v>1569</v>
      </c>
      <c r="H133" s="42" t="s">
        <v>2572</v>
      </c>
      <c r="I133" s="46">
        <v>64276</v>
      </c>
      <c r="J133" s="46">
        <v>331</v>
      </c>
      <c r="K133" s="24" t="s">
        <v>21</v>
      </c>
      <c r="L133" s="24">
        <v>1</v>
      </c>
      <c r="M133" s="39">
        <v>13000</v>
      </c>
      <c r="N133" s="39">
        <f t="shared" si="3"/>
        <v>13000</v>
      </c>
      <c r="O133" s="38" t="s">
        <v>22</v>
      </c>
    </row>
    <row r="134" spans="1:15" ht="15" customHeight="1" x14ac:dyDescent="0.2">
      <c r="A134" s="46" t="s">
        <v>18</v>
      </c>
      <c r="B134" s="36" t="s">
        <v>2076</v>
      </c>
      <c r="C134" s="24">
        <f t="shared" si="4"/>
        <v>328</v>
      </c>
      <c r="D134" s="24">
        <v>1</v>
      </c>
      <c r="G134" s="37" t="s">
        <v>1569</v>
      </c>
      <c r="H134" s="42" t="s">
        <v>2573</v>
      </c>
      <c r="I134" s="46">
        <v>64276</v>
      </c>
      <c r="J134" s="46">
        <v>331</v>
      </c>
      <c r="K134" s="24" t="s">
        <v>21</v>
      </c>
      <c r="L134" s="24">
        <v>1</v>
      </c>
      <c r="M134" s="39">
        <v>26000</v>
      </c>
      <c r="N134" s="39">
        <f t="shared" si="3"/>
        <v>26000</v>
      </c>
      <c r="O134" s="38" t="s">
        <v>22</v>
      </c>
    </row>
    <row r="135" spans="1:15" ht="15" customHeight="1" x14ac:dyDescent="0.2">
      <c r="A135" s="46" t="s">
        <v>18</v>
      </c>
      <c r="B135" s="36" t="s">
        <v>2076</v>
      </c>
      <c r="C135" s="24">
        <f t="shared" si="4"/>
        <v>329</v>
      </c>
      <c r="D135" s="24">
        <v>1</v>
      </c>
      <c r="G135" s="37" t="s">
        <v>1569</v>
      </c>
      <c r="H135" s="42" t="s">
        <v>2574</v>
      </c>
      <c r="I135" s="46">
        <v>64276</v>
      </c>
      <c r="J135" s="46">
        <v>331</v>
      </c>
      <c r="K135" s="24" t="s">
        <v>21</v>
      </c>
      <c r="L135" s="24">
        <v>1</v>
      </c>
      <c r="M135" s="39">
        <v>78000</v>
      </c>
      <c r="N135" s="39">
        <f t="shared" si="3"/>
        <v>78000</v>
      </c>
      <c r="O135" s="38" t="s">
        <v>22</v>
      </c>
    </row>
    <row r="136" spans="1:15" ht="15" customHeight="1" x14ac:dyDescent="0.2">
      <c r="A136" s="46" t="s">
        <v>18</v>
      </c>
      <c r="B136" s="36" t="s">
        <v>2076</v>
      </c>
      <c r="C136" s="24">
        <f t="shared" si="4"/>
        <v>330</v>
      </c>
      <c r="D136" s="24">
        <v>1</v>
      </c>
      <c r="G136" s="37" t="s">
        <v>1569</v>
      </c>
      <c r="H136" s="42" t="s">
        <v>2575</v>
      </c>
      <c r="I136" s="46">
        <v>64276</v>
      </c>
      <c r="J136" s="46">
        <v>331</v>
      </c>
      <c r="K136" s="24" t="s">
        <v>21</v>
      </c>
      <c r="L136" s="24">
        <v>1</v>
      </c>
      <c r="M136" s="39">
        <v>19000</v>
      </c>
      <c r="N136" s="39">
        <f t="shared" ref="N136:N199" si="5">L136*M136</f>
        <v>19000</v>
      </c>
      <c r="O136" s="38" t="s">
        <v>22</v>
      </c>
    </row>
    <row r="137" spans="1:15" ht="15" customHeight="1" x14ac:dyDescent="0.2">
      <c r="A137" s="46" t="s">
        <v>18</v>
      </c>
      <c r="B137" s="36" t="s">
        <v>2076</v>
      </c>
      <c r="C137" s="24">
        <f t="shared" si="4"/>
        <v>331</v>
      </c>
      <c r="D137" s="24">
        <v>1</v>
      </c>
      <c r="G137" s="37" t="s">
        <v>1569</v>
      </c>
      <c r="H137" s="42" t="s">
        <v>2576</v>
      </c>
      <c r="I137" s="46">
        <v>64276</v>
      </c>
      <c r="J137" s="46">
        <v>331</v>
      </c>
      <c r="K137" s="24" t="s">
        <v>21</v>
      </c>
      <c r="L137" s="24">
        <v>1</v>
      </c>
      <c r="M137" s="39">
        <v>81000</v>
      </c>
      <c r="N137" s="39">
        <f t="shared" si="5"/>
        <v>81000</v>
      </c>
      <c r="O137" s="38" t="s">
        <v>22</v>
      </c>
    </row>
    <row r="138" spans="1:15" ht="15" customHeight="1" x14ac:dyDescent="0.2">
      <c r="A138" s="46" t="s">
        <v>18</v>
      </c>
      <c r="B138" s="36" t="s">
        <v>1418</v>
      </c>
      <c r="C138" s="24">
        <f t="shared" si="4"/>
        <v>332</v>
      </c>
      <c r="D138" s="24">
        <v>1</v>
      </c>
      <c r="G138" s="37" t="s">
        <v>1569</v>
      </c>
      <c r="H138" s="42" t="s">
        <v>2577</v>
      </c>
      <c r="I138" s="46">
        <v>64276</v>
      </c>
      <c r="J138" s="46">
        <v>331</v>
      </c>
      <c r="K138" s="24" t="s">
        <v>21</v>
      </c>
      <c r="L138" s="24">
        <v>1</v>
      </c>
      <c r="M138" s="39">
        <v>138000</v>
      </c>
      <c r="N138" s="39">
        <f t="shared" si="5"/>
        <v>138000</v>
      </c>
      <c r="O138" s="38" t="s">
        <v>22</v>
      </c>
    </row>
    <row r="139" spans="1:15" ht="15" customHeight="1" x14ac:dyDescent="0.2">
      <c r="A139" s="46" t="s">
        <v>18</v>
      </c>
      <c r="B139" s="36" t="s">
        <v>1475</v>
      </c>
      <c r="C139" s="24">
        <f t="shared" si="4"/>
        <v>333</v>
      </c>
      <c r="D139" s="24">
        <v>1</v>
      </c>
      <c r="G139" s="37" t="s">
        <v>2449</v>
      </c>
      <c r="H139" s="24" t="s">
        <v>2462</v>
      </c>
      <c r="I139" s="46">
        <v>64277</v>
      </c>
      <c r="J139" s="46">
        <v>331</v>
      </c>
      <c r="K139" s="24" t="s">
        <v>21</v>
      </c>
      <c r="L139" s="24">
        <v>1</v>
      </c>
      <c r="M139" s="39">
        <v>241920</v>
      </c>
      <c r="N139" s="39">
        <f t="shared" si="5"/>
        <v>241920</v>
      </c>
      <c r="O139" s="38" t="s">
        <v>22</v>
      </c>
    </row>
    <row r="140" spans="1:15" ht="15" customHeight="1" x14ac:dyDescent="0.2">
      <c r="A140" s="46" t="s">
        <v>18</v>
      </c>
      <c r="B140" s="36" t="s">
        <v>2121</v>
      </c>
      <c r="C140" s="24">
        <f t="shared" si="4"/>
        <v>334</v>
      </c>
      <c r="D140" s="24">
        <v>1</v>
      </c>
      <c r="G140" s="37" t="s">
        <v>174</v>
      </c>
      <c r="H140" s="24" t="s">
        <v>2472</v>
      </c>
      <c r="I140" s="46">
        <v>64276</v>
      </c>
      <c r="J140" s="46">
        <v>331</v>
      </c>
      <c r="K140" s="24" t="s">
        <v>21</v>
      </c>
      <c r="L140" s="24">
        <v>1</v>
      </c>
      <c r="M140" s="39">
        <v>399600</v>
      </c>
      <c r="N140" s="39">
        <f t="shared" si="5"/>
        <v>399600</v>
      </c>
      <c r="O140" s="38" t="s">
        <v>22</v>
      </c>
    </row>
    <row r="141" spans="1:15" ht="15" customHeight="1" x14ac:dyDescent="0.2">
      <c r="A141" s="46" t="s">
        <v>18</v>
      </c>
      <c r="B141" s="36" t="s">
        <v>1412</v>
      </c>
      <c r="C141" s="24">
        <f t="shared" si="4"/>
        <v>335</v>
      </c>
      <c r="D141" s="24">
        <v>1</v>
      </c>
      <c r="G141" s="37" t="s">
        <v>1799</v>
      </c>
      <c r="H141" s="24" t="s">
        <v>2463</v>
      </c>
      <c r="I141" s="46">
        <v>64277</v>
      </c>
      <c r="J141" s="46">
        <v>331</v>
      </c>
      <c r="K141" s="24" t="s">
        <v>21</v>
      </c>
      <c r="L141" s="24">
        <v>1</v>
      </c>
      <c r="M141" s="39">
        <v>1322160</v>
      </c>
      <c r="N141" s="39">
        <f t="shared" si="5"/>
        <v>1322160</v>
      </c>
      <c r="O141" s="38" t="s">
        <v>22</v>
      </c>
    </row>
    <row r="142" spans="1:15" ht="15" customHeight="1" x14ac:dyDescent="0.2">
      <c r="A142" s="46" t="s">
        <v>18</v>
      </c>
      <c r="B142" s="36" t="s">
        <v>2046</v>
      </c>
      <c r="C142" s="24">
        <f t="shared" si="4"/>
        <v>336</v>
      </c>
      <c r="D142" s="24">
        <v>1</v>
      </c>
      <c r="G142" s="37" t="s">
        <v>2450</v>
      </c>
      <c r="H142" s="24" t="s">
        <v>2473</v>
      </c>
      <c r="I142" s="46">
        <v>64276</v>
      </c>
      <c r="J142" s="46">
        <v>331</v>
      </c>
      <c r="K142" s="24" t="s">
        <v>21</v>
      </c>
      <c r="L142" s="24">
        <v>1</v>
      </c>
      <c r="M142" s="39">
        <v>5020650</v>
      </c>
      <c r="N142" s="39">
        <f t="shared" si="5"/>
        <v>5020650</v>
      </c>
      <c r="O142" s="38" t="s">
        <v>22</v>
      </c>
    </row>
    <row r="143" spans="1:15" ht="15" customHeight="1" x14ac:dyDescent="0.2">
      <c r="A143" s="46" t="s">
        <v>18</v>
      </c>
      <c r="B143" s="36" t="s">
        <v>2047</v>
      </c>
      <c r="C143" s="24">
        <f t="shared" si="4"/>
        <v>337</v>
      </c>
      <c r="D143" s="24">
        <v>1</v>
      </c>
      <c r="G143" s="37" t="s">
        <v>1735</v>
      </c>
      <c r="H143" s="24" t="s">
        <v>2464</v>
      </c>
      <c r="I143" s="46">
        <v>64277</v>
      </c>
      <c r="J143" s="46">
        <v>331</v>
      </c>
      <c r="K143" s="24" t="s">
        <v>21</v>
      </c>
      <c r="L143" s="24">
        <v>1</v>
      </c>
      <c r="M143" s="39">
        <v>2075220</v>
      </c>
      <c r="N143" s="39">
        <f t="shared" si="5"/>
        <v>2075220</v>
      </c>
      <c r="O143" s="38" t="s">
        <v>22</v>
      </c>
    </row>
    <row r="144" spans="1:15" ht="15" customHeight="1" x14ac:dyDescent="0.2">
      <c r="A144" s="46" t="s">
        <v>18</v>
      </c>
      <c r="B144" s="36" t="s">
        <v>1420</v>
      </c>
      <c r="C144" s="24">
        <f t="shared" si="4"/>
        <v>338</v>
      </c>
      <c r="D144" s="24">
        <v>1</v>
      </c>
      <c r="G144" s="37" t="s">
        <v>158</v>
      </c>
      <c r="H144" s="24" t="s">
        <v>2458</v>
      </c>
      <c r="I144" s="46">
        <v>64277</v>
      </c>
      <c r="J144" s="46">
        <v>331</v>
      </c>
      <c r="K144" s="24" t="s">
        <v>21</v>
      </c>
      <c r="L144" s="24">
        <v>1</v>
      </c>
      <c r="M144" s="39">
        <v>3240000</v>
      </c>
      <c r="N144" s="39">
        <f t="shared" si="5"/>
        <v>3240000</v>
      </c>
      <c r="O144" s="38" t="s">
        <v>22</v>
      </c>
    </row>
    <row r="145" spans="1:15" ht="15" customHeight="1" x14ac:dyDescent="0.2">
      <c r="A145" s="46" t="s">
        <v>18</v>
      </c>
      <c r="B145" s="36" t="s">
        <v>2078</v>
      </c>
      <c r="C145" s="24">
        <f t="shared" si="4"/>
        <v>339</v>
      </c>
      <c r="D145" s="24">
        <v>1</v>
      </c>
      <c r="G145" s="37" t="s">
        <v>2451</v>
      </c>
      <c r="H145" s="24" t="s">
        <v>2474</v>
      </c>
      <c r="I145" s="46">
        <v>64276</v>
      </c>
      <c r="J145" s="46">
        <v>331</v>
      </c>
      <c r="K145" s="24" t="s">
        <v>21</v>
      </c>
      <c r="L145" s="24">
        <v>1</v>
      </c>
      <c r="M145" s="39">
        <v>29740000</v>
      </c>
      <c r="N145" s="39">
        <f t="shared" si="5"/>
        <v>29740000</v>
      </c>
      <c r="O145" s="38" t="s">
        <v>22</v>
      </c>
    </row>
    <row r="146" spans="1:15" ht="15" customHeight="1" x14ac:dyDescent="0.2">
      <c r="A146" s="46" t="s">
        <v>18</v>
      </c>
      <c r="B146" s="36" t="s">
        <v>1478</v>
      </c>
      <c r="C146" s="24">
        <f t="shared" si="4"/>
        <v>340</v>
      </c>
      <c r="D146" s="24">
        <v>1</v>
      </c>
      <c r="G146" s="37" t="s">
        <v>1351</v>
      </c>
      <c r="H146" s="42" t="s">
        <v>2578</v>
      </c>
      <c r="I146" s="46">
        <v>64276</v>
      </c>
      <c r="J146" s="46">
        <v>331</v>
      </c>
      <c r="K146" s="24" t="s">
        <v>21</v>
      </c>
      <c r="L146" s="24">
        <v>1</v>
      </c>
      <c r="M146" s="39">
        <v>242000</v>
      </c>
      <c r="N146" s="39">
        <f t="shared" si="5"/>
        <v>242000</v>
      </c>
      <c r="O146" s="38" t="s">
        <v>22</v>
      </c>
    </row>
    <row r="147" spans="1:15" ht="15" customHeight="1" x14ac:dyDescent="0.2">
      <c r="A147" s="46" t="s">
        <v>18</v>
      </c>
      <c r="B147" s="36" t="s">
        <v>1478</v>
      </c>
      <c r="C147" s="24">
        <f t="shared" si="4"/>
        <v>341</v>
      </c>
      <c r="D147" s="24">
        <v>1</v>
      </c>
      <c r="G147" s="37" t="s">
        <v>1351</v>
      </c>
      <c r="H147" s="42" t="s">
        <v>2579</v>
      </c>
      <c r="I147" s="46">
        <v>64276</v>
      </c>
      <c r="J147" s="46">
        <v>331</v>
      </c>
      <c r="K147" s="24" t="s">
        <v>21</v>
      </c>
      <c r="L147" s="24">
        <v>1</v>
      </c>
      <c r="M147" s="39">
        <v>57000</v>
      </c>
      <c r="N147" s="39">
        <f t="shared" si="5"/>
        <v>57000</v>
      </c>
      <c r="O147" s="38" t="s">
        <v>22</v>
      </c>
    </row>
    <row r="148" spans="1:15" ht="15" customHeight="1" x14ac:dyDescent="0.2">
      <c r="A148" s="46" t="s">
        <v>18</v>
      </c>
      <c r="B148" s="36" t="s">
        <v>1478</v>
      </c>
      <c r="C148" s="24">
        <f t="shared" si="4"/>
        <v>342</v>
      </c>
      <c r="D148" s="24">
        <v>1</v>
      </c>
      <c r="G148" s="37" t="s">
        <v>1569</v>
      </c>
      <c r="H148" s="42" t="s">
        <v>2580</v>
      </c>
      <c r="I148" s="46">
        <v>64276</v>
      </c>
      <c r="J148" s="46">
        <v>331</v>
      </c>
      <c r="K148" s="24" t="s">
        <v>21</v>
      </c>
      <c r="L148" s="24">
        <v>1</v>
      </c>
      <c r="M148" s="39">
        <v>137000</v>
      </c>
      <c r="N148" s="39">
        <f t="shared" si="5"/>
        <v>137000</v>
      </c>
      <c r="O148" s="38" t="s">
        <v>22</v>
      </c>
    </row>
    <row r="149" spans="1:15" ht="15" customHeight="1" x14ac:dyDescent="0.2">
      <c r="A149" s="46" t="s">
        <v>18</v>
      </c>
      <c r="B149" s="36" t="s">
        <v>1479</v>
      </c>
      <c r="C149" s="24">
        <f t="shared" si="4"/>
        <v>343</v>
      </c>
      <c r="D149" s="24">
        <v>1</v>
      </c>
      <c r="G149" s="37" t="s">
        <v>1351</v>
      </c>
      <c r="H149" s="42" t="s">
        <v>2581</v>
      </c>
      <c r="I149" s="46">
        <v>64276</v>
      </c>
      <c r="J149" s="46">
        <v>331</v>
      </c>
      <c r="K149" s="24" t="s">
        <v>21</v>
      </c>
      <c r="L149" s="24">
        <v>1</v>
      </c>
      <c r="M149" s="39">
        <v>28000</v>
      </c>
      <c r="N149" s="39">
        <f t="shared" si="5"/>
        <v>28000</v>
      </c>
      <c r="O149" s="38" t="s">
        <v>22</v>
      </c>
    </row>
    <row r="150" spans="1:15" ht="15" customHeight="1" x14ac:dyDescent="0.2">
      <c r="A150" s="46" t="s">
        <v>18</v>
      </c>
      <c r="B150" s="36" t="s">
        <v>1479</v>
      </c>
      <c r="C150" s="24">
        <f t="shared" si="4"/>
        <v>344</v>
      </c>
      <c r="D150" s="24">
        <v>1</v>
      </c>
      <c r="G150" s="37" t="s">
        <v>1351</v>
      </c>
      <c r="H150" s="42" t="s">
        <v>2582</v>
      </c>
      <c r="I150" s="46">
        <v>64276</v>
      </c>
      <c r="J150" s="46">
        <v>331</v>
      </c>
      <c r="K150" s="24" t="s">
        <v>21</v>
      </c>
      <c r="L150" s="24">
        <v>1</v>
      </c>
      <c r="M150" s="39">
        <v>20000</v>
      </c>
      <c r="N150" s="39">
        <f t="shared" si="5"/>
        <v>20000</v>
      </c>
      <c r="O150" s="38" t="s">
        <v>22</v>
      </c>
    </row>
    <row r="151" spans="1:15" ht="15" customHeight="1" x14ac:dyDescent="0.2">
      <c r="A151" s="46" t="s">
        <v>18</v>
      </c>
      <c r="B151" s="36" t="s">
        <v>2048</v>
      </c>
      <c r="C151" s="24">
        <f t="shared" si="4"/>
        <v>345</v>
      </c>
      <c r="D151" s="24">
        <v>1</v>
      </c>
      <c r="G151" s="37" t="s">
        <v>1569</v>
      </c>
      <c r="H151" s="42" t="s">
        <v>2583</v>
      </c>
      <c r="I151" s="46">
        <v>64276</v>
      </c>
      <c r="J151" s="46">
        <v>331</v>
      </c>
      <c r="K151" s="24" t="s">
        <v>21</v>
      </c>
      <c r="L151" s="24">
        <v>1</v>
      </c>
      <c r="M151" s="39">
        <v>19000</v>
      </c>
      <c r="N151" s="39">
        <f t="shared" si="5"/>
        <v>19000</v>
      </c>
      <c r="O151" s="38" t="s">
        <v>22</v>
      </c>
    </row>
    <row r="152" spans="1:15" ht="15" customHeight="1" x14ac:dyDescent="0.2">
      <c r="A152" s="46" t="s">
        <v>18</v>
      </c>
      <c r="B152" s="36" t="s">
        <v>2077</v>
      </c>
      <c r="C152" s="24">
        <f t="shared" si="4"/>
        <v>346</v>
      </c>
      <c r="D152" s="24">
        <v>1</v>
      </c>
      <c r="G152" s="37" t="s">
        <v>1569</v>
      </c>
      <c r="H152" s="42" t="s">
        <v>2584</v>
      </c>
      <c r="I152" s="46">
        <v>64276</v>
      </c>
      <c r="J152" s="46">
        <v>331</v>
      </c>
      <c r="K152" s="24" t="s">
        <v>21</v>
      </c>
      <c r="L152" s="24">
        <v>1</v>
      </c>
      <c r="M152" s="39">
        <v>31000</v>
      </c>
      <c r="N152" s="39">
        <f t="shared" si="5"/>
        <v>31000</v>
      </c>
      <c r="O152" s="38" t="s">
        <v>22</v>
      </c>
    </row>
    <row r="153" spans="1:15" ht="15" customHeight="1" x14ac:dyDescent="0.2">
      <c r="A153" s="46" t="s">
        <v>18</v>
      </c>
      <c r="B153" s="36" t="s">
        <v>1480</v>
      </c>
      <c r="C153" s="24">
        <f t="shared" si="4"/>
        <v>347</v>
      </c>
      <c r="D153" s="24">
        <v>1</v>
      </c>
      <c r="G153" s="37" t="s">
        <v>1569</v>
      </c>
      <c r="H153" s="42" t="s">
        <v>2585</v>
      </c>
      <c r="I153" s="46">
        <v>64276</v>
      </c>
      <c r="J153" s="46">
        <v>331</v>
      </c>
      <c r="K153" s="24" t="s">
        <v>21</v>
      </c>
      <c r="L153" s="24">
        <v>1</v>
      </c>
      <c r="M153" s="39">
        <v>28000</v>
      </c>
      <c r="N153" s="39">
        <f t="shared" si="5"/>
        <v>28000</v>
      </c>
      <c r="O153" s="38" t="s">
        <v>22</v>
      </c>
    </row>
    <row r="154" spans="1:15" ht="15" customHeight="1" x14ac:dyDescent="0.2">
      <c r="A154" s="46" t="s">
        <v>18</v>
      </c>
      <c r="B154" s="36" t="s">
        <v>1480</v>
      </c>
      <c r="C154" s="24">
        <f t="shared" si="4"/>
        <v>348</v>
      </c>
      <c r="D154" s="24">
        <v>1</v>
      </c>
      <c r="G154" s="37" t="s">
        <v>1569</v>
      </c>
      <c r="H154" s="42" t="s">
        <v>2586</v>
      </c>
      <c r="I154" s="46">
        <v>64276</v>
      </c>
      <c r="J154" s="46">
        <v>331</v>
      </c>
      <c r="K154" s="24" t="s">
        <v>21</v>
      </c>
      <c r="L154" s="24">
        <v>1</v>
      </c>
      <c r="M154" s="39">
        <v>36000</v>
      </c>
      <c r="N154" s="39">
        <f t="shared" si="5"/>
        <v>36000</v>
      </c>
      <c r="O154" s="38" t="s">
        <v>22</v>
      </c>
    </row>
    <row r="155" spans="1:15" ht="15" customHeight="1" x14ac:dyDescent="0.2">
      <c r="A155" s="46" t="s">
        <v>18</v>
      </c>
      <c r="B155" s="36" t="s">
        <v>1480</v>
      </c>
      <c r="C155" s="24">
        <f t="shared" si="4"/>
        <v>349</v>
      </c>
      <c r="D155" s="24">
        <v>1</v>
      </c>
      <c r="G155" s="37" t="s">
        <v>1569</v>
      </c>
      <c r="H155" s="42" t="s">
        <v>2587</v>
      </c>
      <c r="I155" s="46">
        <v>64276</v>
      </c>
      <c r="J155" s="46">
        <v>331</v>
      </c>
      <c r="K155" s="24" t="s">
        <v>21</v>
      </c>
      <c r="L155" s="24">
        <v>1</v>
      </c>
      <c r="M155" s="39">
        <v>37000</v>
      </c>
      <c r="N155" s="39">
        <f t="shared" si="5"/>
        <v>37000</v>
      </c>
      <c r="O155" s="38" t="s">
        <v>22</v>
      </c>
    </row>
    <row r="156" spans="1:15" ht="15" customHeight="1" x14ac:dyDescent="0.2">
      <c r="A156" s="46" t="s">
        <v>18</v>
      </c>
      <c r="B156" s="36" t="s">
        <v>1480</v>
      </c>
      <c r="C156" s="24">
        <f t="shared" si="4"/>
        <v>350</v>
      </c>
      <c r="D156" s="24">
        <v>1</v>
      </c>
      <c r="G156" s="37" t="s">
        <v>1569</v>
      </c>
      <c r="H156" s="42" t="s">
        <v>2588</v>
      </c>
      <c r="I156" s="46">
        <v>64276</v>
      </c>
      <c r="J156" s="46">
        <v>331</v>
      </c>
      <c r="K156" s="24" t="s">
        <v>21</v>
      </c>
      <c r="L156" s="24">
        <v>1</v>
      </c>
      <c r="M156" s="39">
        <v>38000</v>
      </c>
      <c r="N156" s="39">
        <f t="shared" si="5"/>
        <v>38000</v>
      </c>
      <c r="O156" s="38" t="s">
        <v>22</v>
      </c>
    </row>
    <row r="157" spans="1:15" ht="15" customHeight="1" x14ac:dyDescent="0.2">
      <c r="A157" s="46" t="s">
        <v>18</v>
      </c>
      <c r="B157" s="36" t="s">
        <v>1480</v>
      </c>
      <c r="C157" s="24">
        <f t="shared" si="4"/>
        <v>351</v>
      </c>
      <c r="D157" s="24">
        <v>1</v>
      </c>
      <c r="G157" s="37" t="s">
        <v>1569</v>
      </c>
      <c r="H157" s="42" t="s">
        <v>2589</v>
      </c>
      <c r="I157" s="46">
        <v>64276</v>
      </c>
      <c r="J157" s="46">
        <v>331</v>
      </c>
      <c r="K157" s="24" t="s">
        <v>21</v>
      </c>
      <c r="L157" s="24">
        <v>1</v>
      </c>
      <c r="M157" s="39">
        <v>39000</v>
      </c>
      <c r="N157" s="39">
        <f t="shared" si="5"/>
        <v>39000</v>
      </c>
      <c r="O157" s="38" t="s">
        <v>22</v>
      </c>
    </row>
    <row r="158" spans="1:15" ht="15" customHeight="1" x14ac:dyDescent="0.2">
      <c r="A158" s="46" t="s">
        <v>18</v>
      </c>
      <c r="B158" s="36" t="s">
        <v>2125</v>
      </c>
      <c r="C158" s="24">
        <f t="shared" si="4"/>
        <v>352</v>
      </c>
      <c r="D158" s="24">
        <v>1</v>
      </c>
      <c r="G158" s="37" t="s">
        <v>1569</v>
      </c>
      <c r="H158" s="42" t="s">
        <v>2590</v>
      </c>
      <c r="I158" s="46">
        <v>64276</v>
      </c>
      <c r="J158" s="46">
        <v>331</v>
      </c>
      <c r="K158" s="24" t="s">
        <v>21</v>
      </c>
      <c r="L158" s="24">
        <v>1</v>
      </c>
      <c r="M158" s="39">
        <v>26000</v>
      </c>
      <c r="N158" s="39">
        <f t="shared" si="5"/>
        <v>26000</v>
      </c>
      <c r="O158" s="38" t="s">
        <v>22</v>
      </c>
    </row>
    <row r="159" spans="1:15" ht="15" customHeight="1" x14ac:dyDescent="0.2">
      <c r="A159" s="46" t="s">
        <v>18</v>
      </c>
      <c r="B159" s="36" t="s">
        <v>2125</v>
      </c>
      <c r="C159" s="24">
        <f t="shared" si="4"/>
        <v>353</v>
      </c>
      <c r="D159" s="24">
        <v>1</v>
      </c>
      <c r="G159" s="37" t="s">
        <v>1569</v>
      </c>
      <c r="H159" s="42" t="s">
        <v>2591</v>
      </c>
      <c r="I159" s="46">
        <v>64276</v>
      </c>
      <c r="J159" s="46">
        <v>331</v>
      </c>
      <c r="K159" s="24" t="s">
        <v>21</v>
      </c>
      <c r="L159" s="24">
        <v>1</v>
      </c>
      <c r="M159" s="39">
        <v>21000</v>
      </c>
      <c r="N159" s="39">
        <f t="shared" si="5"/>
        <v>21000</v>
      </c>
      <c r="O159" s="38" t="s">
        <v>22</v>
      </c>
    </row>
    <row r="160" spans="1:15" ht="15" customHeight="1" x14ac:dyDescent="0.2">
      <c r="A160" s="46" t="s">
        <v>18</v>
      </c>
      <c r="B160" s="36" t="s">
        <v>2125</v>
      </c>
      <c r="C160" s="24">
        <f t="shared" si="4"/>
        <v>354</v>
      </c>
      <c r="D160" s="24">
        <v>1</v>
      </c>
      <c r="G160" s="37" t="s">
        <v>1569</v>
      </c>
      <c r="H160" s="42" t="s">
        <v>2592</v>
      </c>
      <c r="I160" s="46">
        <v>64276</v>
      </c>
      <c r="J160" s="46">
        <v>331</v>
      </c>
      <c r="K160" s="24" t="s">
        <v>21</v>
      </c>
      <c r="L160" s="24">
        <v>1</v>
      </c>
      <c r="M160" s="39">
        <v>65000</v>
      </c>
      <c r="N160" s="39">
        <f t="shared" si="5"/>
        <v>65000</v>
      </c>
      <c r="O160" s="38" t="s">
        <v>22</v>
      </c>
    </row>
    <row r="161" spans="1:15" ht="15" customHeight="1" x14ac:dyDescent="0.2">
      <c r="A161" s="46" t="s">
        <v>18</v>
      </c>
      <c r="B161" s="36" t="s">
        <v>2125</v>
      </c>
      <c r="C161" s="24">
        <f t="shared" si="4"/>
        <v>355</v>
      </c>
      <c r="D161" s="24">
        <v>1</v>
      </c>
      <c r="G161" s="37" t="s">
        <v>1569</v>
      </c>
      <c r="H161" s="42" t="s">
        <v>2593</v>
      </c>
      <c r="I161" s="46">
        <v>64276</v>
      </c>
      <c r="J161" s="46">
        <v>331</v>
      </c>
      <c r="K161" s="24" t="s">
        <v>21</v>
      </c>
      <c r="L161" s="24">
        <v>1</v>
      </c>
      <c r="M161" s="39">
        <v>134000</v>
      </c>
      <c r="N161" s="39">
        <f t="shared" si="5"/>
        <v>134000</v>
      </c>
      <c r="O161" s="38" t="s">
        <v>22</v>
      </c>
    </row>
    <row r="162" spans="1:15" ht="15" customHeight="1" x14ac:dyDescent="0.2">
      <c r="A162" s="46" t="s">
        <v>18</v>
      </c>
      <c r="B162" s="36" t="s">
        <v>2126</v>
      </c>
      <c r="C162" s="24">
        <f t="shared" si="4"/>
        <v>356</v>
      </c>
      <c r="D162" s="24">
        <v>1</v>
      </c>
      <c r="G162" s="37" t="s">
        <v>1569</v>
      </c>
      <c r="H162" s="42" t="s">
        <v>2594</v>
      </c>
      <c r="I162" s="46">
        <v>64276</v>
      </c>
      <c r="J162" s="46">
        <v>331</v>
      </c>
      <c r="K162" s="24" t="s">
        <v>21</v>
      </c>
      <c r="L162" s="24">
        <v>1</v>
      </c>
      <c r="M162" s="39">
        <v>57000</v>
      </c>
      <c r="N162" s="39">
        <f t="shared" si="5"/>
        <v>57000</v>
      </c>
      <c r="O162" s="38" t="s">
        <v>22</v>
      </c>
    </row>
    <row r="163" spans="1:15" ht="15" customHeight="1" x14ac:dyDescent="0.2">
      <c r="A163" s="46" t="s">
        <v>18</v>
      </c>
      <c r="B163" s="36" t="s">
        <v>1419</v>
      </c>
      <c r="C163" s="24">
        <f t="shared" si="4"/>
        <v>357</v>
      </c>
      <c r="D163" s="24">
        <v>1</v>
      </c>
      <c r="G163" s="37" t="s">
        <v>1569</v>
      </c>
      <c r="H163" s="42" t="s">
        <v>2595</v>
      </c>
      <c r="I163" s="46">
        <v>64276</v>
      </c>
      <c r="J163" s="46">
        <v>331</v>
      </c>
      <c r="K163" s="24" t="s">
        <v>21</v>
      </c>
      <c r="L163" s="24">
        <v>1</v>
      </c>
      <c r="M163" s="39">
        <v>70000</v>
      </c>
      <c r="N163" s="39">
        <f t="shared" si="5"/>
        <v>70000</v>
      </c>
      <c r="O163" s="38" t="s">
        <v>22</v>
      </c>
    </row>
    <row r="164" spans="1:15" ht="15" customHeight="1" x14ac:dyDescent="0.2">
      <c r="A164" s="46" t="s">
        <v>18</v>
      </c>
      <c r="B164" s="36" t="s">
        <v>1421</v>
      </c>
      <c r="C164" s="24">
        <f t="shared" si="4"/>
        <v>358</v>
      </c>
      <c r="D164" s="24">
        <v>1</v>
      </c>
      <c r="G164" s="37" t="s">
        <v>1569</v>
      </c>
      <c r="H164" s="42" t="s">
        <v>2596</v>
      </c>
      <c r="I164" s="46">
        <v>64276</v>
      </c>
      <c r="J164" s="46">
        <v>331</v>
      </c>
      <c r="K164" s="24" t="s">
        <v>21</v>
      </c>
      <c r="L164" s="24">
        <v>1</v>
      </c>
      <c r="M164" s="39">
        <v>24000</v>
      </c>
      <c r="N164" s="39">
        <f t="shared" si="5"/>
        <v>24000</v>
      </c>
      <c r="O164" s="38" t="s">
        <v>22</v>
      </c>
    </row>
    <row r="165" spans="1:15" ht="15" customHeight="1" x14ac:dyDescent="0.2">
      <c r="A165" s="46" t="s">
        <v>18</v>
      </c>
      <c r="B165" s="36" t="s">
        <v>1421</v>
      </c>
      <c r="C165" s="24">
        <f t="shared" si="4"/>
        <v>359</v>
      </c>
      <c r="D165" s="24">
        <v>1</v>
      </c>
      <c r="G165" s="37" t="s">
        <v>1569</v>
      </c>
      <c r="H165" s="42" t="s">
        <v>2597</v>
      </c>
      <c r="I165" s="46">
        <v>64276</v>
      </c>
      <c r="J165" s="46">
        <v>331</v>
      </c>
      <c r="K165" s="24" t="s">
        <v>21</v>
      </c>
      <c r="L165" s="24">
        <v>1</v>
      </c>
      <c r="M165" s="39">
        <v>52000</v>
      </c>
      <c r="N165" s="39">
        <f t="shared" si="5"/>
        <v>52000</v>
      </c>
      <c r="O165" s="38" t="s">
        <v>22</v>
      </c>
    </row>
    <row r="166" spans="1:15" ht="15" customHeight="1" x14ac:dyDescent="0.2">
      <c r="A166" s="46" t="s">
        <v>18</v>
      </c>
      <c r="B166" s="36" t="s">
        <v>2049</v>
      </c>
      <c r="C166" s="24">
        <f t="shared" si="4"/>
        <v>360</v>
      </c>
      <c r="D166" s="24">
        <v>1</v>
      </c>
      <c r="G166" s="37" t="s">
        <v>1569</v>
      </c>
      <c r="H166" s="42" t="s">
        <v>2598</v>
      </c>
      <c r="I166" s="46">
        <v>64276</v>
      </c>
      <c r="J166" s="46">
        <v>331</v>
      </c>
      <c r="K166" s="24" t="s">
        <v>21</v>
      </c>
      <c r="L166" s="24">
        <v>1</v>
      </c>
      <c r="M166" s="39">
        <v>119000</v>
      </c>
      <c r="N166" s="39">
        <f t="shared" si="5"/>
        <v>119000</v>
      </c>
      <c r="O166" s="38" t="s">
        <v>22</v>
      </c>
    </row>
    <row r="167" spans="1:15" ht="15" customHeight="1" x14ac:dyDescent="0.2">
      <c r="A167" s="46" t="s">
        <v>18</v>
      </c>
      <c r="B167" s="36" t="s">
        <v>2483</v>
      </c>
      <c r="C167" s="24">
        <f t="shared" si="4"/>
        <v>361</v>
      </c>
      <c r="D167" s="24">
        <v>1</v>
      </c>
      <c r="G167" s="37" t="s">
        <v>1569</v>
      </c>
      <c r="H167" s="42" t="s">
        <v>2599</v>
      </c>
      <c r="I167" s="46">
        <v>64276</v>
      </c>
      <c r="J167" s="46">
        <v>331</v>
      </c>
      <c r="K167" s="24" t="s">
        <v>21</v>
      </c>
      <c r="L167" s="24">
        <v>1</v>
      </c>
      <c r="M167" s="39">
        <v>30000</v>
      </c>
      <c r="N167" s="39">
        <f t="shared" si="5"/>
        <v>30000</v>
      </c>
      <c r="O167" s="38" t="s">
        <v>22</v>
      </c>
    </row>
    <row r="168" spans="1:15" ht="15" customHeight="1" x14ac:dyDescent="0.2">
      <c r="A168" s="46" t="s">
        <v>18</v>
      </c>
      <c r="B168" s="36" t="s">
        <v>2483</v>
      </c>
      <c r="C168" s="24">
        <f t="shared" si="4"/>
        <v>362</v>
      </c>
      <c r="D168" s="24">
        <v>1</v>
      </c>
      <c r="G168" s="37" t="s">
        <v>1569</v>
      </c>
      <c r="H168" s="42" t="s">
        <v>2600</v>
      </c>
      <c r="I168" s="46">
        <v>64276</v>
      </c>
      <c r="J168" s="46">
        <v>331</v>
      </c>
      <c r="K168" s="24" t="s">
        <v>21</v>
      </c>
      <c r="L168" s="24">
        <v>1</v>
      </c>
      <c r="M168" s="39">
        <v>36000</v>
      </c>
      <c r="N168" s="39">
        <f t="shared" si="5"/>
        <v>36000</v>
      </c>
      <c r="O168" s="38" t="s">
        <v>22</v>
      </c>
    </row>
    <row r="169" spans="1:15" ht="15" customHeight="1" x14ac:dyDescent="0.2">
      <c r="A169" s="46" t="s">
        <v>18</v>
      </c>
      <c r="B169" s="36" t="s">
        <v>1423</v>
      </c>
      <c r="C169" s="24">
        <f t="shared" si="4"/>
        <v>363</v>
      </c>
      <c r="D169" s="24">
        <v>1</v>
      </c>
      <c r="G169" s="37" t="s">
        <v>1569</v>
      </c>
      <c r="H169" s="42" t="s">
        <v>2601</v>
      </c>
      <c r="I169" s="46">
        <v>64276</v>
      </c>
      <c r="J169" s="46">
        <v>331</v>
      </c>
      <c r="K169" s="24" t="s">
        <v>21</v>
      </c>
      <c r="L169" s="24">
        <v>1</v>
      </c>
      <c r="M169" s="39">
        <v>93000</v>
      </c>
      <c r="N169" s="39">
        <f t="shared" si="5"/>
        <v>93000</v>
      </c>
      <c r="O169" s="38" t="s">
        <v>22</v>
      </c>
    </row>
    <row r="170" spans="1:15" ht="15" customHeight="1" x14ac:dyDescent="0.2">
      <c r="A170" s="46" t="s">
        <v>18</v>
      </c>
      <c r="B170" s="36" t="s">
        <v>2050</v>
      </c>
      <c r="C170" s="24">
        <f t="shared" si="4"/>
        <v>364</v>
      </c>
      <c r="D170" s="24">
        <v>1</v>
      </c>
      <c r="G170" s="37" t="s">
        <v>1569</v>
      </c>
      <c r="H170" s="42" t="s">
        <v>2602</v>
      </c>
      <c r="I170" s="46">
        <v>64276</v>
      </c>
      <c r="J170" s="46">
        <v>331</v>
      </c>
      <c r="K170" s="24" t="s">
        <v>21</v>
      </c>
      <c r="L170" s="24">
        <v>1</v>
      </c>
      <c r="M170" s="39">
        <v>14000</v>
      </c>
      <c r="N170" s="39">
        <f t="shared" si="5"/>
        <v>14000</v>
      </c>
      <c r="O170" s="38" t="s">
        <v>22</v>
      </c>
    </row>
    <row r="171" spans="1:15" ht="15" customHeight="1" x14ac:dyDescent="0.2">
      <c r="A171" s="46" t="s">
        <v>18</v>
      </c>
      <c r="B171" s="36" t="s">
        <v>2050</v>
      </c>
      <c r="C171" s="24">
        <f t="shared" si="4"/>
        <v>365</v>
      </c>
      <c r="D171" s="24">
        <v>1</v>
      </c>
      <c r="G171" s="37" t="s">
        <v>1569</v>
      </c>
      <c r="H171" s="42" t="s">
        <v>2603</v>
      </c>
      <c r="I171" s="46">
        <v>64276</v>
      </c>
      <c r="J171" s="46">
        <v>331</v>
      </c>
      <c r="K171" s="24" t="s">
        <v>21</v>
      </c>
      <c r="L171" s="24">
        <v>1</v>
      </c>
      <c r="M171" s="39">
        <v>105000</v>
      </c>
      <c r="N171" s="39">
        <f t="shared" si="5"/>
        <v>105000</v>
      </c>
      <c r="O171" s="38" t="s">
        <v>22</v>
      </c>
    </row>
    <row r="172" spans="1:15" ht="15" customHeight="1" x14ac:dyDescent="0.2">
      <c r="A172" s="46" t="s">
        <v>18</v>
      </c>
      <c r="B172" s="36" t="s">
        <v>2050</v>
      </c>
      <c r="C172" s="24">
        <f t="shared" si="4"/>
        <v>366</v>
      </c>
      <c r="D172" s="24">
        <v>1</v>
      </c>
      <c r="G172" s="37" t="s">
        <v>1569</v>
      </c>
      <c r="H172" s="42" t="s">
        <v>2604</v>
      </c>
      <c r="I172" s="46">
        <v>64276</v>
      </c>
      <c r="J172" s="46">
        <v>331</v>
      </c>
      <c r="K172" s="24" t="s">
        <v>21</v>
      </c>
      <c r="L172" s="24">
        <v>1</v>
      </c>
      <c r="M172" s="39">
        <v>21000</v>
      </c>
      <c r="N172" s="39">
        <f t="shared" si="5"/>
        <v>21000</v>
      </c>
      <c r="O172" s="38" t="s">
        <v>22</v>
      </c>
    </row>
    <row r="173" spans="1:15" ht="15" customHeight="1" x14ac:dyDescent="0.2">
      <c r="A173" s="46" t="s">
        <v>18</v>
      </c>
      <c r="B173" s="36" t="s">
        <v>2050</v>
      </c>
      <c r="C173" s="24">
        <f t="shared" si="4"/>
        <v>367</v>
      </c>
      <c r="D173" s="24">
        <v>1</v>
      </c>
      <c r="G173" s="37" t="s">
        <v>1569</v>
      </c>
      <c r="H173" s="42" t="s">
        <v>2605</v>
      </c>
      <c r="I173" s="46">
        <v>64276</v>
      </c>
      <c r="J173" s="46">
        <v>331</v>
      </c>
      <c r="K173" s="24" t="s">
        <v>21</v>
      </c>
      <c r="L173" s="24">
        <v>1</v>
      </c>
      <c r="M173" s="39">
        <v>41000</v>
      </c>
      <c r="N173" s="39">
        <f t="shared" si="5"/>
        <v>41000</v>
      </c>
      <c r="O173" s="38" t="s">
        <v>22</v>
      </c>
    </row>
    <row r="174" spans="1:15" ht="15" customHeight="1" x14ac:dyDescent="0.2">
      <c r="A174" s="46" t="s">
        <v>18</v>
      </c>
      <c r="B174" s="36" t="s">
        <v>2050</v>
      </c>
      <c r="C174" s="24">
        <f t="shared" si="4"/>
        <v>368</v>
      </c>
      <c r="D174" s="24">
        <v>1</v>
      </c>
      <c r="G174" s="37" t="s">
        <v>1569</v>
      </c>
      <c r="H174" s="42" t="s">
        <v>2606</v>
      </c>
      <c r="I174" s="46">
        <v>64276</v>
      </c>
      <c r="J174" s="46">
        <v>331</v>
      </c>
      <c r="K174" s="24" t="s">
        <v>21</v>
      </c>
      <c r="L174" s="24">
        <v>1</v>
      </c>
      <c r="M174" s="39">
        <v>37000</v>
      </c>
      <c r="N174" s="39">
        <f t="shared" si="5"/>
        <v>37000</v>
      </c>
      <c r="O174" s="38" t="s">
        <v>22</v>
      </c>
    </row>
    <row r="175" spans="1:15" ht="15" customHeight="1" x14ac:dyDescent="0.2">
      <c r="A175" s="46" t="s">
        <v>18</v>
      </c>
      <c r="B175" s="36" t="s">
        <v>2050</v>
      </c>
      <c r="C175" s="24">
        <f t="shared" si="4"/>
        <v>369</v>
      </c>
      <c r="D175" s="24">
        <v>1</v>
      </c>
      <c r="G175" s="37" t="s">
        <v>1569</v>
      </c>
      <c r="H175" s="42" t="s">
        <v>2607</v>
      </c>
      <c r="I175" s="46">
        <v>64276</v>
      </c>
      <c r="J175" s="46">
        <v>331</v>
      </c>
      <c r="K175" s="24" t="s">
        <v>21</v>
      </c>
      <c r="L175" s="24">
        <v>1</v>
      </c>
      <c r="M175" s="39">
        <v>30000</v>
      </c>
      <c r="N175" s="39">
        <f t="shared" si="5"/>
        <v>30000</v>
      </c>
      <c r="O175" s="38" t="s">
        <v>22</v>
      </c>
    </row>
    <row r="176" spans="1:15" ht="15" customHeight="1" x14ac:dyDescent="0.2">
      <c r="A176" s="46" t="s">
        <v>18</v>
      </c>
      <c r="B176" s="36" t="s">
        <v>2050</v>
      </c>
      <c r="C176" s="24">
        <f t="shared" si="4"/>
        <v>370</v>
      </c>
      <c r="D176" s="24">
        <v>1</v>
      </c>
      <c r="G176" s="37" t="s">
        <v>1569</v>
      </c>
      <c r="H176" s="42" t="s">
        <v>2608</v>
      </c>
      <c r="I176" s="46">
        <v>64276</v>
      </c>
      <c r="J176" s="46">
        <v>331</v>
      </c>
      <c r="K176" s="24" t="s">
        <v>21</v>
      </c>
      <c r="L176" s="24">
        <v>1</v>
      </c>
      <c r="M176" s="39">
        <v>109000</v>
      </c>
      <c r="N176" s="39">
        <f t="shared" si="5"/>
        <v>109000</v>
      </c>
      <c r="O176" s="38" t="s">
        <v>22</v>
      </c>
    </row>
    <row r="177" spans="1:15" ht="15" customHeight="1" x14ac:dyDescent="0.2">
      <c r="A177" s="46" t="s">
        <v>18</v>
      </c>
      <c r="B177" s="36" t="s">
        <v>2050</v>
      </c>
      <c r="C177" s="24">
        <f t="shared" si="4"/>
        <v>371</v>
      </c>
      <c r="D177" s="24">
        <v>1</v>
      </c>
      <c r="G177" s="37" t="s">
        <v>1569</v>
      </c>
      <c r="H177" s="42" t="s">
        <v>2609</v>
      </c>
      <c r="I177" s="46">
        <v>64276</v>
      </c>
      <c r="J177" s="46">
        <v>331</v>
      </c>
      <c r="K177" s="24" t="s">
        <v>21</v>
      </c>
      <c r="L177" s="24">
        <v>1</v>
      </c>
      <c r="M177" s="39">
        <v>43000</v>
      </c>
      <c r="N177" s="39">
        <f t="shared" si="5"/>
        <v>43000</v>
      </c>
      <c r="O177" s="38" t="s">
        <v>22</v>
      </c>
    </row>
    <row r="178" spans="1:15" ht="15" customHeight="1" x14ac:dyDescent="0.2">
      <c r="A178" s="46" t="s">
        <v>18</v>
      </c>
      <c r="B178" s="36" t="s">
        <v>2050</v>
      </c>
      <c r="C178" s="24">
        <f t="shared" si="4"/>
        <v>372</v>
      </c>
      <c r="D178" s="24">
        <v>1</v>
      </c>
      <c r="G178" s="37" t="s">
        <v>1569</v>
      </c>
      <c r="H178" s="42" t="s">
        <v>2610</v>
      </c>
      <c r="I178" s="46">
        <v>64276</v>
      </c>
      <c r="J178" s="46">
        <v>331</v>
      </c>
      <c r="K178" s="24" t="s">
        <v>21</v>
      </c>
      <c r="L178" s="24">
        <v>1</v>
      </c>
      <c r="M178" s="39">
        <v>93000</v>
      </c>
      <c r="N178" s="39">
        <f t="shared" si="5"/>
        <v>93000</v>
      </c>
      <c r="O178" s="38" t="s">
        <v>22</v>
      </c>
    </row>
    <row r="179" spans="1:15" ht="15" customHeight="1" x14ac:dyDescent="0.2">
      <c r="A179" s="46" t="s">
        <v>18</v>
      </c>
      <c r="B179" s="36" t="s">
        <v>2050</v>
      </c>
      <c r="C179" s="24">
        <f t="shared" si="4"/>
        <v>373</v>
      </c>
      <c r="D179" s="24">
        <v>1</v>
      </c>
      <c r="G179" s="37" t="s">
        <v>1569</v>
      </c>
      <c r="H179" s="42" t="s">
        <v>2611</v>
      </c>
      <c r="I179" s="46">
        <v>64276</v>
      </c>
      <c r="J179" s="46">
        <v>331</v>
      </c>
      <c r="K179" s="24" t="s">
        <v>21</v>
      </c>
      <c r="L179" s="24">
        <v>1</v>
      </c>
      <c r="M179" s="39">
        <v>21000</v>
      </c>
      <c r="N179" s="39">
        <f t="shared" si="5"/>
        <v>21000</v>
      </c>
      <c r="O179" s="38" t="s">
        <v>22</v>
      </c>
    </row>
    <row r="180" spans="1:15" ht="15" customHeight="1" x14ac:dyDescent="0.2">
      <c r="A180" s="46" t="s">
        <v>18</v>
      </c>
      <c r="B180" s="36" t="s">
        <v>2050</v>
      </c>
      <c r="C180" s="24">
        <f t="shared" si="4"/>
        <v>374</v>
      </c>
      <c r="D180" s="24">
        <v>1</v>
      </c>
      <c r="G180" s="37" t="s">
        <v>1569</v>
      </c>
      <c r="H180" s="42" t="s">
        <v>2612</v>
      </c>
      <c r="I180" s="46">
        <v>64276</v>
      </c>
      <c r="J180" s="46">
        <v>331</v>
      </c>
      <c r="K180" s="24" t="s">
        <v>21</v>
      </c>
      <c r="L180" s="24">
        <v>1</v>
      </c>
      <c r="M180" s="39">
        <v>14000</v>
      </c>
      <c r="N180" s="39">
        <f t="shared" si="5"/>
        <v>14000</v>
      </c>
      <c r="O180" s="38" t="s">
        <v>22</v>
      </c>
    </row>
    <row r="181" spans="1:15" ht="15" customHeight="1" x14ac:dyDescent="0.2">
      <c r="A181" s="46" t="s">
        <v>18</v>
      </c>
      <c r="B181" s="36" t="s">
        <v>2050</v>
      </c>
      <c r="C181" s="24">
        <f t="shared" si="4"/>
        <v>375</v>
      </c>
      <c r="D181" s="24">
        <v>1</v>
      </c>
      <c r="G181" s="37" t="s">
        <v>1569</v>
      </c>
      <c r="H181" s="42" t="s">
        <v>2613</v>
      </c>
      <c r="I181" s="46">
        <v>64276</v>
      </c>
      <c r="J181" s="46">
        <v>331</v>
      </c>
      <c r="K181" s="24" t="s">
        <v>21</v>
      </c>
      <c r="L181" s="24">
        <v>1</v>
      </c>
      <c r="M181" s="39">
        <v>85000</v>
      </c>
      <c r="N181" s="39">
        <f t="shared" si="5"/>
        <v>85000</v>
      </c>
      <c r="O181" s="38" t="s">
        <v>22</v>
      </c>
    </row>
    <row r="182" spans="1:15" ht="15" customHeight="1" x14ac:dyDescent="0.2">
      <c r="A182" s="46" t="s">
        <v>18</v>
      </c>
      <c r="B182" s="36" t="s">
        <v>2050</v>
      </c>
      <c r="C182" s="24">
        <f t="shared" si="4"/>
        <v>376</v>
      </c>
      <c r="D182" s="24">
        <v>1</v>
      </c>
      <c r="G182" s="37" t="s">
        <v>1569</v>
      </c>
      <c r="H182" s="42" t="s">
        <v>2614</v>
      </c>
      <c r="I182" s="46">
        <v>64276</v>
      </c>
      <c r="J182" s="46">
        <v>331</v>
      </c>
      <c r="K182" s="24" t="s">
        <v>21</v>
      </c>
      <c r="L182" s="24">
        <v>1</v>
      </c>
      <c r="M182" s="39">
        <v>30000</v>
      </c>
      <c r="N182" s="39">
        <f t="shared" si="5"/>
        <v>30000</v>
      </c>
      <c r="O182" s="38" t="s">
        <v>22</v>
      </c>
    </row>
    <row r="183" spans="1:15" ht="15" customHeight="1" x14ac:dyDescent="0.2">
      <c r="A183" s="46" t="s">
        <v>18</v>
      </c>
      <c r="B183" s="36" t="s">
        <v>2050</v>
      </c>
      <c r="C183" s="24">
        <f t="shared" si="4"/>
        <v>377</v>
      </c>
      <c r="D183" s="24">
        <v>1</v>
      </c>
      <c r="G183" s="37" t="s">
        <v>1569</v>
      </c>
      <c r="H183" s="42" t="s">
        <v>2615</v>
      </c>
      <c r="I183" s="46">
        <v>64276</v>
      </c>
      <c r="J183" s="46">
        <v>331</v>
      </c>
      <c r="K183" s="24" t="s">
        <v>21</v>
      </c>
      <c r="L183" s="24">
        <v>1</v>
      </c>
      <c r="M183" s="39">
        <v>69000</v>
      </c>
      <c r="N183" s="39">
        <f t="shared" si="5"/>
        <v>69000</v>
      </c>
      <c r="O183" s="38" t="s">
        <v>22</v>
      </c>
    </row>
    <row r="184" spans="1:15" ht="15" customHeight="1" x14ac:dyDescent="0.2">
      <c r="A184" s="46" t="s">
        <v>18</v>
      </c>
      <c r="B184" s="36" t="s">
        <v>2050</v>
      </c>
      <c r="C184" s="24">
        <f t="shared" si="4"/>
        <v>378</v>
      </c>
      <c r="D184" s="24">
        <v>1</v>
      </c>
      <c r="G184" s="37" t="s">
        <v>1569</v>
      </c>
      <c r="H184" s="42" t="s">
        <v>2616</v>
      </c>
      <c r="I184" s="46">
        <v>64276</v>
      </c>
      <c r="J184" s="46">
        <v>331</v>
      </c>
      <c r="K184" s="24" t="s">
        <v>21</v>
      </c>
      <c r="L184" s="24">
        <v>1</v>
      </c>
      <c r="M184" s="39">
        <v>52000</v>
      </c>
      <c r="N184" s="39">
        <f t="shared" si="5"/>
        <v>52000</v>
      </c>
      <c r="O184" s="38" t="s">
        <v>22</v>
      </c>
    </row>
    <row r="185" spans="1:15" ht="15" customHeight="1" x14ac:dyDescent="0.2">
      <c r="A185" s="46" t="s">
        <v>18</v>
      </c>
      <c r="B185" s="36" t="s">
        <v>2050</v>
      </c>
      <c r="C185" s="24">
        <f t="shared" si="4"/>
        <v>379</v>
      </c>
      <c r="D185" s="24">
        <v>1</v>
      </c>
      <c r="G185" s="37" t="s">
        <v>1569</v>
      </c>
      <c r="H185" s="42" t="s">
        <v>2617</v>
      </c>
      <c r="I185" s="46">
        <v>64276</v>
      </c>
      <c r="J185" s="46">
        <v>331</v>
      </c>
      <c r="K185" s="24" t="s">
        <v>21</v>
      </c>
      <c r="L185" s="24">
        <v>1</v>
      </c>
      <c r="M185" s="39">
        <v>34000</v>
      </c>
      <c r="N185" s="39">
        <f t="shared" si="5"/>
        <v>34000</v>
      </c>
      <c r="O185" s="38" t="s">
        <v>22</v>
      </c>
    </row>
    <row r="186" spans="1:15" ht="15" customHeight="1" x14ac:dyDescent="0.2">
      <c r="A186" s="46" t="s">
        <v>18</v>
      </c>
      <c r="B186" s="36" t="s">
        <v>2050</v>
      </c>
      <c r="C186" s="24">
        <f t="shared" si="4"/>
        <v>380</v>
      </c>
      <c r="D186" s="24">
        <v>1</v>
      </c>
      <c r="G186" s="37" t="s">
        <v>1569</v>
      </c>
      <c r="H186" s="42" t="s">
        <v>2618</v>
      </c>
      <c r="I186" s="46">
        <v>64276</v>
      </c>
      <c r="J186" s="46">
        <v>331</v>
      </c>
      <c r="K186" s="24" t="s">
        <v>21</v>
      </c>
      <c r="L186" s="24">
        <v>1</v>
      </c>
      <c r="M186" s="39">
        <v>31000</v>
      </c>
      <c r="N186" s="39">
        <f t="shared" si="5"/>
        <v>31000</v>
      </c>
      <c r="O186" s="38" t="s">
        <v>22</v>
      </c>
    </row>
    <row r="187" spans="1:15" ht="15" customHeight="1" x14ac:dyDescent="0.2">
      <c r="A187" s="46" t="s">
        <v>18</v>
      </c>
      <c r="B187" s="36" t="s">
        <v>2050</v>
      </c>
      <c r="C187" s="24">
        <f t="shared" si="4"/>
        <v>381</v>
      </c>
      <c r="D187" s="24">
        <v>1</v>
      </c>
      <c r="G187" s="37" t="s">
        <v>1569</v>
      </c>
      <c r="H187" s="42" t="s">
        <v>2619</v>
      </c>
      <c r="I187" s="46">
        <v>64276</v>
      </c>
      <c r="J187" s="46">
        <v>331</v>
      </c>
      <c r="K187" s="24" t="s">
        <v>21</v>
      </c>
      <c r="L187" s="24">
        <v>1</v>
      </c>
      <c r="M187" s="39">
        <v>33000</v>
      </c>
      <c r="N187" s="39">
        <f t="shared" si="5"/>
        <v>33000</v>
      </c>
      <c r="O187" s="38" t="s">
        <v>22</v>
      </c>
    </row>
    <row r="188" spans="1:15" ht="15" customHeight="1" x14ac:dyDescent="0.2">
      <c r="A188" s="46" t="s">
        <v>18</v>
      </c>
      <c r="B188" s="36" t="s">
        <v>2050</v>
      </c>
      <c r="C188" s="24">
        <f t="shared" si="4"/>
        <v>382</v>
      </c>
      <c r="D188" s="24">
        <v>1</v>
      </c>
      <c r="G188" s="37" t="s">
        <v>1569</v>
      </c>
      <c r="H188" s="42" t="s">
        <v>2620</v>
      </c>
      <c r="I188" s="46">
        <v>64276</v>
      </c>
      <c r="J188" s="46">
        <v>331</v>
      </c>
      <c r="K188" s="24" t="s">
        <v>21</v>
      </c>
      <c r="L188" s="24">
        <v>1</v>
      </c>
      <c r="M188" s="39">
        <v>36000</v>
      </c>
      <c r="N188" s="39">
        <f t="shared" si="5"/>
        <v>36000</v>
      </c>
      <c r="O188" s="38" t="s">
        <v>22</v>
      </c>
    </row>
    <row r="189" spans="1:15" ht="15" customHeight="1" x14ac:dyDescent="0.2">
      <c r="A189" s="46" t="s">
        <v>18</v>
      </c>
      <c r="B189" s="36" t="s">
        <v>2488</v>
      </c>
      <c r="C189" s="24">
        <f t="shared" si="4"/>
        <v>383</v>
      </c>
      <c r="D189" s="24">
        <v>1</v>
      </c>
      <c r="G189" s="37" t="s">
        <v>1569</v>
      </c>
      <c r="H189" s="42" t="s">
        <v>2621</v>
      </c>
      <c r="I189" s="46">
        <v>64276</v>
      </c>
      <c r="J189" s="46">
        <v>331</v>
      </c>
      <c r="K189" s="24" t="s">
        <v>21</v>
      </c>
      <c r="L189" s="24">
        <v>1</v>
      </c>
      <c r="M189" s="39">
        <v>44000</v>
      </c>
      <c r="N189" s="39">
        <f t="shared" si="5"/>
        <v>44000</v>
      </c>
      <c r="O189" s="38" t="s">
        <v>22</v>
      </c>
    </row>
    <row r="190" spans="1:15" ht="15" customHeight="1" x14ac:dyDescent="0.2">
      <c r="A190" s="46" t="s">
        <v>18</v>
      </c>
      <c r="B190" s="36" t="s">
        <v>2488</v>
      </c>
      <c r="C190" s="24">
        <f t="shared" si="4"/>
        <v>384</v>
      </c>
      <c r="D190" s="24">
        <v>1</v>
      </c>
      <c r="G190" s="37" t="s">
        <v>1569</v>
      </c>
      <c r="H190" s="42" t="s">
        <v>2622</v>
      </c>
      <c r="I190" s="46">
        <v>64276</v>
      </c>
      <c r="J190" s="46">
        <v>331</v>
      </c>
      <c r="K190" s="24" t="s">
        <v>21</v>
      </c>
      <c r="L190" s="24">
        <v>1</v>
      </c>
      <c r="M190" s="39">
        <v>47000</v>
      </c>
      <c r="N190" s="39">
        <f t="shared" si="5"/>
        <v>47000</v>
      </c>
      <c r="O190" s="38" t="s">
        <v>22</v>
      </c>
    </row>
    <row r="191" spans="1:15" ht="15" customHeight="1" x14ac:dyDescent="0.2">
      <c r="A191" s="46" t="s">
        <v>18</v>
      </c>
      <c r="B191" s="36" t="s">
        <v>2078</v>
      </c>
      <c r="C191" s="24">
        <f t="shared" si="4"/>
        <v>385</v>
      </c>
      <c r="D191" s="24">
        <v>1</v>
      </c>
      <c r="G191" s="37" t="s">
        <v>1569</v>
      </c>
      <c r="H191" s="42" t="s">
        <v>2623</v>
      </c>
      <c r="I191" s="46">
        <v>64276</v>
      </c>
      <c r="J191" s="46">
        <v>331</v>
      </c>
      <c r="K191" s="24" t="s">
        <v>21</v>
      </c>
      <c r="L191" s="24">
        <v>1</v>
      </c>
      <c r="M191" s="39">
        <v>51000</v>
      </c>
      <c r="N191" s="39">
        <f t="shared" si="5"/>
        <v>51000</v>
      </c>
      <c r="O191" s="38" t="s">
        <v>22</v>
      </c>
    </row>
    <row r="192" spans="1:15" ht="15" customHeight="1" x14ac:dyDescent="0.2">
      <c r="A192" s="46" t="s">
        <v>18</v>
      </c>
      <c r="B192" s="36" t="s">
        <v>1425</v>
      </c>
      <c r="C192" s="24">
        <f t="shared" si="4"/>
        <v>386</v>
      </c>
      <c r="D192" s="24">
        <v>1</v>
      </c>
      <c r="G192" s="37" t="s">
        <v>1569</v>
      </c>
      <c r="H192" s="42" t="s">
        <v>2624</v>
      </c>
      <c r="I192" s="46">
        <v>64276</v>
      </c>
      <c r="J192" s="46">
        <v>331</v>
      </c>
      <c r="K192" s="24" t="s">
        <v>21</v>
      </c>
      <c r="L192" s="24">
        <v>1</v>
      </c>
      <c r="M192" s="39">
        <v>36000</v>
      </c>
      <c r="N192" s="39">
        <f t="shared" si="5"/>
        <v>36000</v>
      </c>
      <c r="O192" s="38" t="s">
        <v>22</v>
      </c>
    </row>
    <row r="193" spans="1:15" ht="15" customHeight="1" x14ac:dyDescent="0.2">
      <c r="A193" s="46" t="s">
        <v>18</v>
      </c>
      <c r="B193" s="36" t="s">
        <v>1425</v>
      </c>
      <c r="C193" s="24">
        <f t="shared" si="4"/>
        <v>387</v>
      </c>
      <c r="D193" s="24">
        <v>1</v>
      </c>
      <c r="G193" s="37" t="s">
        <v>1569</v>
      </c>
      <c r="H193" s="42" t="s">
        <v>2625</v>
      </c>
      <c r="I193" s="46">
        <v>64276</v>
      </c>
      <c r="J193" s="46">
        <v>331</v>
      </c>
      <c r="K193" s="24" t="s">
        <v>21</v>
      </c>
      <c r="L193" s="24">
        <v>1</v>
      </c>
      <c r="M193" s="39">
        <v>31000</v>
      </c>
      <c r="N193" s="39">
        <f t="shared" si="5"/>
        <v>31000</v>
      </c>
      <c r="O193" s="38" t="s">
        <v>22</v>
      </c>
    </row>
    <row r="194" spans="1:15" ht="15" customHeight="1" x14ac:dyDescent="0.2">
      <c r="A194" s="46" t="s">
        <v>18</v>
      </c>
      <c r="B194" s="36" t="s">
        <v>1425</v>
      </c>
      <c r="C194" s="24">
        <f t="shared" si="4"/>
        <v>388</v>
      </c>
      <c r="D194" s="24">
        <v>1</v>
      </c>
      <c r="G194" s="37" t="s">
        <v>1569</v>
      </c>
      <c r="H194" s="42" t="s">
        <v>2626</v>
      </c>
      <c r="I194" s="46">
        <v>64276</v>
      </c>
      <c r="J194" s="46">
        <v>331</v>
      </c>
      <c r="K194" s="24" t="s">
        <v>21</v>
      </c>
      <c r="L194" s="24">
        <v>1</v>
      </c>
      <c r="M194" s="39">
        <v>126000</v>
      </c>
      <c r="N194" s="39">
        <f t="shared" si="5"/>
        <v>126000</v>
      </c>
      <c r="O194" s="38" t="s">
        <v>22</v>
      </c>
    </row>
    <row r="195" spans="1:15" ht="15" customHeight="1" x14ac:dyDescent="0.2">
      <c r="A195" s="46" t="s">
        <v>18</v>
      </c>
      <c r="B195" s="36" t="s">
        <v>2484</v>
      </c>
      <c r="C195" s="24">
        <f t="shared" si="4"/>
        <v>389</v>
      </c>
      <c r="D195" s="24">
        <v>1</v>
      </c>
      <c r="G195" s="37" t="s">
        <v>1569</v>
      </c>
      <c r="H195" s="42" t="s">
        <v>2627</v>
      </c>
      <c r="I195" s="46">
        <v>64276</v>
      </c>
      <c r="J195" s="46">
        <v>331</v>
      </c>
      <c r="K195" s="24" t="s">
        <v>21</v>
      </c>
      <c r="L195" s="24">
        <v>1</v>
      </c>
      <c r="M195" s="39">
        <v>107000</v>
      </c>
      <c r="N195" s="39">
        <f t="shared" si="5"/>
        <v>107000</v>
      </c>
      <c r="O195" s="38" t="s">
        <v>22</v>
      </c>
    </row>
    <row r="196" spans="1:15" ht="15" customHeight="1" x14ac:dyDescent="0.2">
      <c r="A196" s="46" t="s">
        <v>18</v>
      </c>
      <c r="B196" s="36" t="s">
        <v>2048</v>
      </c>
      <c r="C196" s="24">
        <f t="shared" si="4"/>
        <v>390</v>
      </c>
      <c r="D196" s="24">
        <v>1</v>
      </c>
      <c r="G196" s="37" t="s">
        <v>2452</v>
      </c>
      <c r="H196" s="24" t="s">
        <v>2465</v>
      </c>
      <c r="I196" s="46">
        <v>64277</v>
      </c>
      <c r="J196" s="46">
        <v>331</v>
      </c>
      <c r="K196" s="24" t="s">
        <v>21</v>
      </c>
      <c r="L196" s="24">
        <v>1</v>
      </c>
      <c r="M196" s="39">
        <v>4752000</v>
      </c>
      <c r="N196" s="39">
        <f t="shared" si="5"/>
        <v>4752000</v>
      </c>
      <c r="O196" s="38" t="s">
        <v>22</v>
      </c>
    </row>
    <row r="197" spans="1:15" ht="15" customHeight="1" x14ac:dyDescent="0.2">
      <c r="A197" s="46" t="s">
        <v>18</v>
      </c>
      <c r="B197" s="36" t="s">
        <v>2125</v>
      </c>
      <c r="C197" s="24">
        <f t="shared" ref="C197:C260" si="6">C196+D197</f>
        <v>391</v>
      </c>
      <c r="D197" s="24">
        <v>1</v>
      </c>
      <c r="G197" s="37" t="s">
        <v>2453</v>
      </c>
      <c r="H197" s="24" t="s">
        <v>2466</v>
      </c>
      <c r="I197" s="46">
        <v>64277</v>
      </c>
      <c r="J197" s="46">
        <v>331</v>
      </c>
      <c r="K197" s="24" t="s">
        <v>21</v>
      </c>
      <c r="L197" s="24">
        <v>1</v>
      </c>
      <c r="M197" s="39">
        <v>6890400</v>
      </c>
      <c r="N197" s="39">
        <f t="shared" si="5"/>
        <v>6890400</v>
      </c>
      <c r="O197" s="38" t="s">
        <v>22</v>
      </c>
    </row>
    <row r="198" spans="1:15" ht="15" customHeight="1" x14ac:dyDescent="0.2">
      <c r="A198" s="46" t="s">
        <v>18</v>
      </c>
      <c r="B198" s="36" t="s">
        <v>2444</v>
      </c>
      <c r="C198" s="24">
        <f t="shared" si="6"/>
        <v>392</v>
      </c>
      <c r="D198" s="24">
        <v>1</v>
      </c>
      <c r="G198" s="37" t="s">
        <v>2454</v>
      </c>
      <c r="H198" s="24" t="s">
        <v>2467</v>
      </c>
      <c r="I198" s="46">
        <v>64277</v>
      </c>
      <c r="J198" s="46">
        <v>331</v>
      </c>
      <c r="K198" s="24" t="s">
        <v>21</v>
      </c>
      <c r="L198" s="24">
        <v>1</v>
      </c>
      <c r="M198" s="39">
        <v>924480</v>
      </c>
      <c r="N198" s="39">
        <f t="shared" si="5"/>
        <v>924480</v>
      </c>
      <c r="O198" s="38" t="s">
        <v>22</v>
      </c>
    </row>
    <row r="199" spans="1:15" ht="15" customHeight="1" x14ac:dyDescent="0.2">
      <c r="A199" s="46" t="s">
        <v>18</v>
      </c>
      <c r="B199" s="36" t="s">
        <v>2444</v>
      </c>
      <c r="C199" s="24">
        <f t="shared" si="6"/>
        <v>393</v>
      </c>
      <c r="D199" s="24">
        <v>1</v>
      </c>
      <c r="G199" s="37" t="s">
        <v>2455</v>
      </c>
      <c r="H199" s="24" t="s">
        <v>2468</v>
      </c>
      <c r="I199" s="46">
        <v>64277</v>
      </c>
      <c r="J199" s="46">
        <v>331</v>
      </c>
      <c r="K199" s="24" t="s">
        <v>21</v>
      </c>
      <c r="L199" s="24">
        <v>1</v>
      </c>
      <c r="M199" s="39">
        <v>340200</v>
      </c>
      <c r="N199" s="39">
        <f t="shared" si="5"/>
        <v>340200</v>
      </c>
      <c r="O199" s="38" t="s">
        <v>22</v>
      </c>
    </row>
    <row r="200" spans="1:15" ht="15" customHeight="1" x14ac:dyDescent="0.2">
      <c r="A200" s="46" t="s">
        <v>18</v>
      </c>
      <c r="B200" s="36" t="s">
        <v>2078</v>
      </c>
      <c r="C200" s="24">
        <f t="shared" si="6"/>
        <v>394</v>
      </c>
      <c r="D200" s="24">
        <v>1</v>
      </c>
      <c r="G200" s="37" t="s">
        <v>2456</v>
      </c>
      <c r="H200" s="24" t="s">
        <v>2475</v>
      </c>
      <c r="I200" s="46">
        <v>64276</v>
      </c>
      <c r="J200" s="46">
        <v>331</v>
      </c>
      <c r="K200" s="24" t="s">
        <v>21</v>
      </c>
      <c r="L200" s="24">
        <v>1</v>
      </c>
      <c r="M200" s="39">
        <v>400000</v>
      </c>
      <c r="N200" s="39">
        <f t="shared" ref="N200:N262" si="7">L200*M200</f>
        <v>400000</v>
      </c>
      <c r="O200" s="38" t="s">
        <v>22</v>
      </c>
    </row>
    <row r="201" spans="1:15" ht="15" customHeight="1" x14ac:dyDescent="0.2">
      <c r="A201" s="46" t="s">
        <v>18</v>
      </c>
      <c r="B201" s="36" t="s">
        <v>2445</v>
      </c>
      <c r="C201" s="24">
        <f t="shared" si="6"/>
        <v>395</v>
      </c>
      <c r="D201" s="24">
        <v>1</v>
      </c>
      <c r="G201" s="37" t="s">
        <v>1600</v>
      </c>
      <c r="H201" s="24" t="s">
        <v>2476</v>
      </c>
      <c r="I201" s="46">
        <v>64276</v>
      </c>
      <c r="J201" s="46">
        <v>331</v>
      </c>
      <c r="K201" s="24" t="s">
        <v>21</v>
      </c>
      <c r="L201" s="24">
        <v>1</v>
      </c>
      <c r="M201" s="39">
        <v>5240000</v>
      </c>
      <c r="N201" s="39">
        <f t="shared" si="7"/>
        <v>5240000</v>
      </c>
      <c r="O201" s="38" t="s">
        <v>22</v>
      </c>
    </row>
    <row r="202" spans="1:15" ht="15" customHeight="1" x14ac:dyDescent="0.2">
      <c r="A202" s="24" t="s">
        <v>368</v>
      </c>
      <c r="B202" s="93" t="s">
        <v>2045</v>
      </c>
      <c r="C202" s="24">
        <f t="shared" si="6"/>
        <v>396</v>
      </c>
      <c r="D202" s="24">
        <v>1</v>
      </c>
      <c r="G202" s="79" t="s">
        <v>158</v>
      </c>
      <c r="H202" s="42" t="s">
        <v>2636</v>
      </c>
      <c r="I202" s="46">
        <v>331</v>
      </c>
      <c r="J202" s="46">
        <v>1111</v>
      </c>
      <c r="K202" s="24" t="s">
        <v>21</v>
      </c>
      <c r="L202" s="24">
        <v>1</v>
      </c>
      <c r="M202" s="90">
        <v>3240000</v>
      </c>
      <c r="N202" s="39">
        <f t="shared" si="7"/>
        <v>3240000</v>
      </c>
      <c r="O202" s="38" t="s">
        <v>22</v>
      </c>
    </row>
    <row r="203" spans="1:15" ht="15" customHeight="1" x14ac:dyDescent="0.2">
      <c r="A203" s="24" t="s">
        <v>368</v>
      </c>
      <c r="B203" s="93" t="s">
        <v>2045</v>
      </c>
      <c r="C203" s="24">
        <f t="shared" si="6"/>
        <v>397</v>
      </c>
      <c r="D203" s="24">
        <v>1</v>
      </c>
      <c r="G203" s="79" t="s">
        <v>1590</v>
      </c>
      <c r="H203" s="42" t="s">
        <v>2637</v>
      </c>
      <c r="I203" s="46">
        <v>331</v>
      </c>
      <c r="J203" s="46">
        <v>1111</v>
      </c>
      <c r="K203" s="24" t="s">
        <v>21</v>
      </c>
      <c r="L203" s="24">
        <v>1</v>
      </c>
      <c r="M203" s="90">
        <v>8400000</v>
      </c>
      <c r="N203" s="39">
        <f t="shared" si="7"/>
        <v>8400000</v>
      </c>
      <c r="O203" s="38" t="s">
        <v>22</v>
      </c>
    </row>
    <row r="204" spans="1:15" ht="15" customHeight="1" x14ac:dyDescent="0.2">
      <c r="A204" s="24" t="s">
        <v>368</v>
      </c>
      <c r="B204" s="93" t="s">
        <v>2477</v>
      </c>
      <c r="C204" s="24">
        <f t="shared" si="6"/>
        <v>398</v>
      </c>
      <c r="D204" s="24">
        <v>1</v>
      </c>
      <c r="G204" s="79" t="s">
        <v>1569</v>
      </c>
      <c r="H204" s="42" t="s">
        <v>2638</v>
      </c>
      <c r="I204" s="46">
        <v>331</v>
      </c>
      <c r="J204" s="46">
        <v>1111</v>
      </c>
      <c r="K204" s="24" t="s">
        <v>21</v>
      </c>
      <c r="L204" s="24">
        <v>1</v>
      </c>
      <c r="M204" s="90">
        <v>65000</v>
      </c>
      <c r="N204" s="39">
        <f t="shared" si="7"/>
        <v>65000</v>
      </c>
      <c r="O204" s="38" t="s">
        <v>22</v>
      </c>
    </row>
    <row r="205" spans="1:15" ht="15" customHeight="1" x14ac:dyDescent="0.2">
      <c r="A205" s="24" t="s">
        <v>368</v>
      </c>
      <c r="B205" s="36" t="s">
        <v>2477</v>
      </c>
      <c r="C205" s="24">
        <f t="shared" si="6"/>
        <v>399</v>
      </c>
      <c r="D205" s="24">
        <v>1</v>
      </c>
      <c r="G205" s="37" t="s">
        <v>1569</v>
      </c>
      <c r="H205" s="42" t="s">
        <v>2639</v>
      </c>
      <c r="I205" s="46">
        <v>331</v>
      </c>
      <c r="J205" s="46">
        <v>1111</v>
      </c>
      <c r="K205" s="24" t="s">
        <v>21</v>
      </c>
      <c r="L205" s="24">
        <v>1</v>
      </c>
      <c r="M205" s="39">
        <v>20000</v>
      </c>
      <c r="N205" s="39">
        <f t="shared" si="7"/>
        <v>20000</v>
      </c>
      <c r="O205" s="38" t="s">
        <v>22</v>
      </c>
    </row>
    <row r="206" spans="1:15" ht="15" customHeight="1" x14ac:dyDescent="0.2">
      <c r="A206" s="24" t="s">
        <v>368</v>
      </c>
      <c r="B206" s="36" t="s">
        <v>2477</v>
      </c>
      <c r="C206" s="24">
        <f t="shared" si="6"/>
        <v>400</v>
      </c>
      <c r="D206" s="24">
        <v>1</v>
      </c>
      <c r="G206" s="37" t="s">
        <v>1569</v>
      </c>
      <c r="H206" s="42" t="s">
        <v>2640</v>
      </c>
      <c r="I206" s="46">
        <v>331</v>
      </c>
      <c r="J206" s="46">
        <v>1111</v>
      </c>
      <c r="K206" s="24" t="s">
        <v>21</v>
      </c>
      <c r="L206" s="24">
        <v>1</v>
      </c>
      <c r="M206" s="39">
        <v>21000</v>
      </c>
      <c r="N206" s="39">
        <f t="shared" si="7"/>
        <v>21000</v>
      </c>
      <c r="O206" s="38" t="s">
        <v>22</v>
      </c>
    </row>
    <row r="207" spans="1:15" ht="15" customHeight="1" x14ac:dyDescent="0.2">
      <c r="A207" s="24" t="s">
        <v>368</v>
      </c>
      <c r="B207" s="36" t="s">
        <v>2477</v>
      </c>
      <c r="C207" s="24">
        <f t="shared" si="6"/>
        <v>401</v>
      </c>
      <c r="D207" s="24">
        <v>1</v>
      </c>
      <c r="G207" s="37" t="s">
        <v>1569</v>
      </c>
      <c r="H207" s="42" t="s">
        <v>2641</v>
      </c>
      <c r="I207" s="46">
        <v>331</v>
      </c>
      <c r="J207" s="46">
        <v>1111</v>
      </c>
      <c r="K207" s="24" t="s">
        <v>21</v>
      </c>
      <c r="L207" s="24">
        <v>1</v>
      </c>
      <c r="M207" s="39">
        <v>31000</v>
      </c>
      <c r="N207" s="39">
        <f t="shared" si="7"/>
        <v>31000</v>
      </c>
      <c r="O207" s="38" t="s">
        <v>22</v>
      </c>
    </row>
    <row r="208" spans="1:15" ht="15" customHeight="1" x14ac:dyDescent="0.2">
      <c r="A208" s="24" t="s">
        <v>368</v>
      </c>
      <c r="B208" s="36" t="s">
        <v>2477</v>
      </c>
      <c r="C208" s="24">
        <f t="shared" si="6"/>
        <v>402</v>
      </c>
      <c r="D208" s="24">
        <v>1</v>
      </c>
      <c r="G208" s="37" t="s">
        <v>1569</v>
      </c>
      <c r="H208" s="42" t="s">
        <v>2642</v>
      </c>
      <c r="I208" s="46">
        <v>331</v>
      </c>
      <c r="J208" s="46">
        <v>1111</v>
      </c>
      <c r="K208" s="24" t="s">
        <v>21</v>
      </c>
      <c r="L208" s="24">
        <v>1</v>
      </c>
      <c r="M208" s="39">
        <v>39000</v>
      </c>
      <c r="N208" s="39">
        <f t="shared" si="7"/>
        <v>39000</v>
      </c>
      <c r="O208" s="38" t="s">
        <v>22</v>
      </c>
    </row>
    <row r="209" spans="1:15" ht="15" customHeight="1" x14ac:dyDescent="0.2">
      <c r="A209" s="24" t="s">
        <v>368</v>
      </c>
      <c r="B209" s="36" t="s">
        <v>2354</v>
      </c>
      <c r="C209" s="24">
        <f t="shared" si="6"/>
        <v>403</v>
      </c>
      <c r="D209" s="24">
        <v>1</v>
      </c>
      <c r="G209" s="37" t="s">
        <v>1569</v>
      </c>
      <c r="H209" s="42" t="s">
        <v>2643</v>
      </c>
      <c r="I209" s="46">
        <v>331</v>
      </c>
      <c r="J209" s="46">
        <v>1111</v>
      </c>
      <c r="K209" s="24" t="s">
        <v>21</v>
      </c>
      <c r="L209" s="24">
        <v>1</v>
      </c>
      <c r="M209" s="39">
        <v>38000</v>
      </c>
      <c r="N209" s="39">
        <f t="shared" si="7"/>
        <v>38000</v>
      </c>
      <c r="O209" s="38" t="s">
        <v>22</v>
      </c>
    </row>
    <row r="210" spans="1:15" ht="15" customHeight="1" x14ac:dyDescent="0.2">
      <c r="A210" s="24" t="s">
        <v>368</v>
      </c>
      <c r="B210" s="36" t="s">
        <v>2441</v>
      </c>
      <c r="C210" s="24">
        <f t="shared" si="6"/>
        <v>404</v>
      </c>
      <c r="D210" s="24">
        <v>1</v>
      </c>
      <c r="G210" s="37" t="s">
        <v>1569</v>
      </c>
      <c r="H210" s="42" t="s">
        <v>2644</v>
      </c>
      <c r="I210" s="46">
        <v>331</v>
      </c>
      <c r="J210" s="46">
        <v>1111</v>
      </c>
      <c r="K210" s="24" t="s">
        <v>21</v>
      </c>
      <c r="L210" s="24">
        <v>1</v>
      </c>
      <c r="M210" s="39">
        <v>75000</v>
      </c>
      <c r="N210" s="39">
        <f t="shared" si="7"/>
        <v>75000</v>
      </c>
      <c r="O210" s="38" t="s">
        <v>22</v>
      </c>
    </row>
    <row r="211" spans="1:15" ht="15" customHeight="1" x14ac:dyDescent="0.2">
      <c r="A211" s="24" t="s">
        <v>368</v>
      </c>
      <c r="B211" s="36" t="s">
        <v>2441</v>
      </c>
      <c r="C211" s="24">
        <f t="shared" si="6"/>
        <v>405</v>
      </c>
      <c r="D211" s="24">
        <v>1</v>
      </c>
      <c r="G211" s="37" t="s">
        <v>1569</v>
      </c>
      <c r="H211" s="42" t="s">
        <v>2645</v>
      </c>
      <c r="I211" s="46">
        <v>331</v>
      </c>
      <c r="J211" s="46">
        <v>1111</v>
      </c>
      <c r="K211" s="24" t="s">
        <v>21</v>
      </c>
      <c r="L211" s="24">
        <v>1</v>
      </c>
      <c r="M211" s="39">
        <v>76000</v>
      </c>
      <c r="N211" s="39">
        <f t="shared" si="7"/>
        <v>76000</v>
      </c>
      <c r="O211" s="38" t="s">
        <v>22</v>
      </c>
    </row>
    <row r="212" spans="1:15" ht="15" customHeight="1" x14ac:dyDescent="0.2">
      <c r="A212" s="24" t="s">
        <v>368</v>
      </c>
      <c r="B212" s="36" t="s">
        <v>2442</v>
      </c>
      <c r="C212" s="24">
        <f t="shared" si="6"/>
        <v>406</v>
      </c>
      <c r="D212" s="24">
        <v>1</v>
      </c>
      <c r="G212" s="37" t="s">
        <v>1569</v>
      </c>
      <c r="H212" s="42" t="s">
        <v>2646</v>
      </c>
      <c r="I212" s="46">
        <v>331</v>
      </c>
      <c r="J212" s="46">
        <v>1111</v>
      </c>
      <c r="K212" s="24" t="s">
        <v>21</v>
      </c>
      <c r="L212" s="24">
        <v>1</v>
      </c>
      <c r="M212" s="39">
        <v>48000</v>
      </c>
      <c r="N212" s="39">
        <f t="shared" si="7"/>
        <v>48000</v>
      </c>
      <c r="O212" s="38" t="s">
        <v>22</v>
      </c>
    </row>
    <row r="213" spans="1:15" ht="15" customHeight="1" x14ac:dyDescent="0.2">
      <c r="A213" s="24" t="s">
        <v>368</v>
      </c>
      <c r="B213" s="36" t="s">
        <v>2442</v>
      </c>
      <c r="C213" s="24">
        <f t="shared" si="6"/>
        <v>407</v>
      </c>
      <c r="D213" s="24">
        <v>1</v>
      </c>
      <c r="G213" s="37" t="s">
        <v>1569</v>
      </c>
      <c r="H213" s="42" t="s">
        <v>2647</v>
      </c>
      <c r="I213" s="46">
        <v>331</v>
      </c>
      <c r="J213" s="46">
        <v>1111</v>
      </c>
      <c r="K213" s="24" t="s">
        <v>21</v>
      </c>
      <c r="L213" s="24">
        <v>1</v>
      </c>
      <c r="M213" s="39">
        <v>67000</v>
      </c>
      <c r="N213" s="39">
        <f t="shared" si="7"/>
        <v>67000</v>
      </c>
      <c r="O213" s="38" t="s">
        <v>22</v>
      </c>
    </row>
    <row r="214" spans="1:15" ht="15" customHeight="1" x14ac:dyDescent="0.2">
      <c r="A214" s="24" t="s">
        <v>368</v>
      </c>
      <c r="B214" s="36" t="s">
        <v>2442</v>
      </c>
      <c r="C214" s="24">
        <f t="shared" si="6"/>
        <v>408</v>
      </c>
      <c r="D214" s="24">
        <v>1</v>
      </c>
      <c r="G214" s="37" t="s">
        <v>1569</v>
      </c>
      <c r="H214" s="42" t="s">
        <v>2648</v>
      </c>
      <c r="I214" s="46">
        <v>331</v>
      </c>
      <c r="J214" s="46">
        <v>1111</v>
      </c>
      <c r="K214" s="24" t="s">
        <v>21</v>
      </c>
      <c r="L214" s="24">
        <v>1</v>
      </c>
      <c r="M214" s="39">
        <v>39000</v>
      </c>
      <c r="N214" s="39">
        <f t="shared" si="7"/>
        <v>39000</v>
      </c>
      <c r="O214" s="38" t="s">
        <v>22</v>
      </c>
    </row>
    <row r="215" spans="1:15" ht="15" customHeight="1" x14ac:dyDescent="0.2">
      <c r="A215" s="24" t="s">
        <v>368</v>
      </c>
      <c r="B215" s="36" t="s">
        <v>2487</v>
      </c>
      <c r="C215" s="24">
        <f t="shared" si="6"/>
        <v>409</v>
      </c>
      <c r="D215" s="24">
        <v>1</v>
      </c>
      <c r="G215" s="37" t="s">
        <v>1569</v>
      </c>
      <c r="H215" s="42" t="s">
        <v>2649</v>
      </c>
      <c r="I215" s="46">
        <v>331</v>
      </c>
      <c r="J215" s="46">
        <v>1111</v>
      </c>
      <c r="K215" s="24" t="s">
        <v>21</v>
      </c>
      <c r="L215" s="24">
        <v>1</v>
      </c>
      <c r="M215" s="39">
        <v>54000</v>
      </c>
      <c r="N215" s="39">
        <f t="shared" si="7"/>
        <v>54000</v>
      </c>
      <c r="O215" s="38" t="s">
        <v>22</v>
      </c>
    </row>
    <row r="216" spans="1:15" ht="15" customHeight="1" x14ac:dyDescent="0.2">
      <c r="A216" s="24" t="s">
        <v>368</v>
      </c>
      <c r="B216" s="36" t="s">
        <v>2487</v>
      </c>
      <c r="C216" s="24">
        <f t="shared" si="6"/>
        <v>410</v>
      </c>
      <c r="D216" s="24">
        <v>1</v>
      </c>
      <c r="G216" s="37" t="s">
        <v>1569</v>
      </c>
      <c r="H216" s="42" t="s">
        <v>2650</v>
      </c>
      <c r="I216" s="46">
        <v>331</v>
      </c>
      <c r="J216" s="46">
        <v>1111</v>
      </c>
      <c r="K216" s="24" t="s">
        <v>21</v>
      </c>
      <c r="L216" s="24">
        <v>1</v>
      </c>
      <c r="M216" s="39">
        <v>54000</v>
      </c>
      <c r="N216" s="39">
        <f t="shared" si="7"/>
        <v>54000</v>
      </c>
      <c r="O216" s="38" t="s">
        <v>22</v>
      </c>
    </row>
    <row r="217" spans="1:15" ht="15" customHeight="1" x14ac:dyDescent="0.2">
      <c r="A217" s="24" t="s">
        <v>368</v>
      </c>
      <c r="B217" s="36" t="s">
        <v>2478</v>
      </c>
      <c r="C217" s="24">
        <f t="shared" si="6"/>
        <v>411</v>
      </c>
      <c r="D217" s="24">
        <v>1</v>
      </c>
      <c r="G217" s="37" t="s">
        <v>1569</v>
      </c>
      <c r="H217" s="42" t="s">
        <v>2651</v>
      </c>
      <c r="I217" s="46">
        <v>331</v>
      </c>
      <c r="J217" s="46">
        <v>1111</v>
      </c>
      <c r="K217" s="24" t="s">
        <v>21</v>
      </c>
      <c r="L217" s="24">
        <v>1</v>
      </c>
      <c r="M217" s="39">
        <v>29000</v>
      </c>
      <c r="N217" s="39">
        <f t="shared" si="7"/>
        <v>29000</v>
      </c>
      <c r="O217" s="38" t="s">
        <v>22</v>
      </c>
    </row>
    <row r="218" spans="1:15" ht="15" customHeight="1" x14ac:dyDescent="0.2">
      <c r="A218" s="24" t="s">
        <v>368</v>
      </c>
      <c r="B218" s="36" t="s">
        <v>2478</v>
      </c>
      <c r="C218" s="24">
        <f t="shared" si="6"/>
        <v>412</v>
      </c>
      <c r="D218" s="24">
        <v>1</v>
      </c>
      <c r="G218" s="37" t="s">
        <v>1569</v>
      </c>
      <c r="H218" s="42" t="s">
        <v>2652</v>
      </c>
      <c r="I218" s="46">
        <v>331</v>
      </c>
      <c r="J218" s="46">
        <v>1111</v>
      </c>
      <c r="K218" s="24" t="s">
        <v>21</v>
      </c>
      <c r="L218" s="24">
        <v>1</v>
      </c>
      <c r="M218" s="39">
        <v>32000</v>
      </c>
      <c r="N218" s="39">
        <f t="shared" si="7"/>
        <v>32000</v>
      </c>
      <c r="O218" s="38" t="s">
        <v>22</v>
      </c>
    </row>
    <row r="219" spans="1:15" ht="15" customHeight="1" x14ac:dyDescent="0.2">
      <c r="A219" s="24" t="s">
        <v>368</v>
      </c>
      <c r="B219" s="36" t="s">
        <v>2479</v>
      </c>
      <c r="C219" s="24">
        <f t="shared" si="6"/>
        <v>413</v>
      </c>
      <c r="D219" s="24">
        <v>1</v>
      </c>
      <c r="G219" s="37" t="s">
        <v>1569</v>
      </c>
      <c r="H219" s="42" t="s">
        <v>2653</v>
      </c>
      <c r="I219" s="46">
        <v>331</v>
      </c>
      <c r="J219" s="46">
        <v>1111</v>
      </c>
      <c r="K219" s="24" t="s">
        <v>21</v>
      </c>
      <c r="L219" s="24">
        <v>1</v>
      </c>
      <c r="M219" s="39">
        <v>19000</v>
      </c>
      <c r="N219" s="39">
        <f t="shared" si="7"/>
        <v>19000</v>
      </c>
      <c r="O219" s="38" t="s">
        <v>22</v>
      </c>
    </row>
    <row r="220" spans="1:15" ht="15" customHeight="1" x14ac:dyDescent="0.2">
      <c r="A220" s="24" t="s">
        <v>368</v>
      </c>
      <c r="B220" s="36" t="s">
        <v>2116</v>
      </c>
      <c r="C220" s="24">
        <f t="shared" si="6"/>
        <v>414</v>
      </c>
      <c r="D220" s="24">
        <v>1</v>
      </c>
      <c r="G220" s="37" t="s">
        <v>1569</v>
      </c>
      <c r="H220" s="42" t="s">
        <v>2654</v>
      </c>
      <c r="I220" s="46">
        <v>331</v>
      </c>
      <c r="J220" s="46">
        <v>1111</v>
      </c>
      <c r="K220" s="24" t="s">
        <v>21</v>
      </c>
      <c r="L220" s="24">
        <v>1</v>
      </c>
      <c r="M220" s="39">
        <v>49000</v>
      </c>
      <c r="N220" s="39">
        <f t="shared" si="7"/>
        <v>49000</v>
      </c>
      <c r="O220" s="38" t="s">
        <v>22</v>
      </c>
    </row>
    <row r="221" spans="1:15" ht="15" customHeight="1" x14ac:dyDescent="0.2">
      <c r="A221" s="24" t="s">
        <v>368</v>
      </c>
      <c r="B221" s="36" t="s">
        <v>2116</v>
      </c>
      <c r="C221" s="24">
        <f t="shared" si="6"/>
        <v>415</v>
      </c>
      <c r="D221" s="24">
        <v>1</v>
      </c>
      <c r="G221" s="37" t="s">
        <v>1569</v>
      </c>
      <c r="H221" s="42" t="s">
        <v>2655</v>
      </c>
      <c r="I221" s="46">
        <v>331</v>
      </c>
      <c r="J221" s="46">
        <v>1111</v>
      </c>
      <c r="K221" s="24" t="s">
        <v>21</v>
      </c>
      <c r="L221" s="24">
        <v>1</v>
      </c>
      <c r="M221" s="39">
        <v>20000</v>
      </c>
      <c r="N221" s="39">
        <f t="shared" si="7"/>
        <v>20000</v>
      </c>
      <c r="O221" s="38" t="s">
        <v>22</v>
      </c>
    </row>
    <row r="222" spans="1:15" ht="15" customHeight="1" x14ac:dyDescent="0.2">
      <c r="A222" s="24" t="s">
        <v>368</v>
      </c>
      <c r="B222" s="36" t="s">
        <v>2116</v>
      </c>
      <c r="C222" s="24">
        <f t="shared" si="6"/>
        <v>416</v>
      </c>
      <c r="D222" s="24">
        <v>1</v>
      </c>
      <c r="G222" s="37" t="s">
        <v>1569</v>
      </c>
      <c r="H222" s="42" t="s">
        <v>2656</v>
      </c>
      <c r="I222" s="46">
        <v>331</v>
      </c>
      <c r="J222" s="46">
        <v>1111</v>
      </c>
      <c r="K222" s="24" t="s">
        <v>21</v>
      </c>
      <c r="L222" s="24">
        <v>1</v>
      </c>
      <c r="M222" s="39">
        <v>21000</v>
      </c>
      <c r="N222" s="39">
        <f t="shared" si="7"/>
        <v>21000</v>
      </c>
      <c r="O222" s="38" t="s">
        <v>22</v>
      </c>
    </row>
    <row r="223" spans="1:15" ht="15" customHeight="1" x14ac:dyDescent="0.2">
      <c r="A223" s="24" t="s">
        <v>368</v>
      </c>
      <c r="B223" s="36" t="s">
        <v>2117</v>
      </c>
      <c r="C223" s="24">
        <f t="shared" si="6"/>
        <v>417</v>
      </c>
      <c r="D223" s="24">
        <v>1</v>
      </c>
      <c r="G223" s="37" t="s">
        <v>1569</v>
      </c>
      <c r="H223" s="42" t="s">
        <v>2657</v>
      </c>
      <c r="I223" s="46">
        <v>331</v>
      </c>
      <c r="J223" s="46">
        <v>1111</v>
      </c>
      <c r="K223" s="24" t="s">
        <v>21</v>
      </c>
      <c r="L223" s="24">
        <v>1</v>
      </c>
      <c r="M223" s="39">
        <v>32000</v>
      </c>
      <c r="N223" s="39">
        <f t="shared" si="7"/>
        <v>32000</v>
      </c>
      <c r="O223" s="38" t="s">
        <v>22</v>
      </c>
    </row>
    <row r="224" spans="1:15" ht="15" customHeight="1" x14ac:dyDescent="0.2">
      <c r="A224" s="24" t="s">
        <v>368</v>
      </c>
      <c r="B224" s="36" t="s">
        <v>2117</v>
      </c>
      <c r="C224" s="24">
        <f t="shared" si="6"/>
        <v>418</v>
      </c>
      <c r="D224" s="24">
        <v>1</v>
      </c>
      <c r="G224" s="37" t="s">
        <v>1569</v>
      </c>
      <c r="H224" s="42" t="s">
        <v>2658</v>
      </c>
      <c r="I224" s="46">
        <v>331</v>
      </c>
      <c r="J224" s="46">
        <v>1111</v>
      </c>
      <c r="K224" s="24" t="s">
        <v>21</v>
      </c>
      <c r="L224" s="24">
        <v>1</v>
      </c>
      <c r="M224" s="39">
        <v>37000</v>
      </c>
      <c r="N224" s="39">
        <f t="shared" si="7"/>
        <v>37000</v>
      </c>
      <c r="O224" s="38" t="s">
        <v>22</v>
      </c>
    </row>
    <row r="225" spans="1:15" ht="15" customHeight="1" x14ac:dyDescent="0.2">
      <c r="A225" s="24" t="s">
        <v>368</v>
      </c>
      <c r="B225" s="36" t="s">
        <v>1532</v>
      </c>
      <c r="C225" s="24">
        <f t="shared" si="6"/>
        <v>419</v>
      </c>
      <c r="D225" s="24">
        <v>1</v>
      </c>
      <c r="G225" s="37" t="s">
        <v>1569</v>
      </c>
      <c r="H225" s="42" t="s">
        <v>2659</v>
      </c>
      <c r="I225" s="46">
        <v>331</v>
      </c>
      <c r="J225" s="46">
        <v>1111</v>
      </c>
      <c r="K225" s="24" t="s">
        <v>21</v>
      </c>
      <c r="L225" s="24">
        <v>1</v>
      </c>
      <c r="M225" s="39">
        <v>112000</v>
      </c>
      <c r="N225" s="39">
        <f t="shared" si="7"/>
        <v>112000</v>
      </c>
      <c r="O225" s="38" t="s">
        <v>22</v>
      </c>
    </row>
    <row r="226" spans="1:15" ht="15" customHeight="1" x14ac:dyDescent="0.2">
      <c r="A226" s="24" t="s">
        <v>368</v>
      </c>
      <c r="B226" s="36" t="s">
        <v>1532</v>
      </c>
      <c r="C226" s="24">
        <f t="shared" si="6"/>
        <v>420</v>
      </c>
      <c r="D226" s="24">
        <v>1</v>
      </c>
      <c r="G226" s="37" t="s">
        <v>1569</v>
      </c>
      <c r="H226" s="42" t="s">
        <v>2660</v>
      </c>
      <c r="I226" s="46">
        <v>331</v>
      </c>
      <c r="J226" s="46">
        <v>1111</v>
      </c>
      <c r="K226" s="24" t="s">
        <v>21</v>
      </c>
      <c r="L226" s="24">
        <v>1</v>
      </c>
      <c r="M226" s="39">
        <v>105000</v>
      </c>
      <c r="N226" s="39">
        <f t="shared" si="7"/>
        <v>105000</v>
      </c>
      <c r="O226" s="38" t="s">
        <v>22</v>
      </c>
    </row>
    <row r="227" spans="1:15" ht="15" customHeight="1" x14ac:dyDescent="0.2">
      <c r="A227" s="24" t="s">
        <v>368</v>
      </c>
      <c r="B227" s="36" t="s">
        <v>2042</v>
      </c>
      <c r="C227" s="24">
        <f t="shared" si="6"/>
        <v>421</v>
      </c>
      <c r="D227" s="24">
        <v>1</v>
      </c>
      <c r="G227" s="37" t="s">
        <v>1569</v>
      </c>
      <c r="H227" s="42" t="s">
        <v>2661</v>
      </c>
      <c r="I227" s="46">
        <v>331</v>
      </c>
      <c r="J227" s="46">
        <v>1111</v>
      </c>
      <c r="K227" s="24" t="s">
        <v>21</v>
      </c>
      <c r="L227" s="24">
        <v>1</v>
      </c>
      <c r="M227" s="39">
        <v>32000</v>
      </c>
      <c r="N227" s="39">
        <f t="shared" si="7"/>
        <v>32000</v>
      </c>
      <c r="O227" s="38" t="s">
        <v>22</v>
      </c>
    </row>
    <row r="228" spans="1:15" ht="15" customHeight="1" x14ac:dyDescent="0.2">
      <c r="A228" s="24" t="s">
        <v>368</v>
      </c>
      <c r="B228" s="36" t="s">
        <v>2480</v>
      </c>
      <c r="C228" s="24">
        <f t="shared" si="6"/>
        <v>422</v>
      </c>
      <c r="D228" s="24">
        <v>1</v>
      </c>
      <c r="G228" s="37" t="s">
        <v>1569</v>
      </c>
      <c r="H228" s="42" t="s">
        <v>2662</v>
      </c>
      <c r="I228" s="46">
        <v>331</v>
      </c>
      <c r="J228" s="46">
        <v>1111</v>
      </c>
      <c r="K228" s="24" t="s">
        <v>21</v>
      </c>
      <c r="L228" s="24">
        <v>1</v>
      </c>
      <c r="M228" s="39">
        <v>38000</v>
      </c>
      <c r="N228" s="39">
        <f t="shared" si="7"/>
        <v>38000</v>
      </c>
      <c r="O228" s="38" t="s">
        <v>22</v>
      </c>
    </row>
    <row r="229" spans="1:15" ht="15" customHeight="1" x14ac:dyDescent="0.2">
      <c r="A229" s="24" t="s">
        <v>368</v>
      </c>
      <c r="B229" s="36" t="s">
        <v>2480</v>
      </c>
      <c r="C229" s="24">
        <f t="shared" si="6"/>
        <v>423</v>
      </c>
      <c r="D229" s="24">
        <v>1</v>
      </c>
      <c r="G229" s="37" t="s">
        <v>1569</v>
      </c>
      <c r="H229" s="42" t="s">
        <v>2663</v>
      </c>
      <c r="I229" s="46">
        <v>331</v>
      </c>
      <c r="J229" s="46">
        <v>1111</v>
      </c>
      <c r="K229" s="24" t="s">
        <v>21</v>
      </c>
      <c r="L229" s="24">
        <v>1</v>
      </c>
      <c r="M229" s="39">
        <v>40000</v>
      </c>
      <c r="N229" s="39">
        <f t="shared" si="7"/>
        <v>40000</v>
      </c>
      <c r="O229" s="38" t="s">
        <v>22</v>
      </c>
    </row>
    <row r="230" spans="1:15" ht="15" customHeight="1" x14ac:dyDescent="0.2">
      <c r="A230" s="24" t="s">
        <v>368</v>
      </c>
      <c r="B230" s="36" t="s">
        <v>2231</v>
      </c>
      <c r="C230" s="24">
        <f t="shared" si="6"/>
        <v>424</v>
      </c>
      <c r="D230" s="24">
        <v>1</v>
      </c>
      <c r="G230" s="37" t="s">
        <v>1569</v>
      </c>
      <c r="H230" s="42" t="s">
        <v>2664</v>
      </c>
      <c r="I230" s="46">
        <v>331</v>
      </c>
      <c r="J230" s="46">
        <v>1111</v>
      </c>
      <c r="K230" s="24" t="s">
        <v>21</v>
      </c>
      <c r="L230" s="24">
        <v>1</v>
      </c>
      <c r="M230" s="39">
        <v>25000</v>
      </c>
      <c r="N230" s="39">
        <f t="shared" si="7"/>
        <v>25000</v>
      </c>
      <c r="O230" s="38" t="s">
        <v>22</v>
      </c>
    </row>
    <row r="231" spans="1:15" ht="15" customHeight="1" x14ac:dyDescent="0.2">
      <c r="A231" s="24" t="s">
        <v>368</v>
      </c>
      <c r="B231" s="36" t="s">
        <v>2231</v>
      </c>
      <c r="C231" s="24">
        <f t="shared" si="6"/>
        <v>425</v>
      </c>
      <c r="D231" s="24">
        <v>1</v>
      </c>
      <c r="G231" s="37" t="s">
        <v>1569</v>
      </c>
      <c r="H231" s="42" t="s">
        <v>2665</v>
      </c>
      <c r="I231" s="46">
        <v>331</v>
      </c>
      <c r="J231" s="46">
        <v>1111</v>
      </c>
      <c r="K231" s="24" t="s">
        <v>21</v>
      </c>
      <c r="L231" s="24">
        <v>1</v>
      </c>
      <c r="M231" s="39">
        <v>36000</v>
      </c>
      <c r="N231" s="39">
        <f t="shared" si="7"/>
        <v>36000</v>
      </c>
      <c r="O231" s="38" t="s">
        <v>22</v>
      </c>
    </row>
    <row r="232" spans="1:15" ht="15" customHeight="1" x14ac:dyDescent="0.2">
      <c r="A232" s="24" t="s">
        <v>368</v>
      </c>
      <c r="B232" s="36" t="s">
        <v>2231</v>
      </c>
      <c r="C232" s="24">
        <f t="shared" si="6"/>
        <v>426</v>
      </c>
      <c r="D232" s="24">
        <v>1</v>
      </c>
      <c r="G232" s="37" t="s">
        <v>1569</v>
      </c>
      <c r="H232" s="42" t="s">
        <v>2666</v>
      </c>
      <c r="I232" s="46">
        <v>331</v>
      </c>
      <c r="J232" s="46">
        <v>1111</v>
      </c>
      <c r="K232" s="24" t="s">
        <v>21</v>
      </c>
      <c r="L232" s="24">
        <v>1</v>
      </c>
      <c r="M232" s="39">
        <v>43000</v>
      </c>
      <c r="N232" s="39">
        <f t="shared" si="7"/>
        <v>43000</v>
      </c>
      <c r="O232" s="38" t="s">
        <v>22</v>
      </c>
    </row>
    <row r="233" spans="1:15" ht="15" customHeight="1" x14ac:dyDescent="0.2">
      <c r="A233" s="24" t="s">
        <v>368</v>
      </c>
      <c r="B233" s="36" t="s">
        <v>2073</v>
      </c>
      <c r="C233" s="24">
        <f t="shared" si="6"/>
        <v>427</v>
      </c>
      <c r="D233" s="24">
        <v>1</v>
      </c>
      <c r="G233" s="37" t="s">
        <v>1569</v>
      </c>
      <c r="H233" s="42" t="s">
        <v>2667</v>
      </c>
      <c r="I233" s="46">
        <v>331</v>
      </c>
      <c r="J233" s="46">
        <v>1111</v>
      </c>
      <c r="K233" s="24" t="s">
        <v>21</v>
      </c>
      <c r="L233" s="24">
        <v>1</v>
      </c>
      <c r="M233" s="39">
        <v>49000</v>
      </c>
      <c r="N233" s="39">
        <f t="shared" si="7"/>
        <v>49000</v>
      </c>
      <c r="O233" s="38" t="s">
        <v>22</v>
      </c>
    </row>
    <row r="234" spans="1:15" ht="15" customHeight="1" x14ac:dyDescent="0.2">
      <c r="A234" s="24" t="s">
        <v>368</v>
      </c>
      <c r="B234" s="36" t="s">
        <v>2073</v>
      </c>
      <c r="C234" s="24">
        <f t="shared" si="6"/>
        <v>428</v>
      </c>
      <c r="D234" s="24">
        <v>1</v>
      </c>
      <c r="G234" s="37" t="s">
        <v>1569</v>
      </c>
      <c r="H234" s="42" t="s">
        <v>2668</v>
      </c>
      <c r="I234" s="46">
        <v>331</v>
      </c>
      <c r="J234" s="46">
        <v>1111</v>
      </c>
      <c r="K234" s="24" t="s">
        <v>21</v>
      </c>
      <c r="L234" s="24">
        <v>1</v>
      </c>
      <c r="M234" s="39">
        <v>28000</v>
      </c>
      <c r="N234" s="39">
        <f t="shared" si="7"/>
        <v>28000</v>
      </c>
      <c r="O234" s="38" t="s">
        <v>22</v>
      </c>
    </row>
    <row r="235" spans="1:15" ht="15" customHeight="1" x14ac:dyDescent="0.2">
      <c r="A235" s="24" t="s">
        <v>368</v>
      </c>
      <c r="B235" s="36" t="s">
        <v>2073</v>
      </c>
      <c r="C235" s="24">
        <f t="shared" si="6"/>
        <v>429</v>
      </c>
      <c r="D235" s="24">
        <v>1</v>
      </c>
      <c r="G235" s="37" t="s">
        <v>1569</v>
      </c>
      <c r="H235" s="42" t="s">
        <v>2669</v>
      </c>
      <c r="I235" s="46">
        <v>331</v>
      </c>
      <c r="J235" s="46">
        <v>1111</v>
      </c>
      <c r="K235" s="24" t="s">
        <v>21</v>
      </c>
      <c r="L235" s="24">
        <v>1</v>
      </c>
      <c r="M235" s="39">
        <v>49000</v>
      </c>
      <c r="N235" s="39">
        <f t="shared" si="7"/>
        <v>49000</v>
      </c>
      <c r="O235" s="38" t="s">
        <v>22</v>
      </c>
    </row>
    <row r="236" spans="1:15" ht="15" customHeight="1" x14ac:dyDescent="0.2">
      <c r="A236" s="24" t="s">
        <v>368</v>
      </c>
      <c r="B236" s="36" t="s">
        <v>2073</v>
      </c>
      <c r="C236" s="24">
        <f t="shared" si="6"/>
        <v>430</v>
      </c>
      <c r="D236" s="24">
        <v>1</v>
      </c>
      <c r="G236" s="37" t="s">
        <v>1569</v>
      </c>
      <c r="H236" s="42" t="s">
        <v>2670</v>
      </c>
      <c r="I236" s="46">
        <v>331</v>
      </c>
      <c r="J236" s="46">
        <v>1111</v>
      </c>
      <c r="K236" s="24" t="s">
        <v>21</v>
      </c>
      <c r="L236" s="24">
        <v>1</v>
      </c>
      <c r="M236" s="39">
        <v>71000</v>
      </c>
      <c r="N236" s="39">
        <f t="shared" si="7"/>
        <v>71000</v>
      </c>
      <c r="O236" s="38" t="s">
        <v>22</v>
      </c>
    </row>
    <row r="237" spans="1:15" ht="15" customHeight="1" x14ac:dyDescent="0.2">
      <c r="A237" s="24" t="s">
        <v>368</v>
      </c>
      <c r="B237" s="36" t="s">
        <v>2073</v>
      </c>
      <c r="C237" s="24">
        <f t="shared" si="6"/>
        <v>431</v>
      </c>
      <c r="D237" s="24">
        <v>1</v>
      </c>
      <c r="G237" s="37" t="s">
        <v>1569</v>
      </c>
      <c r="H237" s="42" t="s">
        <v>2671</v>
      </c>
      <c r="I237" s="46">
        <v>331</v>
      </c>
      <c r="J237" s="46">
        <v>1111</v>
      </c>
      <c r="K237" s="24" t="s">
        <v>21</v>
      </c>
      <c r="L237" s="24">
        <v>1</v>
      </c>
      <c r="M237" s="39">
        <v>72000</v>
      </c>
      <c r="N237" s="39">
        <f t="shared" si="7"/>
        <v>72000</v>
      </c>
      <c r="O237" s="38" t="s">
        <v>22</v>
      </c>
    </row>
    <row r="238" spans="1:15" ht="15" customHeight="1" x14ac:dyDescent="0.2">
      <c r="A238" s="24" t="s">
        <v>368</v>
      </c>
      <c r="B238" s="36" t="s">
        <v>2073</v>
      </c>
      <c r="C238" s="24">
        <f t="shared" si="6"/>
        <v>432</v>
      </c>
      <c r="D238" s="24">
        <v>1</v>
      </c>
      <c r="G238" s="37" t="s">
        <v>1569</v>
      </c>
      <c r="H238" s="42" t="s">
        <v>2672</v>
      </c>
      <c r="I238" s="46">
        <v>331</v>
      </c>
      <c r="J238" s="46">
        <v>1111</v>
      </c>
      <c r="K238" s="24" t="s">
        <v>21</v>
      </c>
      <c r="L238" s="24">
        <v>1</v>
      </c>
      <c r="M238" s="39">
        <v>67000</v>
      </c>
      <c r="N238" s="39">
        <f t="shared" si="7"/>
        <v>67000</v>
      </c>
      <c r="O238" s="38" t="s">
        <v>22</v>
      </c>
    </row>
    <row r="239" spans="1:15" ht="15" customHeight="1" x14ac:dyDescent="0.2">
      <c r="A239" s="24" t="s">
        <v>368</v>
      </c>
      <c r="B239" s="36" t="s">
        <v>2073</v>
      </c>
      <c r="C239" s="24">
        <f t="shared" si="6"/>
        <v>433</v>
      </c>
      <c r="D239" s="24">
        <v>1</v>
      </c>
      <c r="G239" s="37" t="s">
        <v>1569</v>
      </c>
      <c r="H239" s="42" t="s">
        <v>2673</v>
      </c>
      <c r="I239" s="46">
        <v>331</v>
      </c>
      <c r="J239" s="46">
        <v>1111</v>
      </c>
      <c r="K239" s="24" t="s">
        <v>21</v>
      </c>
      <c r="L239" s="24">
        <v>1</v>
      </c>
      <c r="M239" s="39">
        <v>32000</v>
      </c>
      <c r="N239" s="39">
        <f t="shared" si="7"/>
        <v>32000</v>
      </c>
      <c r="O239" s="38" t="s">
        <v>22</v>
      </c>
    </row>
    <row r="240" spans="1:15" ht="15" customHeight="1" x14ac:dyDescent="0.2">
      <c r="A240" s="24" t="s">
        <v>368</v>
      </c>
      <c r="B240" s="36" t="s">
        <v>2043</v>
      </c>
      <c r="C240" s="24">
        <f t="shared" si="6"/>
        <v>434</v>
      </c>
      <c r="D240" s="24">
        <v>1</v>
      </c>
      <c r="G240" s="37" t="s">
        <v>2486</v>
      </c>
      <c r="H240" s="42" t="s">
        <v>2674</v>
      </c>
      <c r="I240" s="46">
        <v>331</v>
      </c>
      <c r="J240" s="46">
        <v>1111</v>
      </c>
      <c r="K240" s="24" t="s">
        <v>21</v>
      </c>
      <c r="L240" s="24">
        <v>1</v>
      </c>
      <c r="M240" s="39">
        <v>11000</v>
      </c>
      <c r="N240" s="39">
        <f t="shared" si="7"/>
        <v>11000</v>
      </c>
      <c r="O240" s="38" t="s">
        <v>22</v>
      </c>
    </row>
    <row r="241" spans="1:15" ht="15" customHeight="1" x14ac:dyDescent="0.2">
      <c r="A241" s="24" t="s">
        <v>368</v>
      </c>
      <c r="B241" s="36" t="s">
        <v>1533</v>
      </c>
      <c r="C241" s="24">
        <f t="shared" si="6"/>
        <v>435</v>
      </c>
      <c r="D241" s="24">
        <v>1</v>
      </c>
      <c r="G241" s="37" t="s">
        <v>1569</v>
      </c>
      <c r="H241" s="42" t="s">
        <v>2675</v>
      </c>
      <c r="I241" s="46">
        <v>331</v>
      </c>
      <c r="J241" s="46">
        <v>1111</v>
      </c>
      <c r="K241" s="24" t="s">
        <v>21</v>
      </c>
      <c r="L241" s="24">
        <v>1</v>
      </c>
      <c r="M241" s="39">
        <v>48000</v>
      </c>
      <c r="N241" s="39">
        <f t="shared" si="7"/>
        <v>48000</v>
      </c>
      <c r="O241" s="38" t="s">
        <v>22</v>
      </c>
    </row>
    <row r="242" spans="1:15" ht="15" customHeight="1" x14ac:dyDescent="0.2">
      <c r="A242" s="24" t="s">
        <v>368</v>
      </c>
      <c r="B242" s="36" t="s">
        <v>2044</v>
      </c>
      <c r="C242" s="24">
        <f t="shared" si="6"/>
        <v>436</v>
      </c>
      <c r="D242" s="24">
        <v>1</v>
      </c>
      <c r="G242" s="37" t="s">
        <v>1569</v>
      </c>
      <c r="H242" s="42" t="s">
        <v>2676</v>
      </c>
      <c r="I242" s="46">
        <v>331</v>
      </c>
      <c r="J242" s="46">
        <v>1111</v>
      </c>
      <c r="K242" s="24" t="s">
        <v>21</v>
      </c>
      <c r="L242" s="24">
        <v>1</v>
      </c>
      <c r="M242" s="39">
        <v>39000</v>
      </c>
      <c r="N242" s="39">
        <f t="shared" si="7"/>
        <v>39000</v>
      </c>
      <c r="O242" s="38" t="s">
        <v>22</v>
      </c>
    </row>
    <row r="243" spans="1:15" ht="15" customHeight="1" x14ac:dyDescent="0.2">
      <c r="A243" s="24" t="s">
        <v>368</v>
      </c>
      <c r="B243" s="36" t="s">
        <v>2045</v>
      </c>
      <c r="C243" s="24">
        <f t="shared" si="6"/>
        <v>437</v>
      </c>
      <c r="D243" s="24">
        <v>1</v>
      </c>
      <c r="G243" s="37" t="s">
        <v>1569</v>
      </c>
      <c r="H243" s="42" t="s">
        <v>2677</v>
      </c>
      <c r="I243" s="46">
        <v>331</v>
      </c>
      <c r="J243" s="46">
        <v>1111</v>
      </c>
      <c r="K243" s="24" t="s">
        <v>21</v>
      </c>
      <c r="L243" s="24">
        <v>1</v>
      </c>
      <c r="M243" s="39">
        <v>31000</v>
      </c>
      <c r="N243" s="39">
        <f t="shared" si="7"/>
        <v>31000</v>
      </c>
      <c r="O243" s="38" t="s">
        <v>22</v>
      </c>
    </row>
    <row r="244" spans="1:15" ht="15" customHeight="1" x14ac:dyDescent="0.2">
      <c r="A244" s="24" t="s">
        <v>368</v>
      </c>
      <c r="B244" s="36" t="s">
        <v>2354</v>
      </c>
      <c r="C244" s="24">
        <f t="shared" si="6"/>
        <v>438</v>
      </c>
      <c r="D244" s="24">
        <v>1</v>
      </c>
      <c r="G244" s="37" t="s">
        <v>1735</v>
      </c>
      <c r="H244" s="42" t="s">
        <v>2678</v>
      </c>
      <c r="I244" s="46">
        <v>331</v>
      </c>
      <c r="J244" s="46">
        <v>1111</v>
      </c>
      <c r="K244" s="24" t="s">
        <v>21</v>
      </c>
      <c r="L244" s="24">
        <v>1</v>
      </c>
      <c r="M244" s="39">
        <v>2126250</v>
      </c>
      <c r="N244" s="39">
        <f t="shared" si="7"/>
        <v>2126250</v>
      </c>
      <c r="O244" s="38" t="s">
        <v>22</v>
      </c>
    </row>
    <row r="245" spans="1:15" ht="15" customHeight="1" x14ac:dyDescent="0.2">
      <c r="A245" s="24" t="s">
        <v>368</v>
      </c>
      <c r="B245" s="36" t="s">
        <v>2441</v>
      </c>
      <c r="C245" s="24">
        <f t="shared" si="6"/>
        <v>439</v>
      </c>
      <c r="D245" s="24">
        <v>1</v>
      </c>
      <c r="G245" s="37" t="s">
        <v>1671</v>
      </c>
      <c r="H245" s="42" t="s">
        <v>2679</v>
      </c>
      <c r="I245" s="46">
        <v>331</v>
      </c>
      <c r="J245" s="46">
        <v>1111</v>
      </c>
      <c r="K245" s="24" t="s">
        <v>21</v>
      </c>
      <c r="L245" s="24">
        <v>1</v>
      </c>
      <c r="M245" s="39">
        <v>1250000</v>
      </c>
      <c r="N245" s="39">
        <f t="shared" si="7"/>
        <v>1250000</v>
      </c>
      <c r="O245" s="38" t="s">
        <v>22</v>
      </c>
    </row>
    <row r="246" spans="1:15" ht="15" customHeight="1" x14ac:dyDescent="0.2">
      <c r="A246" s="24" t="s">
        <v>368</v>
      </c>
      <c r="B246" s="36" t="s">
        <v>2442</v>
      </c>
      <c r="C246" s="24">
        <f t="shared" si="6"/>
        <v>440</v>
      </c>
      <c r="D246" s="24">
        <v>1</v>
      </c>
      <c r="G246" s="37" t="s">
        <v>1797</v>
      </c>
      <c r="H246" s="42" t="s">
        <v>2680</v>
      </c>
      <c r="I246" s="46">
        <v>331</v>
      </c>
      <c r="J246" s="46">
        <v>1111</v>
      </c>
      <c r="K246" s="24" t="s">
        <v>21</v>
      </c>
      <c r="L246" s="24">
        <v>1</v>
      </c>
      <c r="M246" s="39">
        <v>496182</v>
      </c>
      <c r="N246" s="39">
        <f t="shared" si="7"/>
        <v>496182</v>
      </c>
      <c r="O246" s="38" t="s">
        <v>22</v>
      </c>
    </row>
    <row r="247" spans="1:15" ht="15" customHeight="1" x14ac:dyDescent="0.2">
      <c r="A247" s="24" t="s">
        <v>368</v>
      </c>
      <c r="B247" s="36" t="s">
        <v>2442</v>
      </c>
      <c r="C247" s="24">
        <f t="shared" si="6"/>
        <v>441</v>
      </c>
      <c r="D247" s="24">
        <v>1</v>
      </c>
      <c r="G247" s="37" t="s">
        <v>1799</v>
      </c>
      <c r="H247" s="42" t="s">
        <v>2681</v>
      </c>
      <c r="I247" s="46">
        <v>331</v>
      </c>
      <c r="J247" s="46">
        <v>1111</v>
      </c>
      <c r="K247" s="24" t="s">
        <v>21</v>
      </c>
      <c r="L247" s="24">
        <v>1</v>
      </c>
      <c r="M247" s="39">
        <v>1062600</v>
      </c>
      <c r="N247" s="39">
        <f t="shared" si="7"/>
        <v>1062600</v>
      </c>
      <c r="O247" s="38" t="s">
        <v>22</v>
      </c>
    </row>
    <row r="248" spans="1:15" ht="15" customHeight="1" x14ac:dyDescent="0.2">
      <c r="A248" s="24" t="s">
        <v>368</v>
      </c>
      <c r="B248" s="36" t="s">
        <v>2117</v>
      </c>
      <c r="C248" s="24">
        <f t="shared" si="6"/>
        <v>442</v>
      </c>
      <c r="D248" s="24">
        <v>1</v>
      </c>
      <c r="G248" s="37" t="s">
        <v>2446</v>
      </c>
      <c r="H248" s="42" t="s">
        <v>2682</v>
      </c>
      <c r="I248" s="46">
        <v>331</v>
      </c>
      <c r="J248" s="46">
        <v>1111</v>
      </c>
      <c r="K248" s="24" t="s">
        <v>21</v>
      </c>
      <c r="L248" s="24">
        <v>1</v>
      </c>
      <c r="M248" s="39">
        <v>1566000</v>
      </c>
      <c r="N248" s="39">
        <f t="shared" si="7"/>
        <v>1566000</v>
      </c>
      <c r="O248" s="38" t="s">
        <v>22</v>
      </c>
    </row>
    <row r="249" spans="1:15" ht="15" customHeight="1" x14ac:dyDescent="0.2">
      <c r="A249" s="24" t="s">
        <v>368</v>
      </c>
      <c r="B249" s="36" t="s">
        <v>1534</v>
      </c>
      <c r="C249" s="24">
        <f t="shared" si="6"/>
        <v>443</v>
      </c>
      <c r="D249" s="24">
        <v>1</v>
      </c>
      <c r="G249" s="37" t="s">
        <v>2447</v>
      </c>
      <c r="H249" s="42" t="s">
        <v>2684</v>
      </c>
      <c r="I249" s="46">
        <v>331</v>
      </c>
      <c r="J249" s="46">
        <v>1111</v>
      </c>
      <c r="K249" s="24" t="s">
        <v>21</v>
      </c>
      <c r="L249" s="24">
        <v>1</v>
      </c>
      <c r="M249" s="39">
        <v>690000</v>
      </c>
      <c r="N249" s="39">
        <f t="shared" si="7"/>
        <v>690000</v>
      </c>
      <c r="O249" s="38" t="s">
        <v>22</v>
      </c>
    </row>
    <row r="250" spans="1:15" ht="15" customHeight="1" x14ac:dyDescent="0.2">
      <c r="A250" s="24" t="s">
        <v>368</v>
      </c>
      <c r="B250" s="36" t="s">
        <v>2443</v>
      </c>
      <c r="C250" s="24">
        <f t="shared" si="6"/>
        <v>444</v>
      </c>
      <c r="D250" s="24">
        <v>1</v>
      </c>
      <c r="G250" s="37" t="s">
        <v>259</v>
      </c>
      <c r="H250" s="42" t="s">
        <v>2685</v>
      </c>
      <c r="I250" s="46">
        <v>331</v>
      </c>
      <c r="J250" s="46">
        <v>1111</v>
      </c>
      <c r="K250" s="24" t="s">
        <v>21</v>
      </c>
      <c r="L250" s="24">
        <v>1</v>
      </c>
      <c r="M250" s="39">
        <v>1944000</v>
      </c>
      <c r="N250" s="39">
        <f t="shared" si="7"/>
        <v>1944000</v>
      </c>
      <c r="O250" s="38" t="s">
        <v>22</v>
      </c>
    </row>
    <row r="251" spans="1:15" ht="15" customHeight="1" x14ac:dyDescent="0.2">
      <c r="A251" s="24" t="s">
        <v>368</v>
      </c>
      <c r="B251" s="36" t="s">
        <v>2443</v>
      </c>
      <c r="C251" s="24">
        <f t="shared" si="6"/>
        <v>445</v>
      </c>
      <c r="D251" s="24">
        <v>1</v>
      </c>
      <c r="G251" s="37" t="s">
        <v>259</v>
      </c>
      <c r="H251" s="42" t="s">
        <v>2686</v>
      </c>
      <c r="I251" s="46">
        <v>331</v>
      </c>
      <c r="J251" s="46">
        <v>1111</v>
      </c>
      <c r="K251" s="24" t="s">
        <v>21</v>
      </c>
      <c r="L251" s="24">
        <v>1</v>
      </c>
      <c r="M251" s="39">
        <v>1951000</v>
      </c>
      <c r="N251" s="39">
        <f t="shared" si="7"/>
        <v>1951000</v>
      </c>
      <c r="O251" s="38" t="s">
        <v>22</v>
      </c>
    </row>
    <row r="252" spans="1:15" ht="15" customHeight="1" x14ac:dyDescent="0.2">
      <c r="A252" s="24" t="s">
        <v>368</v>
      </c>
      <c r="B252" s="36" t="s">
        <v>1535</v>
      </c>
      <c r="C252" s="24">
        <f t="shared" si="6"/>
        <v>446</v>
      </c>
      <c r="D252" s="24">
        <v>1</v>
      </c>
      <c r="G252" s="37" t="s">
        <v>2448</v>
      </c>
      <c r="H252" s="42" t="s">
        <v>2687</v>
      </c>
      <c r="I252" s="46">
        <v>331</v>
      </c>
      <c r="J252" s="46">
        <v>1111</v>
      </c>
      <c r="K252" s="24" t="s">
        <v>21</v>
      </c>
      <c r="L252" s="24">
        <v>1</v>
      </c>
      <c r="M252" s="39">
        <v>36295000</v>
      </c>
      <c r="N252" s="39">
        <f t="shared" si="7"/>
        <v>36295000</v>
      </c>
      <c r="O252" s="38" t="s">
        <v>22</v>
      </c>
    </row>
    <row r="253" spans="1:15" ht="15" customHeight="1" x14ac:dyDescent="0.2">
      <c r="A253" s="24" t="s">
        <v>368</v>
      </c>
      <c r="B253" s="36" t="s">
        <v>1535</v>
      </c>
      <c r="C253" s="24">
        <f t="shared" si="6"/>
        <v>447</v>
      </c>
      <c r="D253" s="24">
        <v>1</v>
      </c>
      <c r="G253" s="37" t="s">
        <v>2448</v>
      </c>
      <c r="H253" s="42" t="s">
        <v>2688</v>
      </c>
      <c r="I253" s="46">
        <v>331</v>
      </c>
      <c r="J253" s="46">
        <v>1111</v>
      </c>
      <c r="K253" s="24" t="s">
        <v>21</v>
      </c>
      <c r="L253" s="24">
        <v>1</v>
      </c>
      <c r="M253" s="39">
        <v>8289010</v>
      </c>
      <c r="N253" s="39">
        <f t="shared" si="7"/>
        <v>8289010</v>
      </c>
      <c r="O253" s="38" t="s">
        <v>22</v>
      </c>
    </row>
    <row r="254" spans="1:15" ht="15" customHeight="1" x14ac:dyDescent="0.2">
      <c r="A254" s="24" t="s">
        <v>368</v>
      </c>
      <c r="B254" s="36" t="s">
        <v>1535</v>
      </c>
      <c r="C254" s="24">
        <f t="shared" si="6"/>
        <v>448</v>
      </c>
      <c r="D254" s="24">
        <v>1</v>
      </c>
      <c r="G254" s="37" t="s">
        <v>2448</v>
      </c>
      <c r="H254" s="42" t="s">
        <v>2689</v>
      </c>
      <c r="I254" s="46">
        <v>331</v>
      </c>
      <c r="J254" s="46">
        <v>1111</v>
      </c>
      <c r="K254" s="24" t="s">
        <v>21</v>
      </c>
      <c r="L254" s="24">
        <v>1</v>
      </c>
      <c r="M254" s="39">
        <v>1400000</v>
      </c>
      <c r="N254" s="39">
        <f t="shared" si="7"/>
        <v>1400000</v>
      </c>
      <c r="O254" s="38" t="s">
        <v>22</v>
      </c>
    </row>
    <row r="255" spans="1:15" ht="15" customHeight="1" x14ac:dyDescent="0.2">
      <c r="A255" s="24" t="s">
        <v>368</v>
      </c>
      <c r="B255" s="36" t="s">
        <v>2120</v>
      </c>
      <c r="C255" s="24">
        <f t="shared" si="6"/>
        <v>449</v>
      </c>
      <c r="D255" s="24">
        <v>1</v>
      </c>
      <c r="G255" s="37" t="s">
        <v>1569</v>
      </c>
      <c r="H255" s="42" t="s">
        <v>2690</v>
      </c>
      <c r="I255" s="46">
        <v>331</v>
      </c>
      <c r="J255" s="46">
        <v>1111</v>
      </c>
      <c r="K255" s="24" t="s">
        <v>21</v>
      </c>
      <c r="L255" s="24">
        <v>1</v>
      </c>
      <c r="M255" s="39">
        <v>32000</v>
      </c>
      <c r="N255" s="39">
        <f t="shared" si="7"/>
        <v>32000</v>
      </c>
      <c r="O255" s="38" t="s">
        <v>22</v>
      </c>
    </row>
    <row r="256" spans="1:15" ht="15" customHeight="1" x14ac:dyDescent="0.2">
      <c r="A256" s="24" t="s">
        <v>368</v>
      </c>
      <c r="B256" s="36" t="s">
        <v>2122</v>
      </c>
      <c r="C256" s="24">
        <f t="shared" si="6"/>
        <v>450</v>
      </c>
      <c r="D256" s="24">
        <v>1</v>
      </c>
      <c r="G256" s="37" t="s">
        <v>1569</v>
      </c>
      <c r="H256" s="42" t="s">
        <v>2691</v>
      </c>
      <c r="I256" s="46">
        <v>331</v>
      </c>
      <c r="J256" s="46">
        <v>1111</v>
      </c>
      <c r="K256" s="24" t="s">
        <v>21</v>
      </c>
      <c r="L256" s="24">
        <v>1</v>
      </c>
      <c r="M256" s="39">
        <v>48000</v>
      </c>
      <c r="N256" s="39">
        <f t="shared" si="7"/>
        <v>48000</v>
      </c>
      <c r="O256" s="38" t="s">
        <v>22</v>
      </c>
    </row>
    <row r="257" spans="1:15" ht="15" customHeight="1" x14ac:dyDescent="0.2">
      <c r="A257" s="24" t="s">
        <v>368</v>
      </c>
      <c r="B257" s="36" t="s">
        <v>2122</v>
      </c>
      <c r="C257" s="24">
        <f t="shared" si="6"/>
        <v>451</v>
      </c>
      <c r="D257" s="24">
        <v>1</v>
      </c>
      <c r="G257" s="37" t="s">
        <v>1569</v>
      </c>
      <c r="H257" s="42" t="s">
        <v>2692</v>
      </c>
      <c r="I257" s="46">
        <v>331</v>
      </c>
      <c r="J257" s="46">
        <v>1111</v>
      </c>
      <c r="K257" s="24" t="s">
        <v>21</v>
      </c>
      <c r="L257" s="24">
        <v>1</v>
      </c>
      <c r="M257" s="39">
        <v>49000</v>
      </c>
      <c r="N257" s="39">
        <f t="shared" si="7"/>
        <v>49000</v>
      </c>
      <c r="O257" s="38" t="s">
        <v>22</v>
      </c>
    </row>
    <row r="258" spans="1:15" ht="15" customHeight="1" x14ac:dyDescent="0.2">
      <c r="A258" s="24" t="s">
        <v>368</v>
      </c>
      <c r="B258" s="36" t="s">
        <v>2358</v>
      </c>
      <c r="C258" s="24">
        <f t="shared" si="6"/>
        <v>452</v>
      </c>
      <c r="D258" s="24">
        <v>1</v>
      </c>
      <c r="G258" s="37" t="s">
        <v>1569</v>
      </c>
      <c r="H258" s="42" t="s">
        <v>2693</v>
      </c>
      <c r="I258" s="46">
        <v>331</v>
      </c>
      <c r="J258" s="46">
        <v>1111</v>
      </c>
      <c r="K258" s="24" t="s">
        <v>21</v>
      </c>
      <c r="L258" s="24">
        <v>1</v>
      </c>
      <c r="M258" s="39">
        <v>49000</v>
      </c>
      <c r="N258" s="39">
        <f t="shared" si="7"/>
        <v>49000</v>
      </c>
      <c r="O258" s="38" t="s">
        <v>22</v>
      </c>
    </row>
    <row r="259" spans="1:15" ht="15" customHeight="1" x14ac:dyDescent="0.2">
      <c r="A259" s="24" t="s">
        <v>368</v>
      </c>
      <c r="B259" s="36" t="s">
        <v>2358</v>
      </c>
      <c r="C259" s="24">
        <f t="shared" si="6"/>
        <v>453</v>
      </c>
      <c r="D259" s="24">
        <v>1</v>
      </c>
      <c r="G259" s="37" t="s">
        <v>1569</v>
      </c>
      <c r="H259" s="42" t="s">
        <v>2694</v>
      </c>
      <c r="I259" s="46">
        <v>331</v>
      </c>
      <c r="J259" s="46">
        <v>1111</v>
      </c>
      <c r="K259" s="24" t="s">
        <v>21</v>
      </c>
      <c r="L259" s="24">
        <v>1</v>
      </c>
      <c r="M259" s="39">
        <v>46000</v>
      </c>
      <c r="N259" s="39">
        <f t="shared" si="7"/>
        <v>46000</v>
      </c>
      <c r="O259" s="38" t="s">
        <v>22</v>
      </c>
    </row>
    <row r="260" spans="1:15" ht="15" customHeight="1" x14ac:dyDescent="0.2">
      <c r="A260" s="24" t="s">
        <v>368</v>
      </c>
      <c r="B260" s="36" t="s">
        <v>2358</v>
      </c>
      <c r="C260" s="24">
        <f t="shared" si="6"/>
        <v>454</v>
      </c>
      <c r="D260" s="24">
        <v>1</v>
      </c>
      <c r="G260" s="37" t="s">
        <v>1569</v>
      </c>
      <c r="H260" s="42" t="s">
        <v>2695</v>
      </c>
      <c r="I260" s="46">
        <v>331</v>
      </c>
      <c r="J260" s="46">
        <v>1111</v>
      </c>
      <c r="K260" s="24" t="s">
        <v>21</v>
      </c>
      <c r="L260" s="24">
        <v>1</v>
      </c>
      <c r="M260" s="39">
        <v>46000</v>
      </c>
      <c r="N260" s="39">
        <f t="shared" si="7"/>
        <v>46000</v>
      </c>
      <c r="O260" s="38" t="s">
        <v>22</v>
      </c>
    </row>
    <row r="261" spans="1:15" ht="15" customHeight="1" x14ac:dyDescent="0.2">
      <c r="A261" s="24" t="s">
        <v>368</v>
      </c>
      <c r="B261" s="36" t="s">
        <v>2124</v>
      </c>
      <c r="C261" s="24">
        <f t="shared" ref="C261:C324" si="8">C260+D261</f>
        <v>455</v>
      </c>
      <c r="D261" s="24">
        <v>1</v>
      </c>
      <c r="G261" s="37" t="s">
        <v>1569</v>
      </c>
      <c r="H261" s="42" t="s">
        <v>2696</v>
      </c>
      <c r="I261" s="46">
        <v>331</v>
      </c>
      <c r="J261" s="46">
        <v>1111</v>
      </c>
      <c r="K261" s="24" t="s">
        <v>21</v>
      </c>
      <c r="L261" s="24">
        <v>1</v>
      </c>
      <c r="M261" s="39">
        <v>74000</v>
      </c>
      <c r="N261" s="39">
        <f t="shared" si="7"/>
        <v>74000</v>
      </c>
      <c r="O261" s="38" t="s">
        <v>22</v>
      </c>
    </row>
    <row r="262" spans="1:15" ht="15" customHeight="1" x14ac:dyDescent="0.2">
      <c r="A262" s="24" t="s">
        <v>368</v>
      </c>
      <c r="B262" s="36" t="s">
        <v>2124</v>
      </c>
      <c r="C262" s="24">
        <f t="shared" si="8"/>
        <v>456</v>
      </c>
      <c r="D262" s="24">
        <v>1</v>
      </c>
      <c r="G262" s="37" t="s">
        <v>1569</v>
      </c>
      <c r="H262" s="42" t="s">
        <v>2697</v>
      </c>
      <c r="I262" s="46">
        <v>331</v>
      </c>
      <c r="J262" s="46">
        <v>1111</v>
      </c>
      <c r="K262" s="24" t="s">
        <v>21</v>
      </c>
      <c r="L262" s="24">
        <v>1</v>
      </c>
      <c r="M262" s="39">
        <v>26000</v>
      </c>
      <c r="N262" s="39">
        <f t="shared" si="7"/>
        <v>26000</v>
      </c>
      <c r="O262" s="38" t="s">
        <v>22</v>
      </c>
    </row>
    <row r="263" spans="1:15" ht="15" customHeight="1" x14ac:dyDescent="0.2">
      <c r="A263" s="24" t="s">
        <v>368</v>
      </c>
      <c r="B263" s="36" t="s">
        <v>2124</v>
      </c>
      <c r="C263" s="24">
        <f t="shared" si="8"/>
        <v>457</v>
      </c>
      <c r="D263" s="24">
        <v>1</v>
      </c>
      <c r="G263" s="37" t="s">
        <v>1569</v>
      </c>
      <c r="H263" s="42" t="s">
        <v>2698</v>
      </c>
      <c r="I263" s="46">
        <v>331</v>
      </c>
      <c r="J263" s="46">
        <v>1111</v>
      </c>
      <c r="K263" s="24" t="s">
        <v>21</v>
      </c>
      <c r="L263" s="24">
        <v>1</v>
      </c>
      <c r="M263" s="39">
        <v>26000</v>
      </c>
      <c r="N263" s="39">
        <f t="shared" ref="N263:N326" si="9">L263*M263</f>
        <v>26000</v>
      </c>
      <c r="O263" s="38" t="s">
        <v>22</v>
      </c>
    </row>
    <row r="264" spans="1:15" ht="15" customHeight="1" x14ac:dyDescent="0.2">
      <c r="A264" s="24" t="s">
        <v>368</v>
      </c>
      <c r="B264" s="36" t="s">
        <v>2124</v>
      </c>
      <c r="C264" s="24">
        <f t="shared" si="8"/>
        <v>458</v>
      </c>
      <c r="D264" s="24">
        <v>1</v>
      </c>
      <c r="G264" s="37" t="s">
        <v>1569</v>
      </c>
      <c r="H264" s="42" t="s">
        <v>2699</v>
      </c>
      <c r="I264" s="46">
        <v>331</v>
      </c>
      <c r="J264" s="46">
        <v>1111</v>
      </c>
      <c r="K264" s="24" t="s">
        <v>21</v>
      </c>
      <c r="L264" s="24">
        <v>1</v>
      </c>
      <c r="M264" s="39">
        <v>74000</v>
      </c>
      <c r="N264" s="39">
        <f t="shared" si="9"/>
        <v>74000</v>
      </c>
      <c r="O264" s="38" t="s">
        <v>22</v>
      </c>
    </row>
    <row r="265" spans="1:15" ht="15" customHeight="1" x14ac:dyDescent="0.2">
      <c r="A265" s="24" t="s">
        <v>368</v>
      </c>
      <c r="B265" s="36" t="s">
        <v>2124</v>
      </c>
      <c r="C265" s="24">
        <f t="shared" si="8"/>
        <v>459</v>
      </c>
      <c r="D265" s="24">
        <v>1</v>
      </c>
      <c r="G265" s="37" t="s">
        <v>1569</v>
      </c>
      <c r="H265" s="42" t="s">
        <v>2700</v>
      </c>
      <c r="I265" s="46">
        <v>331</v>
      </c>
      <c r="J265" s="46">
        <v>1111</v>
      </c>
      <c r="K265" s="24" t="s">
        <v>21</v>
      </c>
      <c r="L265" s="24">
        <v>1</v>
      </c>
      <c r="M265" s="39">
        <v>74000</v>
      </c>
      <c r="N265" s="39">
        <f t="shared" si="9"/>
        <v>74000</v>
      </c>
      <c r="O265" s="38" t="s">
        <v>22</v>
      </c>
    </row>
    <row r="266" spans="1:15" ht="15" customHeight="1" x14ac:dyDescent="0.2">
      <c r="A266" s="24" t="s">
        <v>368</v>
      </c>
      <c r="B266" s="36" t="s">
        <v>1415</v>
      </c>
      <c r="C266" s="24">
        <f t="shared" si="8"/>
        <v>460</v>
      </c>
      <c r="D266" s="24">
        <v>1</v>
      </c>
      <c r="G266" s="37" t="s">
        <v>1569</v>
      </c>
      <c r="H266" s="42" t="s">
        <v>2701</v>
      </c>
      <c r="I266" s="46">
        <v>331</v>
      </c>
      <c r="J266" s="46">
        <v>1111</v>
      </c>
      <c r="K266" s="24" t="s">
        <v>21</v>
      </c>
      <c r="L266" s="24">
        <v>1</v>
      </c>
      <c r="M266" s="39">
        <v>74000</v>
      </c>
      <c r="N266" s="39">
        <f t="shared" si="9"/>
        <v>74000</v>
      </c>
      <c r="O266" s="38" t="s">
        <v>22</v>
      </c>
    </row>
    <row r="267" spans="1:15" ht="15" customHeight="1" x14ac:dyDescent="0.2">
      <c r="A267" s="24" t="s">
        <v>368</v>
      </c>
      <c r="B267" s="36" t="s">
        <v>1415</v>
      </c>
      <c r="C267" s="24">
        <f t="shared" si="8"/>
        <v>461</v>
      </c>
      <c r="D267" s="24">
        <v>1</v>
      </c>
      <c r="G267" s="37" t="s">
        <v>1569</v>
      </c>
      <c r="H267" s="42" t="s">
        <v>2702</v>
      </c>
      <c r="I267" s="46">
        <v>331</v>
      </c>
      <c r="J267" s="46">
        <v>1111</v>
      </c>
      <c r="K267" s="24" t="s">
        <v>21</v>
      </c>
      <c r="L267" s="24">
        <v>1</v>
      </c>
      <c r="M267" s="39">
        <v>74000</v>
      </c>
      <c r="N267" s="39">
        <f t="shared" si="9"/>
        <v>74000</v>
      </c>
      <c r="O267" s="38" t="s">
        <v>22</v>
      </c>
    </row>
    <row r="268" spans="1:15" ht="15" customHeight="1" x14ac:dyDescent="0.2">
      <c r="A268" s="24" t="s">
        <v>368</v>
      </c>
      <c r="B268" s="36" t="s">
        <v>1415</v>
      </c>
      <c r="C268" s="24">
        <f t="shared" si="8"/>
        <v>462</v>
      </c>
      <c r="D268" s="24">
        <v>1</v>
      </c>
      <c r="G268" s="37" t="s">
        <v>1569</v>
      </c>
      <c r="H268" s="42" t="s">
        <v>2703</v>
      </c>
      <c r="I268" s="46">
        <v>331</v>
      </c>
      <c r="J268" s="46">
        <v>1111</v>
      </c>
      <c r="K268" s="24" t="s">
        <v>21</v>
      </c>
      <c r="L268" s="24">
        <v>1</v>
      </c>
      <c r="M268" s="39">
        <v>74000</v>
      </c>
      <c r="N268" s="39">
        <f t="shared" si="9"/>
        <v>74000</v>
      </c>
      <c r="O268" s="38" t="s">
        <v>22</v>
      </c>
    </row>
    <row r="269" spans="1:15" ht="15" customHeight="1" x14ac:dyDescent="0.2">
      <c r="A269" s="24" t="s">
        <v>368</v>
      </c>
      <c r="B269" s="36" t="s">
        <v>1415</v>
      </c>
      <c r="C269" s="24">
        <f t="shared" si="8"/>
        <v>463</v>
      </c>
      <c r="D269" s="24">
        <v>1</v>
      </c>
      <c r="G269" s="37" t="s">
        <v>1569</v>
      </c>
      <c r="H269" s="42" t="s">
        <v>2704</v>
      </c>
      <c r="I269" s="46">
        <v>331</v>
      </c>
      <c r="J269" s="46">
        <v>1111</v>
      </c>
      <c r="K269" s="24" t="s">
        <v>21</v>
      </c>
      <c r="L269" s="24">
        <v>1</v>
      </c>
      <c r="M269" s="39">
        <v>74000</v>
      </c>
      <c r="N269" s="39">
        <f t="shared" si="9"/>
        <v>74000</v>
      </c>
      <c r="O269" s="38" t="s">
        <v>22</v>
      </c>
    </row>
    <row r="270" spans="1:15" ht="15" customHeight="1" x14ac:dyDescent="0.2">
      <c r="A270" s="24" t="s">
        <v>368</v>
      </c>
      <c r="B270" s="36" t="s">
        <v>1415</v>
      </c>
      <c r="C270" s="24">
        <f t="shared" si="8"/>
        <v>464</v>
      </c>
      <c r="D270" s="24">
        <v>1</v>
      </c>
      <c r="G270" s="37" t="s">
        <v>1569</v>
      </c>
      <c r="H270" s="42" t="s">
        <v>2705</v>
      </c>
      <c r="I270" s="46">
        <v>331</v>
      </c>
      <c r="J270" s="46">
        <v>1111</v>
      </c>
      <c r="K270" s="24" t="s">
        <v>21</v>
      </c>
      <c r="L270" s="24">
        <v>1</v>
      </c>
      <c r="M270" s="39">
        <v>57000</v>
      </c>
      <c r="N270" s="39">
        <f t="shared" si="9"/>
        <v>57000</v>
      </c>
      <c r="O270" s="38" t="s">
        <v>22</v>
      </c>
    </row>
    <row r="271" spans="1:15" ht="15" customHeight="1" x14ac:dyDescent="0.2">
      <c r="A271" s="24" t="s">
        <v>368</v>
      </c>
      <c r="B271" s="36" t="s">
        <v>1415</v>
      </c>
      <c r="C271" s="24">
        <f t="shared" si="8"/>
        <v>465</v>
      </c>
      <c r="D271" s="24">
        <v>1</v>
      </c>
      <c r="G271" s="37" t="s">
        <v>1569</v>
      </c>
      <c r="H271" s="42" t="s">
        <v>2706</v>
      </c>
      <c r="I271" s="46">
        <v>331</v>
      </c>
      <c r="J271" s="46">
        <v>1111</v>
      </c>
      <c r="K271" s="24" t="s">
        <v>21</v>
      </c>
      <c r="L271" s="24">
        <v>1</v>
      </c>
      <c r="M271" s="39">
        <v>74000</v>
      </c>
      <c r="N271" s="39">
        <f t="shared" si="9"/>
        <v>74000</v>
      </c>
      <c r="O271" s="38" t="s">
        <v>22</v>
      </c>
    </row>
    <row r="272" spans="1:15" ht="15" customHeight="1" x14ac:dyDescent="0.2">
      <c r="A272" s="24" t="s">
        <v>368</v>
      </c>
      <c r="B272" s="36" t="s">
        <v>1415</v>
      </c>
      <c r="C272" s="24">
        <f t="shared" si="8"/>
        <v>466</v>
      </c>
      <c r="D272" s="24">
        <v>1</v>
      </c>
      <c r="G272" s="37" t="s">
        <v>1569</v>
      </c>
      <c r="H272" s="42" t="s">
        <v>2707</v>
      </c>
      <c r="I272" s="46">
        <v>331</v>
      </c>
      <c r="J272" s="46">
        <v>1111</v>
      </c>
      <c r="K272" s="24" t="s">
        <v>21</v>
      </c>
      <c r="L272" s="24">
        <v>1</v>
      </c>
      <c r="M272" s="39">
        <v>57000</v>
      </c>
      <c r="N272" s="39">
        <f t="shared" si="9"/>
        <v>57000</v>
      </c>
      <c r="O272" s="38" t="s">
        <v>22</v>
      </c>
    </row>
    <row r="273" spans="1:15" ht="15" customHeight="1" x14ac:dyDescent="0.2">
      <c r="A273" s="24" t="s">
        <v>368</v>
      </c>
      <c r="B273" s="36" t="s">
        <v>1415</v>
      </c>
      <c r="C273" s="24">
        <f t="shared" si="8"/>
        <v>467</v>
      </c>
      <c r="D273" s="24">
        <v>1</v>
      </c>
      <c r="G273" s="37" t="s">
        <v>1569</v>
      </c>
      <c r="H273" s="42" t="s">
        <v>2708</v>
      </c>
      <c r="I273" s="46">
        <v>331</v>
      </c>
      <c r="J273" s="46">
        <v>1111</v>
      </c>
      <c r="K273" s="24" t="s">
        <v>21</v>
      </c>
      <c r="L273" s="24">
        <v>1</v>
      </c>
      <c r="M273" s="39">
        <v>14000</v>
      </c>
      <c r="N273" s="39">
        <f t="shared" si="9"/>
        <v>14000</v>
      </c>
      <c r="O273" s="38" t="s">
        <v>22</v>
      </c>
    </row>
    <row r="274" spans="1:15" ht="15" customHeight="1" x14ac:dyDescent="0.2">
      <c r="A274" s="24" t="s">
        <v>368</v>
      </c>
      <c r="B274" s="36" t="s">
        <v>1415</v>
      </c>
      <c r="C274" s="24">
        <f t="shared" si="8"/>
        <v>468</v>
      </c>
      <c r="D274" s="24">
        <v>1</v>
      </c>
      <c r="G274" s="37" t="s">
        <v>1569</v>
      </c>
      <c r="H274" s="42" t="s">
        <v>2709</v>
      </c>
      <c r="I274" s="46">
        <v>331</v>
      </c>
      <c r="J274" s="46">
        <v>1111</v>
      </c>
      <c r="K274" s="24" t="s">
        <v>21</v>
      </c>
      <c r="L274" s="24">
        <v>1</v>
      </c>
      <c r="M274" s="39">
        <v>74000</v>
      </c>
      <c r="N274" s="39">
        <f t="shared" si="9"/>
        <v>74000</v>
      </c>
      <c r="O274" s="38" t="s">
        <v>22</v>
      </c>
    </row>
    <row r="275" spans="1:15" ht="15" customHeight="1" x14ac:dyDescent="0.2">
      <c r="A275" s="24" t="s">
        <v>368</v>
      </c>
      <c r="B275" s="36" t="s">
        <v>1415</v>
      </c>
      <c r="C275" s="24">
        <f t="shared" si="8"/>
        <v>469</v>
      </c>
      <c r="D275" s="24">
        <v>1</v>
      </c>
      <c r="G275" s="37" t="s">
        <v>1569</v>
      </c>
      <c r="H275" s="42" t="s">
        <v>2710</v>
      </c>
      <c r="I275" s="46">
        <v>331</v>
      </c>
      <c r="J275" s="46">
        <v>1111</v>
      </c>
      <c r="K275" s="24" t="s">
        <v>21</v>
      </c>
      <c r="L275" s="24">
        <v>1</v>
      </c>
      <c r="M275" s="39">
        <v>21000</v>
      </c>
      <c r="N275" s="39">
        <f t="shared" si="9"/>
        <v>21000</v>
      </c>
      <c r="O275" s="38" t="s">
        <v>22</v>
      </c>
    </row>
    <row r="276" spans="1:15" ht="15" customHeight="1" x14ac:dyDescent="0.2">
      <c r="A276" s="24" t="s">
        <v>368</v>
      </c>
      <c r="B276" s="36" t="s">
        <v>1415</v>
      </c>
      <c r="C276" s="24">
        <f t="shared" si="8"/>
        <v>470</v>
      </c>
      <c r="D276" s="24">
        <v>1</v>
      </c>
      <c r="G276" s="37" t="s">
        <v>1569</v>
      </c>
      <c r="H276" s="42" t="s">
        <v>2711</v>
      </c>
      <c r="I276" s="46">
        <v>331</v>
      </c>
      <c r="J276" s="46">
        <v>1111</v>
      </c>
      <c r="K276" s="24" t="s">
        <v>21</v>
      </c>
      <c r="L276" s="24">
        <v>1</v>
      </c>
      <c r="M276" s="39">
        <v>57000</v>
      </c>
      <c r="N276" s="39">
        <f t="shared" si="9"/>
        <v>57000</v>
      </c>
      <c r="O276" s="38" t="s">
        <v>22</v>
      </c>
    </row>
    <row r="277" spans="1:15" ht="15" customHeight="1" x14ac:dyDescent="0.2">
      <c r="A277" s="24" t="s">
        <v>368</v>
      </c>
      <c r="B277" s="36" t="s">
        <v>1415</v>
      </c>
      <c r="C277" s="24">
        <f t="shared" si="8"/>
        <v>471</v>
      </c>
      <c r="D277" s="24">
        <v>1</v>
      </c>
      <c r="G277" s="37" t="s">
        <v>1569</v>
      </c>
      <c r="H277" s="42" t="s">
        <v>2712</v>
      </c>
      <c r="I277" s="46">
        <v>331</v>
      </c>
      <c r="J277" s="46">
        <v>1111</v>
      </c>
      <c r="K277" s="24" t="s">
        <v>21</v>
      </c>
      <c r="L277" s="24">
        <v>1</v>
      </c>
      <c r="M277" s="39">
        <v>14000</v>
      </c>
      <c r="N277" s="39">
        <f t="shared" si="9"/>
        <v>14000</v>
      </c>
      <c r="O277" s="38" t="s">
        <v>22</v>
      </c>
    </row>
    <row r="278" spans="1:15" ht="15" customHeight="1" x14ac:dyDescent="0.2">
      <c r="A278" s="24" t="s">
        <v>368</v>
      </c>
      <c r="B278" s="36" t="s">
        <v>1415</v>
      </c>
      <c r="C278" s="24">
        <f t="shared" si="8"/>
        <v>472</v>
      </c>
      <c r="D278" s="24">
        <v>1</v>
      </c>
      <c r="G278" s="37" t="s">
        <v>1569</v>
      </c>
      <c r="H278" s="42" t="s">
        <v>2713</v>
      </c>
      <c r="I278" s="46">
        <v>331</v>
      </c>
      <c r="J278" s="46">
        <v>1111</v>
      </c>
      <c r="K278" s="24" t="s">
        <v>21</v>
      </c>
      <c r="L278" s="24">
        <v>1</v>
      </c>
      <c r="M278" s="39">
        <v>14000</v>
      </c>
      <c r="N278" s="39">
        <f t="shared" si="9"/>
        <v>14000</v>
      </c>
      <c r="O278" s="38" t="s">
        <v>22</v>
      </c>
    </row>
    <row r="279" spans="1:15" ht="15" customHeight="1" x14ac:dyDescent="0.2">
      <c r="A279" s="24" t="s">
        <v>368</v>
      </c>
      <c r="B279" s="36" t="s">
        <v>1415</v>
      </c>
      <c r="C279" s="24">
        <f t="shared" si="8"/>
        <v>473</v>
      </c>
      <c r="D279" s="24">
        <v>1</v>
      </c>
      <c r="G279" s="37" t="s">
        <v>1569</v>
      </c>
      <c r="H279" s="42" t="s">
        <v>2714</v>
      </c>
      <c r="I279" s="46">
        <v>331</v>
      </c>
      <c r="J279" s="46">
        <v>1111</v>
      </c>
      <c r="K279" s="24" t="s">
        <v>21</v>
      </c>
      <c r="L279" s="24">
        <v>1</v>
      </c>
      <c r="M279" s="39">
        <v>74000</v>
      </c>
      <c r="N279" s="39">
        <f t="shared" si="9"/>
        <v>74000</v>
      </c>
      <c r="O279" s="38" t="s">
        <v>22</v>
      </c>
    </row>
    <row r="280" spans="1:15" ht="15" customHeight="1" x14ac:dyDescent="0.2">
      <c r="A280" s="24" t="s">
        <v>368</v>
      </c>
      <c r="B280" s="36" t="s">
        <v>1415</v>
      </c>
      <c r="C280" s="24">
        <f t="shared" si="8"/>
        <v>474</v>
      </c>
      <c r="D280" s="24">
        <v>1</v>
      </c>
      <c r="G280" s="37" t="s">
        <v>1569</v>
      </c>
      <c r="H280" s="42" t="s">
        <v>2715</v>
      </c>
      <c r="I280" s="46">
        <v>331</v>
      </c>
      <c r="J280" s="46">
        <v>1111</v>
      </c>
      <c r="K280" s="24" t="s">
        <v>21</v>
      </c>
      <c r="L280" s="24">
        <v>1</v>
      </c>
      <c r="M280" s="39">
        <v>21000</v>
      </c>
      <c r="N280" s="39">
        <f t="shared" si="9"/>
        <v>21000</v>
      </c>
      <c r="O280" s="38" t="s">
        <v>22</v>
      </c>
    </row>
    <row r="281" spans="1:15" ht="15" customHeight="1" x14ac:dyDescent="0.2">
      <c r="A281" s="24" t="s">
        <v>368</v>
      </c>
      <c r="B281" s="36" t="s">
        <v>1415</v>
      </c>
      <c r="C281" s="24">
        <f t="shared" si="8"/>
        <v>475</v>
      </c>
      <c r="D281" s="24">
        <v>1</v>
      </c>
      <c r="G281" s="37" t="s">
        <v>1569</v>
      </c>
      <c r="H281" s="42" t="s">
        <v>2716</v>
      </c>
      <c r="I281" s="46">
        <v>331</v>
      </c>
      <c r="J281" s="46">
        <v>1111</v>
      </c>
      <c r="K281" s="24" t="s">
        <v>21</v>
      </c>
      <c r="L281" s="24">
        <v>1</v>
      </c>
      <c r="M281" s="39">
        <v>74000</v>
      </c>
      <c r="N281" s="39">
        <f t="shared" si="9"/>
        <v>74000</v>
      </c>
      <c r="O281" s="38" t="s">
        <v>22</v>
      </c>
    </row>
    <row r="282" spans="1:15" ht="15" customHeight="1" x14ac:dyDescent="0.2">
      <c r="A282" s="24" t="s">
        <v>368</v>
      </c>
      <c r="B282" s="36" t="s">
        <v>1534</v>
      </c>
      <c r="C282" s="24">
        <f t="shared" si="8"/>
        <v>476</v>
      </c>
      <c r="D282" s="24">
        <v>1</v>
      </c>
      <c r="G282" s="37" t="s">
        <v>1569</v>
      </c>
      <c r="H282" s="42" t="s">
        <v>2717</v>
      </c>
      <c r="I282" s="46">
        <v>331</v>
      </c>
      <c r="J282" s="46">
        <v>1111</v>
      </c>
      <c r="K282" s="24" t="s">
        <v>21</v>
      </c>
      <c r="L282" s="24">
        <v>1</v>
      </c>
      <c r="M282" s="39">
        <v>21000</v>
      </c>
      <c r="N282" s="39">
        <f t="shared" si="9"/>
        <v>21000</v>
      </c>
      <c r="O282" s="38" t="s">
        <v>22</v>
      </c>
    </row>
    <row r="283" spans="1:15" ht="15" customHeight="1" x14ac:dyDescent="0.2">
      <c r="A283" s="24" t="s">
        <v>368</v>
      </c>
      <c r="B283" s="36" t="s">
        <v>1534</v>
      </c>
      <c r="C283" s="24">
        <f t="shared" si="8"/>
        <v>477</v>
      </c>
      <c r="D283" s="24">
        <v>1</v>
      </c>
      <c r="G283" s="37" t="s">
        <v>1569</v>
      </c>
      <c r="H283" s="42" t="s">
        <v>2718</v>
      </c>
      <c r="I283" s="46">
        <v>331</v>
      </c>
      <c r="J283" s="46">
        <v>1111</v>
      </c>
      <c r="K283" s="24" t="s">
        <v>21</v>
      </c>
      <c r="L283" s="24">
        <v>1</v>
      </c>
      <c r="M283" s="39">
        <v>74000</v>
      </c>
      <c r="N283" s="39">
        <f t="shared" si="9"/>
        <v>74000</v>
      </c>
      <c r="O283" s="38" t="s">
        <v>22</v>
      </c>
    </row>
    <row r="284" spans="1:15" ht="15" customHeight="1" x14ac:dyDescent="0.2">
      <c r="A284" s="24" t="s">
        <v>368</v>
      </c>
      <c r="B284" s="36" t="s">
        <v>1534</v>
      </c>
      <c r="C284" s="24">
        <f t="shared" si="8"/>
        <v>478</v>
      </c>
      <c r="D284" s="24">
        <v>1</v>
      </c>
      <c r="G284" s="37" t="s">
        <v>1569</v>
      </c>
      <c r="H284" s="42" t="s">
        <v>2719</v>
      </c>
      <c r="I284" s="46">
        <v>331</v>
      </c>
      <c r="J284" s="46">
        <v>1111</v>
      </c>
      <c r="K284" s="24" t="s">
        <v>21</v>
      </c>
      <c r="L284" s="24">
        <v>1</v>
      </c>
      <c r="M284" s="39">
        <v>21000</v>
      </c>
      <c r="N284" s="39">
        <f t="shared" si="9"/>
        <v>21000</v>
      </c>
      <c r="O284" s="38" t="s">
        <v>22</v>
      </c>
    </row>
    <row r="285" spans="1:15" ht="15" customHeight="1" x14ac:dyDescent="0.2">
      <c r="A285" s="24" t="s">
        <v>368</v>
      </c>
      <c r="B285" s="36" t="s">
        <v>1534</v>
      </c>
      <c r="C285" s="24">
        <f t="shared" si="8"/>
        <v>479</v>
      </c>
      <c r="D285" s="24">
        <v>1</v>
      </c>
      <c r="G285" s="37" t="s">
        <v>1569</v>
      </c>
      <c r="H285" s="42" t="s">
        <v>2720</v>
      </c>
      <c r="I285" s="46">
        <v>331</v>
      </c>
      <c r="J285" s="46">
        <v>1111</v>
      </c>
      <c r="K285" s="24" t="s">
        <v>21</v>
      </c>
      <c r="L285" s="24">
        <v>1</v>
      </c>
      <c r="M285" s="39">
        <v>74000</v>
      </c>
      <c r="N285" s="39">
        <f t="shared" si="9"/>
        <v>74000</v>
      </c>
      <c r="O285" s="38" t="s">
        <v>22</v>
      </c>
    </row>
    <row r="286" spans="1:15" ht="15" customHeight="1" x14ac:dyDescent="0.2">
      <c r="A286" s="24" t="s">
        <v>368</v>
      </c>
      <c r="B286" s="36" t="s">
        <v>1534</v>
      </c>
      <c r="C286" s="24">
        <f t="shared" si="8"/>
        <v>480</v>
      </c>
      <c r="D286" s="24">
        <v>1</v>
      </c>
      <c r="G286" s="37" t="s">
        <v>1569</v>
      </c>
      <c r="H286" s="42" t="s">
        <v>2721</v>
      </c>
      <c r="I286" s="46">
        <v>331</v>
      </c>
      <c r="J286" s="46">
        <v>1111</v>
      </c>
      <c r="K286" s="24" t="s">
        <v>21</v>
      </c>
      <c r="L286" s="24">
        <v>1</v>
      </c>
      <c r="M286" s="39">
        <v>21000</v>
      </c>
      <c r="N286" s="39">
        <f t="shared" si="9"/>
        <v>21000</v>
      </c>
      <c r="O286" s="38" t="s">
        <v>22</v>
      </c>
    </row>
    <row r="287" spans="1:15" ht="15" customHeight="1" x14ac:dyDescent="0.2">
      <c r="A287" s="24" t="s">
        <v>368</v>
      </c>
      <c r="B287" s="36" t="s">
        <v>1534</v>
      </c>
      <c r="C287" s="24">
        <f t="shared" si="8"/>
        <v>481</v>
      </c>
      <c r="D287" s="24">
        <v>1</v>
      </c>
      <c r="G287" s="37" t="s">
        <v>1569</v>
      </c>
      <c r="H287" s="42" t="s">
        <v>2722</v>
      </c>
      <c r="I287" s="46">
        <v>331</v>
      </c>
      <c r="J287" s="46">
        <v>1111</v>
      </c>
      <c r="K287" s="24" t="s">
        <v>21</v>
      </c>
      <c r="L287" s="24">
        <v>1</v>
      </c>
      <c r="M287" s="39">
        <v>21000</v>
      </c>
      <c r="N287" s="39">
        <f t="shared" si="9"/>
        <v>21000</v>
      </c>
      <c r="O287" s="38" t="s">
        <v>22</v>
      </c>
    </row>
    <row r="288" spans="1:15" ht="15" customHeight="1" x14ac:dyDescent="0.2">
      <c r="A288" s="24" t="s">
        <v>368</v>
      </c>
      <c r="B288" s="36" t="s">
        <v>1534</v>
      </c>
      <c r="C288" s="24">
        <f t="shared" si="8"/>
        <v>482</v>
      </c>
      <c r="D288" s="24">
        <v>1</v>
      </c>
      <c r="G288" s="37" t="s">
        <v>1569</v>
      </c>
      <c r="H288" s="42" t="s">
        <v>2723</v>
      </c>
      <c r="I288" s="46">
        <v>331</v>
      </c>
      <c r="J288" s="46">
        <v>1111</v>
      </c>
      <c r="K288" s="24" t="s">
        <v>21</v>
      </c>
      <c r="L288" s="24">
        <v>1</v>
      </c>
      <c r="M288" s="39">
        <v>21000</v>
      </c>
      <c r="N288" s="39">
        <f t="shared" si="9"/>
        <v>21000</v>
      </c>
      <c r="O288" s="38" t="s">
        <v>22</v>
      </c>
    </row>
    <row r="289" spans="1:15" ht="15" customHeight="1" x14ac:dyDescent="0.2">
      <c r="A289" s="24" t="s">
        <v>368</v>
      </c>
      <c r="B289" s="36" t="s">
        <v>2047</v>
      </c>
      <c r="C289" s="24">
        <f t="shared" si="8"/>
        <v>483</v>
      </c>
      <c r="D289" s="24">
        <v>1</v>
      </c>
      <c r="G289" s="37" t="s">
        <v>1569</v>
      </c>
      <c r="H289" s="42" t="s">
        <v>2724</v>
      </c>
      <c r="I289" s="46">
        <v>331</v>
      </c>
      <c r="J289" s="46">
        <v>1111</v>
      </c>
      <c r="K289" s="24" t="s">
        <v>21</v>
      </c>
      <c r="L289" s="24">
        <v>1</v>
      </c>
      <c r="M289" s="39">
        <v>134000</v>
      </c>
      <c r="N289" s="39">
        <f t="shared" si="9"/>
        <v>134000</v>
      </c>
      <c r="O289" s="38" t="s">
        <v>22</v>
      </c>
    </row>
    <row r="290" spans="1:15" ht="15" customHeight="1" x14ac:dyDescent="0.2">
      <c r="A290" s="24" t="s">
        <v>368</v>
      </c>
      <c r="B290" s="36" t="s">
        <v>2047</v>
      </c>
      <c r="C290" s="24">
        <f t="shared" si="8"/>
        <v>484</v>
      </c>
      <c r="D290" s="24">
        <v>1</v>
      </c>
      <c r="G290" s="37" t="s">
        <v>1569</v>
      </c>
      <c r="H290" s="42" t="s">
        <v>2725</v>
      </c>
      <c r="I290" s="46">
        <v>331</v>
      </c>
      <c r="J290" s="46">
        <v>1111</v>
      </c>
      <c r="K290" s="24" t="s">
        <v>21</v>
      </c>
      <c r="L290" s="24">
        <v>1</v>
      </c>
      <c r="M290" s="39">
        <v>110000</v>
      </c>
      <c r="N290" s="39">
        <f t="shared" si="9"/>
        <v>110000</v>
      </c>
      <c r="O290" s="38" t="s">
        <v>22</v>
      </c>
    </row>
    <row r="291" spans="1:15" ht="15" customHeight="1" x14ac:dyDescent="0.2">
      <c r="A291" s="24" t="s">
        <v>368</v>
      </c>
      <c r="B291" s="36" t="s">
        <v>2047</v>
      </c>
      <c r="C291" s="24">
        <f t="shared" si="8"/>
        <v>485</v>
      </c>
      <c r="D291" s="24">
        <v>1</v>
      </c>
      <c r="G291" s="37" t="s">
        <v>1569</v>
      </c>
      <c r="H291" s="42" t="s">
        <v>2726</v>
      </c>
      <c r="I291" s="46">
        <v>331</v>
      </c>
      <c r="J291" s="46">
        <v>1111</v>
      </c>
      <c r="K291" s="24" t="s">
        <v>21</v>
      </c>
      <c r="L291" s="24">
        <v>1</v>
      </c>
      <c r="M291" s="39">
        <v>89000</v>
      </c>
      <c r="N291" s="39">
        <f t="shared" si="9"/>
        <v>89000</v>
      </c>
      <c r="O291" s="38" t="s">
        <v>22</v>
      </c>
    </row>
    <row r="292" spans="1:15" ht="15" customHeight="1" x14ac:dyDescent="0.2">
      <c r="A292" s="24" t="s">
        <v>368</v>
      </c>
      <c r="B292" s="36" t="s">
        <v>2339</v>
      </c>
      <c r="C292" s="24">
        <f t="shared" si="8"/>
        <v>486</v>
      </c>
      <c r="D292" s="24">
        <v>1</v>
      </c>
      <c r="G292" s="37" t="s">
        <v>1569</v>
      </c>
      <c r="H292" s="42" t="s">
        <v>2727</v>
      </c>
      <c r="I292" s="46">
        <v>331</v>
      </c>
      <c r="J292" s="46">
        <v>1111</v>
      </c>
      <c r="K292" s="24" t="s">
        <v>21</v>
      </c>
      <c r="L292" s="24">
        <v>1</v>
      </c>
      <c r="M292" s="39">
        <v>34000</v>
      </c>
      <c r="N292" s="39">
        <f t="shared" si="9"/>
        <v>34000</v>
      </c>
      <c r="O292" s="38" t="s">
        <v>22</v>
      </c>
    </row>
    <row r="293" spans="1:15" ht="15" customHeight="1" x14ac:dyDescent="0.2">
      <c r="A293" s="24" t="s">
        <v>368</v>
      </c>
      <c r="B293" s="36" t="s">
        <v>2339</v>
      </c>
      <c r="C293" s="24">
        <f t="shared" si="8"/>
        <v>487</v>
      </c>
      <c r="D293" s="24">
        <v>1</v>
      </c>
      <c r="G293" s="37" t="s">
        <v>1569</v>
      </c>
      <c r="H293" s="42" t="s">
        <v>2728</v>
      </c>
      <c r="I293" s="46">
        <v>331</v>
      </c>
      <c r="J293" s="46">
        <v>1111</v>
      </c>
      <c r="K293" s="24" t="s">
        <v>21</v>
      </c>
      <c r="L293" s="24">
        <v>1</v>
      </c>
      <c r="M293" s="39">
        <v>38000</v>
      </c>
      <c r="N293" s="39">
        <f t="shared" si="9"/>
        <v>38000</v>
      </c>
      <c r="O293" s="38" t="s">
        <v>22</v>
      </c>
    </row>
    <row r="294" spans="1:15" ht="15" customHeight="1" x14ac:dyDescent="0.2">
      <c r="A294" s="24" t="s">
        <v>368</v>
      </c>
      <c r="B294" s="36" t="s">
        <v>2443</v>
      </c>
      <c r="C294" s="24">
        <f t="shared" si="8"/>
        <v>488</v>
      </c>
      <c r="D294" s="24">
        <v>1</v>
      </c>
      <c r="G294" s="37" t="s">
        <v>1569</v>
      </c>
      <c r="H294" s="42" t="s">
        <v>2729</v>
      </c>
      <c r="I294" s="46">
        <v>331</v>
      </c>
      <c r="J294" s="46">
        <v>1111</v>
      </c>
      <c r="K294" s="24" t="s">
        <v>21</v>
      </c>
      <c r="L294" s="24">
        <v>1</v>
      </c>
      <c r="M294" s="39">
        <v>33000</v>
      </c>
      <c r="N294" s="39">
        <f t="shared" si="9"/>
        <v>33000</v>
      </c>
      <c r="O294" s="38" t="s">
        <v>22</v>
      </c>
    </row>
    <row r="295" spans="1:15" ht="15" customHeight="1" x14ac:dyDescent="0.2">
      <c r="A295" s="24" t="s">
        <v>368</v>
      </c>
      <c r="B295" s="36" t="s">
        <v>2443</v>
      </c>
      <c r="C295" s="24">
        <f t="shared" si="8"/>
        <v>489</v>
      </c>
      <c r="D295" s="24">
        <v>1</v>
      </c>
      <c r="G295" s="37" t="s">
        <v>1569</v>
      </c>
      <c r="H295" s="42" t="s">
        <v>2730</v>
      </c>
      <c r="I295" s="46">
        <v>331</v>
      </c>
      <c r="J295" s="46">
        <v>1111</v>
      </c>
      <c r="K295" s="24" t="s">
        <v>21</v>
      </c>
      <c r="L295" s="24">
        <v>1</v>
      </c>
      <c r="M295" s="39">
        <v>27000</v>
      </c>
      <c r="N295" s="39">
        <f t="shared" si="9"/>
        <v>27000</v>
      </c>
      <c r="O295" s="38" t="s">
        <v>22</v>
      </c>
    </row>
    <row r="296" spans="1:15" ht="15" customHeight="1" x14ac:dyDescent="0.2">
      <c r="A296" s="24" t="s">
        <v>368</v>
      </c>
      <c r="B296" s="36" t="s">
        <v>2443</v>
      </c>
      <c r="C296" s="24">
        <f t="shared" si="8"/>
        <v>490</v>
      </c>
      <c r="D296" s="24">
        <v>1</v>
      </c>
      <c r="G296" s="37" t="s">
        <v>1569</v>
      </c>
      <c r="H296" s="42" t="s">
        <v>2731</v>
      </c>
      <c r="I296" s="46">
        <v>331</v>
      </c>
      <c r="J296" s="46">
        <v>1111</v>
      </c>
      <c r="K296" s="24" t="s">
        <v>21</v>
      </c>
      <c r="L296" s="24">
        <v>1</v>
      </c>
      <c r="M296" s="39">
        <v>21000</v>
      </c>
      <c r="N296" s="39">
        <f t="shared" si="9"/>
        <v>21000</v>
      </c>
      <c r="O296" s="38" t="s">
        <v>22</v>
      </c>
    </row>
    <row r="297" spans="1:15" ht="15" customHeight="1" x14ac:dyDescent="0.2">
      <c r="A297" s="24" t="s">
        <v>368</v>
      </c>
      <c r="B297" s="36" t="s">
        <v>2443</v>
      </c>
      <c r="C297" s="24">
        <f t="shared" si="8"/>
        <v>491</v>
      </c>
      <c r="D297" s="24">
        <v>1</v>
      </c>
      <c r="G297" s="37" t="s">
        <v>1569</v>
      </c>
      <c r="H297" s="42" t="s">
        <v>2732</v>
      </c>
      <c r="I297" s="46">
        <v>331</v>
      </c>
      <c r="J297" s="46">
        <v>1111</v>
      </c>
      <c r="K297" s="24" t="s">
        <v>21</v>
      </c>
      <c r="L297" s="24">
        <v>1</v>
      </c>
      <c r="M297" s="39">
        <v>13000</v>
      </c>
      <c r="N297" s="39">
        <f t="shared" si="9"/>
        <v>13000</v>
      </c>
      <c r="O297" s="38" t="s">
        <v>22</v>
      </c>
    </row>
    <row r="298" spans="1:15" ht="15" customHeight="1" x14ac:dyDescent="0.2">
      <c r="A298" s="24" t="s">
        <v>368</v>
      </c>
      <c r="B298" s="36" t="s">
        <v>1417</v>
      </c>
      <c r="C298" s="24">
        <f t="shared" si="8"/>
        <v>492</v>
      </c>
      <c r="D298" s="24">
        <v>1</v>
      </c>
      <c r="G298" s="37" t="s">
        <v>1569</v>
      </c>
      <c r="H298" s="42" t="s">
        <v>2733</v>
      </c>
      <c r="I298" s="46">
        <v>331</v>
      </c>
      <c r="J298" s="46">
        <v>1111</v>
      </c>
      <c r="K298" s="24" t="s">
        <v>21</v>
      </c>
      <c r="L298" s="24">
        <v>1</v>
      </c>
      <c r="M298" s="39">
        <v>49000</v>
      </c>
      <c r="N298" s="39">
        <f t="shared" si="9"/>
        <v>49000</v>
      </c>
      <c r="O298" s="38" t="s">
        <v>22</v>
      </c>
    </row>
    <row r="299" spans="1:15" ht="15" customHeight="1" x14ac:dyDescent="0.2">
      <c r="A299" s="24" t="s">
        <v>368</v>
      </c>
      <c r="B299" s="36" t="s">
        <v>1417</v>
      </c>
      <c r="C299" s="24">
        <f t="shared" si="8"/>
        <v>493</v>
      </c>
      <c r="D299" s="24">
        <v>1</v>
      </c>
      <c r="G299" s="37" t="s">
        <v>1569</v>
      </c>
      <c r="H299" s="42" t="s">
        <v>2734</v>
      </c>
      <c r="I299" s="46">
        <v>331</v>
      </c>
      <c r="J299" s="46">
        <v>1111</v>
      </c>
      <c r="K299" s="24" t="s">
        <v>21</v>
      </c>
      <c r="L299" s="24">
        <v>1</v>
      </c>
      <c r="M299" s="39">
        <v>13000</v>
      </c>
      <c r="N299" s="39">
        <f t="shared" si="9"/>
        <v>13000</v>
      </c>
      <c r="O299" s="38" t="s">
        <v>22</v>
      </c>
    </row>
    <row r="300" spans="1:15" ht="15" customHeight="1" x14ac:dyDescent="0.2">
      <c r="A300" s="24" t="s">
        <v>368</v>
      </c>
      <c r="B300" s="36" t="s">
        <v>2076</v>
      </c>
      <c r="C300" s="24">
        <f t="shared" si="8"/>
        <v>494</v>
      </c>
      <c r="D300" s="24">
        <v>1</v>
      </c>
      <c r="G300" s="37" t="s">
        <v>1569</v>
      </c>
      <c r="H300" s="42" t="s">
        <v>2735</v>
      </c>
      <c r="I300" s="46">
        <v>331</v>
      </c>
      <c r="J300" s="46">
        <v>1111</v>
      </c>
      <c r="K300" s="24" t="s">
        <v>21</v>
      </c>
      <c r="L300" s="24">
        <v>1</v>
      </c>
      <c r="M300" s="39">
        <v>26000</v>
      </c>
      <c r="N300" s="39">
        <f t="shared" si="9"/>
        <v>26000</v>
      </c>
      <c r="O300" s="38" t="s">
        <v>22</v>
      </c>
    </row>
    <row r="301" spans="1:15" ht="15" customHeight="1" x14ac:dyDescent="0.2">
      <c r="A301" s="24" t="s">
        <v>368</v>
      </c>
      <c r="B301" s="36" t="s">
        <v>2076</v>
      </c>
      <c r="C301" s="24">
        <f t="shared" si="8"/>
        <v>495</v>
      </c>
      <c r="D301" s="24">
        <v>1</v>
      </c>
      <c r="G301" s="37" t="s">
        <v>1569</v>
      </c>
      <c r="H301" s="42" t="s">
        <v>2736</v>
      </c>
      <c r="I301" s="46">
        <v>331</v>
      </c>
      <c r="J301" s="46">
        <v>1111</v>
      </c>
      <c r="K301" s="24" t="s">
        <v>21</v>
      </c>
      <c r="L301" s="24">
        <v>1</v>
      </c>
      <c r="M301" s="39">
        <v>78000</v>
      </c>
      <c r="N301" s="39">
        <f t="shared" si="9"/>
        <v>78000</v>
      </c>
      <c r="O301" s="38" t="s">
        <v>22</v>
      </c>
    </row>
    <row r="302" spans="1:15" ht="15" customHeight="1" x14ac:dyDescent="0.2">
      <c r="A302" s="24" t="s">
        <v>368</v>
      </c>
      <c r="B302" s="36" t="s">
        <v>2076</v>
      </c>
      <c r="C302" s="24">
        <f t="shared" si="8"/>
        <v>496</v>
      </c>
      <c r="D302" s="24">
        <v>1</v>
      </c>
      <c r="G302" s="37" t="s">
        <v>1569</v>
      </c>
      <c r="H302" s="42" t="s">
        <v>2737</v>
      </c>
      <c r="I302" s="46">
        <v>331</v>
      </c>
      <c r="J302" s="46">
        <v>1111</v>
      </c>
      <c r="K302" s="24" t="s">
        <v>21</v>
      </c>
      <c r="L302" s="24">
        <v>1</v>
      </c>
      <c r="M302" s="39">
        <v>19000</v>
      </c>
      <c r="N302" s="39">
        <f t="shared" si="9"/>
        <v>19000</v>
      </c>
      <c r="O302" s="38" t="s">
        <v>22</v>
      </c>
    </row>
    <row r="303" spans="1:15" ht="15" customHeight="1" x14ac:dyDescent="0.2">
      <c r="A303" s="24" t="s">
        <v>368</v>
      </c>
      <c r="B303" s="36" t="s">
        <v>2076</v>
      </c>
      <c r="C303" s="24">
        <f t="shared" si="8"/>
        <v>497</v>
      </c>
      <c r="D303" s="24">
        <v>1</v>
      </c>
      <c r="G303" s="37" t="s">
        <v>1569</v>
      </c>
      <c r="H303" s="42" t="s">
        <v>2738</v>
      </c>
      <c r="I303" s="46">
        <v>331</v>
      </c>
      <c r="J303" s="46">
        <v>1111</v>
      </c>
      <c r="K303" s="24" t="s">
        <v>21</v>
      </c>
      <c r="L303" s="24">
        <v>1</v>
      </c>
      <c r="M303" s="39">
        <v>81000</v>
      </c>
      <c r="N303" s="39">
        <f t="shared" si="9"/>
        <v>81000</v>
      </c>
      <c r="O303" s="38" t="s">
        <v>22</v>
      </c>
    </row>
    <row r="304" spans="1:15" ht="15" customHeight="1" x14ac:dyDescent="0.2">
      <c r="A304" s="24" t="s">
        <v>368</v>
      </c>
      <c r="B304" s="36" t="s">
        <v>1418</v>
      </c>
      <c r="C304" s="24">
        <f t="shared" si="8"/>
        <v>498</v>
      </c>
      <c r="D304" s="24">
        <v>1</v>
      </c>
      <c r="G304" s="37" t="s">
        <v>1569</v>
      </c>
      <c r="H304" s="42" t="s">
        <v>2739</v>
      </c>
      <c r="I304" s="46">
        <v>331</v>
      </c>
      <c r="J304" s="46">
        <v>1111</v>
      </c>
      <c r="K304" s="24" t="s">
        <v>21</v>
      </c>
      <c r="L304" s="24">
        <v>1</v>
      </c>
      <c r="M304" s="39">
        <v>138000</v>
      </c>
      <c r="N304" s="39">
        <f t="shared" si="9"/>
        <v>138000</v>
      </c>
      <c r="O304" s="38" t="s">
        <v>22</v>
      </c>
    </row>
    <row r="305" spans="1:15" ht="15" customHeight="1" x14ac:dyDescent="0.2">
      <c r="A305" s="24" t="s">
        <v>368</v>
      </c>
      <c r="B305" s="36" t="s">
        <v>1475</v>
      </c>
      <c r="C305" s="24">
        <f t="shared" si="8"/>
        <v>499</v>
      </c>
      <c r="D305" s="24">
        <v>1</v>
      </c>
      <c r="G305" s="37" t="s">
        <v>2449</v>
      </c>
      <c r="H305" s="42" t="s">
        <v>2740</v>
      </c>
      <c r="I305" s="46">
        <v>331</v>
      </c>
      <c r="J305" s="46">
        <v>1111</v>
      </c>
      <c r="K305" s="24" t="s">
        <v>21</v>
      </c>
      <c r="L305" s="24">
        <v>1</v>
      </c>
      <c r="M305" s="39">
        <v>241920</v>
      </c>
      <c r="N305" s="39">
        <f t="shared" si="9"/>
        <v>241920</v>
      </c>
      <c r="O305" s="38" t="s">
        <v>22</v>
      </c>
    </row>
    <row r="306" spans="1:15" ht="15" customHeight="1" x14ac:dyDescent="0.2">
      <c r="A306" s="24" t="s">
        <v>368</v>
      </c>
      <c r="B306" s="36" t="s">
        <v>2121</v>
      </c>
      <c r="C306" s="24">
        <f t="shared" si="8"/>
        <v>500</v>
      </c>
      <c r="D306" s="24">
        <v>1</v>
      </c>
      <c r="G306" s="37" t="s">
        <v>174</v>
      </c>
      <c r="H306" s="42" t="s">
        <v>2741</v>
      </c>
      <c r="I306" s="46">
        <v>331</v>
      </c>
      <c r="J306" s="46">
        <v>1111</v>
      </c>
      <c r="K306" s="24" t="s">
        <v>21</v>
      </c>
      <c r="L306" s="24">
        <v>1</v>
      </c>
      <c r="M306" s="39">
        <v>399600</v>
      </c>
      <c r="N306" s="39">
        <f t="shared" si="9"/>
        <v>399600</v>
      </c>
      <c r="O306" s="38" t="s">
        <v>22</v>
      </c>
    </row>
    <row r="307" spans="1:15" ht="15" customHeight="1" x14ac:dyDescent="0.2">
      <c r="A307" s="24" t="s">
        <v>368</v>
      </c>
      <c r="B307" s="36" t="s">
        <v>1412</v>
      </c>
      <c r="C307" s="24">
        <f t="shared" si="8"/>
        <v>501</v>
      </c>
      <c r="D307" s="24">
        <v>1</v>
      </c>
      <c r="G307" s="37" t="s">
        <v>1799</v>
      </c>
      <c r="H307" s="42" t="s">
        <v>2742</v>
      </c>
      <c r="I307" s="46">
        <v>331</v>
      </c>
      <c r="J307" s="46">
        <v>1111</v>
      </c>
      <c r="K307" s="24" t="s">
        <v>21</v>
      </c>
      <c r="L307" s="24">
        <v>1</v>
      </c>
      <c r="M307" s="39">
        <v>1322160</v>
      </c>
      <c r="N307" s="39">
        <f t="shared" si="9"/>
        <v>1322160</v>
      </c>
      <c r="O307" s="38" t="s">
        <v>22</v>
      </c>
    </row>
    <row r="308" spans="1:15" ht="15" customHeight="1" x14ac:dyDescent="0.2">
      <c r="A308" s="24" t="s">
        <v>368</v>
      </c>
      <c r="B308" s="36" t="s">
        <v>2046</v>
      </c>
      <c r="C308" s="24">
        <f t="shared" si="8"/>
        <v>502</v>
      </c>
      <c r="D308" s="24">
        <v>1</v>
      </c>
      <c r="G308" s="37" t="s">
        <v>2450</v>
      </c>
      <c r="H308" s="42" t="s">
        <v>2743</v>
      </c>
      <c r="I308" s="46">
        <v>331</v>
      </c>
      <c r="J308" s="46">
        <v>1111</v>
      </c>
      <c r="K308" s="24" t="s">
        <v>21</v>
      </c>
      <c r="L308" s="24">
        <v>1</v>
      </c>
      <c r="M308" s="39">
        <v>5020650</v>
      </c>
      <c r="N308" s="39">
        <f t="shared" si="9"/>
        <v>5020650</v>
      </c>
      <c r="O308" s="38" t="s">
        <v>22</v>
      </c>
    </row>
    <row r="309" spans="1:15" ht="15" customHeight="1" x14ac:dyDescent="0.2">
      <c r="A309" s="24" t="s">
        <v>368</v>
      </c>
      <c r="B309" s="36" t="s">
        <v>2047</v>
      </c>
      <c r="C309" s="24">
        <f t="shared" si="8"/>
        <v>503</v>
      </c>
      <c r="D309" s="24">
        <v>1</v>
      </c>
      <c r="G309" s="37" t="s">
        <v>1735</v>
      </c>
      <c r="H309" s="42" t="s">
        <v>2744</v>
      </c>
      <c r="I309" s="46">
        <v>331</v>
      </c>
      <c r="J309" s="46">
        <v>1111</v>
      </c>
      <c r="K309" s="24" t="s">
        <v>21</v>
      </c>
      <c r="L309" s="24">
        <v>1</v>
      </c>
      <c r="M309" s="39">
        <v>2075220</v>
      </c>
      <c r="N309" s="39">
        <f t="shared" si="9"/>
        <v>2075220</v>
      </c>
      <c r="O309" s="38" t="s">
        <v>22</v>
      </c>
    </row>
    <row r="310" spans="1:15" ht="15" customHeight="1" x14ac:dyDescent="0.2">
      <c r="A310" s="24" t="s">
        <v>368</v>
      </c>
      <c r="B310" s="36" t="s">
        <v>1420</v>
      </c>
      <c r="C310" s="24">
        <f t="shared" si="8"/>
        <v>504</v>
      </c>
      <c r="D310" s="24">
        <v>1</v>
      </c>
      <c r="G310" s="37" t="s">
        <v>158</v>
      </c>
      <c r="H310" s="42" t="s">
        <v>2745</v>
      </c>
      <c r="I310" s="46">
        <v>331</v>
      </c>
      <c r="J310" s="46">
        <v>1111</v>
      </c>
      <c r="K310" s="24" t="s">
        <v>21</v>
      </c>
      <c r="L310" s="24">
        <v>1</v>
      </c>
      <c r="M310" s="39">
        <v>3240000</v>
      </c>
      <c r="N310" s="39">
        <f t="shared" si="9"/>
        <v>3240000</v>
      </c>
      <c r="O310" s="38" t="s">
        <v>22</v>
      </c>
    </row>
    <row r="311" spans="1:15" ht="15" customHeight="1" x14ac:dyDescent="0.2">
      <c r="A311" s="24" t="s">
        <v>368</v>
      </c>
      <c r="B311" s="36" t="s">
        <v>2078</v>
      </c>
      <c r="C311" s="24">
        <f t="shared" si="8"/>
        <v>505</v>
      </c>
      <c r="D311" s="24">
        <v>1</v>
      </c>
      <c r="G311" s="37" t="s">
        <v>2451</v>
      </c>
      <c r="H311" s="42" t="s">
        <v>2746</v>
      </c>
      <c r="I311" s="46">
        <v>331</v>
      </c>
      <c r="J311" s="46">
        <v>1111</v>
      </c>
      <c r="K311" s="24" t="s">
        <v>21</v>
      </c>
      <c r="L311" s="24">
        <v>1</v>
      </c>
      <c r="M311" s="39">
        <v>29740000</v>
      </c>
      <c r="N311" s="39">
        <f t="shared" si="9"/>
        <v>29740000</v>
      </c>
      <c r="O311" s="38" t="s">
        <v>22</v>
      </c>
    </row>
    <row r="312" spans="1:15" ht="15" customHeight="1" x14ac:dyDescent="0.2">
      <c r="A312" s="24" t="s">
        <v>368</v>
      </c>
      <c r="B312" s="36" t="s">
        <v>1478</v>
      </c>
      <c r="C312" s="24">
        <f t="shared" si="8"/>
        <v>506</v>
      </c>
      <c r="D312" s="24">
        <v>1</v>
      </c>
      <c r="G312" s="37" t="s">
        <v>1351</v>
      </c>
      <c r="H312" s="42" t="s">
        <v>2747</v>
      </c>
      <c r="I312" s="46">
        <v>331</v>
      </c>
      <c r="J312" s="46">
        <v>1111</v>
      </c>
      <c r="K312" s="24" t="s">
        <v>21</v>
      </c>
      <c r="L312" s="24">
        <v>1</v>
      </c>
      <c r="M312" s="39">
        <v>242000</v>
      </c>
      <c r="N312" s="39">
        <f t="shared" si="9"/>
        <v>242000</v>
      </c>
      <c r="O312" s="38" t="s">
        <v>22</v>
      </c>
    </row>
    <row r="313" spans="1:15" ht="15" customHeight="1" x14ac:dyDescent="0.2">
      <c r="A313" s="24" t="s">
        <v>368</v>
      </c>
      <c r="B313" s="36" t="s">
        <v>1478</v>
      </c>
      <c r="C313" s="24">
        <f t="shared" si="8"/>
        <v>507</v>
      </c>
      <c r="D313" s="24">
        <v>1</v>
      </c>
      <c r="G313" s="37" t="s">
        <v>1351</v>
      </c>
      <c r="H313" s="42" t="s">
        <v>2748</v>
      </c>
      <c r="I313" s="46">
        <v>331</v>
      </c>
      <c r="J313" s="46">
        <v>1111</v>
      </c>
      <c r="K313" s="24" t="s">
        <v>21</v>
      </c>
      <c r="L313" s="24">
        <v>1</v>
      </c>
      <c r="M313" s="39">
        <v>57000</v>
      </c>
      <c r="N313" s="39">
        <f t="shared" si="9"/>
        <v>57000</v>
      </c>
      <c r="O313" s="38" t="s">
        <v>22</v>
      </c>
    </row>
    <row r="314" spans="1:15" ht="15" customHeight="1" x14ac:dyDescent="0.2">
      <c r="A314" s="24" t="s">
        <v>368</v>
      </c>
      <c r="B314" s="36" t="s">
        <v>1478</v>
      </c>
      <c r="C314" s="24">
        <f t="shared" si="8"/>
        <v>508</v>
      </c>
      <c r="D314" s="24">
        <v>1</v>
      </c>
      <c r="G314" s="37" t="s">
        <v>1569</v>
      </c>
      <c r="H314" s="42" t="s">
        <v>2749</v>
      </c>
      <c r="I314" s="46">
        <v>331</v>
      </c>
      <c r="J314" s="46">
        <v>1111</v>
      </c>
      <c r="K314" s="24" t="s">
        <v>21</v>
      </c>
      <c r="L314" s="24">
        <v>1</v>
      </c>
      <c r="M314" s="39">
        <v>137000</v>
      </c>
      <c r="N314" s="39">
        <f t="shared" si="9"/>
        <v>137000</v>
      </c>
      <c r="O314" s="38" t="s">
        <v>22</v>
      </c>
    </row>
    <row r="315" spans="1:15" ht="15" customHeight="1" x14ac:dyDescent="0.2">
      <c r="A315" s="24" t="s">
        <v>368</v>
      </c>
      <c r="B315" s="36" t="s">
        <v>1479</v>
      </c>
      <c r="C315" s="24">
        <f t="shared" si="8"/>
        <v>509</v>
      </c>
      <c r="D315" s="24">
        <v>1</v>
      </c>
      <c r="G315" s="37" t="s">
        <v>1351</v>
      </c>
      <c r="H315" s="42" t="s">
        <v>2750</v>
      </c>
      <c r="I315" s="46">
        <v>331</v>
      </c>
      <c r="J315" s="46">
        <v>1111</v>
      </c>
      <c r="K315" s="24" t="s">
        <v>21</v>
      </c>
      <c r="L315" s="24">
        <v>1</v>
      </c>
      <c r="M315" s="39">
        <v>28000</v>
      </c>
      <c r="N315" s="39">
        <f t="shared" si="9"/>
        <v>28000</v>
      </c>
      <c r="O315" s="38" t="s">
        <v>22</v>
      </c>
    </row>
    <row r="316" spans="1:15" ht="15" customHeight="1" x14ac:dyDescent="0.2">
      <c r="A316" s="24" t="s">
        <v>368</v>
      </c>
      <c r="B316" s="36" t="s">
        <v>1479</v>
      </c>
      <c r="C316" s="24">
        <f t="shared" si="8"/>
        <v>510</v>
      </c>
      <c r="D316" s="24">
        <v>1</v>
      </c>
      <c r="G316" s="37" t="s">
        <v>1351</v>
      </c>
      <c r="H316" s="42" t="s">
        <v>2751</v>
      </c>
      <c r="I316" s="46">
        <v>331</v>
      </c>
      <c r="J316" s="46">
        <v>1111</v>
      </c>
      <c r="K316" s="24" t="s">
        <v>21</v>
      </c>
      <c r="L316" s="24">
        <v>1</v>
      </c>
      <c r="M316" s="39">
        <v>20000</v>
      </c>
      <c r="N316" s="39">
        <f t="shared" si="9"/>
        <v>20000</v>
      </c>
      <c r="O316" s="38" t="s">
        <v>22</v>
      </c>
    </row>
    <row r="317" spans="1:15" ht="15" customHeight="1" x14ac:dyDescent="0.2">
      <c r="A317" s="24" t="s">
        <v>368</v>
      </c>
      <c r="B317" s="36" t="s">
        <v>2048</v>
      </c>
      <c r="C317" s="24">
        <f t="shared" si="8"/>
        <v>511</v>
      </c>
      <c r="D317" s="24">
        <v>1</v>
      </c>
      <c r="G317" s="37" t="s">
        <v>1569</v>
      </c>
      <c r="H317" s="42" t="s">
        <v>2752</v>
      </c>
      <c r="I317" s="46">
        <v>331</v>
      </c>
      <c r="J317" s="46">
        <v>1111</v>
      </c>
      <c r="K317" s="24" t="s">
        <v>21</v>
      </c>
      <c r="L317" s="24">
        <v>1</v>
      </c>
      <c r="M317" s="39">
        <v>19000</v>
      </c>
      <c r="N317" s="39">
        <f t="shared" si="9"/>
        <v>19000</v>
      </c>
      <c r="O317" s="38" t="s">
        <v>22</v>
      </c>
    </row>
    <row r="318" spans="1:15" ht="15" customHeight="1" x14ac:dyDescent="0.2">
      <c r="A318" s="24" t="s">
        <v>368</v>
      </c>
      <c r="B318" s="36" t="s">
        <v>2077</v>
      </c>
      <c r="C318" s="24">
        <f t="shared" si="8"/>
        <v>512</v>
      </c>
      <c r="D318" s="24">
        <v>1</v>
      </c>
      <c r="G318" s="37" t="s">
        <v>1569</v>
      </c>
      <c r="H318" s="42" t="s">
        <v>2753</v>
      </c>
      <c r="I318" s="46">
        <v>331</v>
      </c>
      <c r="J318" s="46">
        <v>1111</v>
      </c>
      <c r="K318" s="24" t="s">
        <v>21</v>
      </c>
      <c r="L318" s="24">
        <v>1</v>
      </c>
      <c r="M318" s="39">
        <v>31000</v>
      </c>
      <c r="N318" s="39">
        <f t="shared" si="9"/>
        <v>31000</v>
      </c>
      <c r="O318" s="38" t="s">
        <v>22</v>
      </c>
    </row>
    <row r="319" spans="1:15" ht="15" customHeight="1" x14ac:dyDescent="0.2">
      <c r="A319" s="24" t="s">
        <v>368</v>
      </c>
      <c r="B319" s="36" t="s">
        <v>1480</v>
      </c>
      <c r="C319" s="24">
        <f t="shared" si="8"/>
        <v>513</v>
      </c>
      <c r="D319" s="24">
        <v>1</v>
      </c>
      <c r="G319" s="37" t="s">
        <v>1569</v>
      </c>
      <c r="H319" s="42" t="s">
        <v>2754</v>
      </c>
      <c r="I319" s="46">
        <v>331</v>
      </c>
      <c r="J319" s="46">
        <v>1111</v>
      </c>
      <c r="K319" s="24" t="s">
        <v>21</v>
      </c>
      <c r="L319" s="24">
        <v>1</v>
      </c>
      <c r="M319" s="39">
        <v>28000</v>
      </c>
      <c r="N319" s="39">
        <f t="shared" si="9"/>
        <v>28000</v>
      </c>
      <c r="O319" s="38" t="s">
        <v>22</v>
      </c>
    </row>
    <row r="320" spans="1:15" ht="15" customHeight="1" x14ac:dyDescent="0.2">
      <c r="A320" s="24" t="s">
        <v>368</v>
      </c>
      <c r="B320" s="36" t="s">
        <v>1480</v>
      </c>
      <c r="C320" s="24">
        <f t="shared" si="8"/>
        <v>514</v>
      </c>
      <c r="D320" s="24">
        <v>1</v>
      </c>
      <c r="G320" s="37" t="s">
        <v>1569</v>
      </c>
      <c r="H320" s="42" t="s">
        <v>2755</v>
      </c>
      <c r="I320" s="46">
        <v>331</v>
      </c>
      <c r="J320" s="46">
        <v>1111</v>
      </c>
      <c r="K320" s="24" t="s">
        <v>21</v>
      </c>
      <c r="L320" s="24">
        <v>1</v>
      </c>
      <c r="M320" s="39">
        <v>36000</v>
      </c>
      <c r="N320" s="39">
        <f t="shared" si="9"/>
        <v>36000</v>
      </c>
      <c r="O320" s="38" t="s">
        <v>22</v>
      </c>
    </row>
    <row r="321" spans="1:15" ht="15" customHeight="1" x14ac:dyDescent="0.2">
      <c r="A321" s="24" t="s">
        <v>368</v>
      </c>
      <c r="B321" s="36" t="s">
        <v>1480</v>
      </c>
      <c r="C321" s="24">
        <f t="shared" si="8"/>
        <v>515</v>
      </c>
      <c r="D321" s="24">
        <v>1</v>
      </c>
      <c r="G321" s="37" t="s">
        <v>1569</v>
      </c>
      <c r="H321" s="42" t="s">
        <v>2756</v>
      </c>
      <c r="I321" s="46">
        <v>331</v>
      </c>
      <c r="J321" s="46">
        <v>1111</v>
      </c>
      <c r="K321" s="24" t="s">
        <v>21</v>
      </c>
      <c r="L321" s="24">
        <v>1</v>
      </c>
      <c r="M321" s="39">
        <v>37000</v>
      </c>
      <c r="N321" s="39">
        <f t="shared" si="9"/>
        <v>37000</v>
      </c>
      <c r="O321" s="38" t="s">
        <v>22</v>
      </c>
    </row>
    <row r="322" spans="1:15" ht="15" customHeight="1" x14ac:dyDescent="0.2">
      <c r="A322" s="24" t="s">
        <v>368</v>
      </c>
      <c r="B322" s="36" t="s">
        <v>1480</v>
      </c>
      <c r="C322" s="24">
        <f t="shared" si="8"/>
        <v>516</v>
      </c>
      <c r="D322" s="24">
        <v>1</v>
      </c>
      <c r="G322" s="37" t="s">
        <v>1569</v>
      </c>
      <c r="H322" s="42" t="s">
        <v>2757</v>
      </c>
      <c r="I322" s="46">
        <v>331</v>
      </c>
      <c r="J322" s="46">
        <v>1111</v>
      </c>
      <c r="K322" s="24" t="s">
        <v>21</v>
      </c>
      <c r="L322" s="24">
        <v>1</v>
      </c>
      <c r="M322" s="39">
        <v>38000</v>
      </c>
      <c r="N322" s="39">
        <f t="shared" si="9"/>
        <v>38000</v>
      </c>
      <c r="O322" s="38" t="s">
        <v>22</v>
      </c>
    </row>
    <row r="323" spans="1:15" ht="15" customHeight="1" x14ac:dyDescent="0.2">
      <c r="A323" s="24" t="s">
        <v>368</v>
      </c>
      <c r="B323" s="36" t="s">
        <v>1480</v>
      </c>
      <c r="C323" s="24">
        <f t="shared" si="8"/>
        <v>517</v>
      </c>
      <c r="D323" s="24">
        <v>1</v>
      </c>
      <c r="G323" s="37" t="s">
        <v>1569</v>
      </c>
      <c r="H323" s="42" t="s">
        <v>2758</v>
      </c>
      <c r="I323" s="46">
        <v>331</v>
      </c>
      <c r="J323" s="46">
        <v>1111</v>
      </c>
      <c r="K323" s="24" t="s">
        <v>21</v>
      </c>
      <c r="L323" s="24">
        <v>1</v>
      </c>
      <c r="M323" s="39">
        <v>39000</v>
      </c>
      <c r="N323" s="39">
        <f t="shared" si="9"/>
        <v>39000</v>
      </c>
      <c r="O323" s="38" t="s">
        <v>22</v>
      </c>
    </row>
    <row r="324" spans="1:15" ht="15" customHeight="1" x14ac:dyDescent="0.2">
      <c r="A324" s="24" t="s">
        <v>368</v>
      </c>
      <c r="B324" s="36" t="s">
        <v>2125</v>
      </c>
      <c r="C324" s="24">
        <f t="shared" si="8"/>
        <v>518</v>
      </c>
      <c r="D324" s="24">
        <v>1</v>
      </c>
      <c r="G324" s="37" t="s">
        <v>1569</v>
      </c>
      <c r="H324" s="42" t="s">
        <v>2759</v>
      </c>
      <c r="I324" s="46">
        <v>331</v>
      </c>
      <c r="J324" s="46">
        <v>1111</v>
      </c>
      <c r="K324" s="24" t="s">
        <v>21</v>
      </c>
      <c r="L324" s="24">
        <v>1</v>
      </c>
      <c r="M324" s="39">
        <v>26000</v>
      </c>
      <c r="N324" s="39">
        <f t="shared" si="9"/>
        <v>26000</v>
      </c>
      <c r="O324" s="38" t="s">
        <v>22</v>
      </c>
    </row>
    <row r="325" spans="1:15" ht="15" customHeight="1" x14ac:dyDescent="0.2">
      <c r="A325" s="24" t="s">
        <v>368</v>
      </c>
      <c r="B325" s="36" t="s">
        <v>2125</v>
      </c>
      <c r="C325" s="24">
        <f t="shared" ref="C325:C388" si="10">C324+D325</f>
        <v>519</v>
      </c>
      <c r="D325" s="24">
        <v>1</v>
      </c>
      <c r="G325" s="37" t="s">
        <v>1569</v>
      </c>
      <c r="H325" s="42" t="s">
        <v>2760</v>
      </c>
      <c r="I325" s="46">
        <v>331</v>
      </c>
      <c r="J325" s="46">
        <v>1111</v>
      </c>
      <c r="K325" s="24" t="s">
        <v>21</v>
      </c>
      <c r="L325" s="24">
        <v>1</v>
      </c>
      <c r="M325" s="39">
        <v>21000</v>
      </c>
      <c r="N325" s="39">
        <f t="shared" si="9"/>
        <v>21000</v>
      </c>
      <c r="O325" s="38" t="s">
        <v>22</v>
      </c>
    </row>
    <row r="326" spans="1:15" ht="15" customHeight="1" x14ac:dyDescent="0.2">
      <c r="A326" s="24" t="s">
        <v>368</v>
      </c>
      <c r="B326" s="36" t="s">
        <v>2125</v>
      </c>
      <c r="C326" s="24">
        <f t="shared" si="10"/>
        <v>520</v>
      </c>
      <c r="D326" s="24">
        <v>1</v>
      </c>
      <c r="G326" s="37" t="s">
        <v>1569</v>
      </c>
      <c r="H326" s="42" t="s">
        <v>2761</v>
      </c>
      <c r="I326" s="46">
        <v>331</v>
      </c>
      <c r="J326" s="46">
        <v>1111</v>
      </c>
      <c r="K326" s="24" t="s">
        <v>21</v>
      </c>
      <c r="L326" s="24">
        <v>1</v>
      </c>
      <c r="M326" s="39">
        <v>65000</v>
      </c>
      <c r="N326" s="39">
        <f t="shared" si="9"/>
        <v>65000</v>
      </c>
      <c r="O326" s="38" t="s">
        <v>22</v>
      </c>
    </row>
    <row r="327" spans="1:15" ht="15" customHeight="1" x14ac:dyDescent="0.2">
      <c r="A327" s="24" t="s">
        <v>368</v>
      </c>
      <c r="B327" s="36" t="s">
        <v>2125</v>
      </c>
      <c r="C327" s="24">
        <f t="shared" si="10"/>
        <v>521</v>
      </c>
      <c r="D327" s="24">
        <v>1</v>
      </c>
      <c r="G327" s="37" t="s">
        <v>1569</v>
      </c>
      <c r="H327" s="42" t="s">
        <v>2762</v>
      </c>
      <c r="I327" s="46">
        <v>331</v>
      </c>
      <c r="J327" s="46">
        <v>1111</v>
      </c>
      <c r="K327" s="24" t="s">
        <v>21</v>
      </c>
      <c r="L327" s="24">
        <v>1</v>
      </c>
      <c r="M327" s="39">
        <v>134000</v>
      </c>
      <c r="N327" s="39">
        <f t="shared" ref="N327:N390" si="11">L327*M327</f>
        <v>134000</v>
      </c>
      <c r="O327" s="38" t="s">
        <v>22</v>
      </c>
    </row>
    <row r="328" spans="1:15" ht="15" customHeight="1" x14ac:dyDescent="0.2">
      <c r="A328" s="24" t="s">
        <v>368</v>
      </c>
      <c r="B328" s="36" t="s">
        <v>2126</v>
      </c>
      <c r="C328" s="24">
        <f t="shared" si="10"/>
        <v>522</v>
      </c>
      <c r="D328" s="24">
        <v>1</v>
      </c>
      <c r="G328" s="37" t="s">
        <v>1569</v>
      </c>
      <c r="H328" s="42" t="s">
        <v>2763</v>
      </c>
      <c r="I328" s="46">
        <v>331</v>
      </c>
      <c r="J328" s="46">
        <v>1111</v>
      </c>
      <c r="K328" s="24" t="s">
        <v>21</v>
      </c>
      <c r="L328" s="24">
        <v>1</v>
      </c>
      <c r="M328" s="39">
        <v>57000</v>
      </c>
      <c r="N328" s="39">
        <f t="shared" si="11"/>
        <v>57000</v>
      </c>
      <c r="O328" s="38" t="s">
        <v>22</v>
      </c>
    </row>
    <row r="329" spans="1:15" ht="15" customHeight="1" x14ac:dyDescent="0.2">
      <c r="A329" s="24" t="s">
        <v>368</v>
      </c>
      <c r="B329" s="36" t="s">
        <v>1419</v>
      </c>
      <c r="C329" s="24">
        <f t="shared" si="10"/>
        <v>523</v>
      </c>
      <c r="D329" s="24">
        <v>1</v>
      </c>
      <c r="G329" s="37" t="s">
        <v>1569</v>
      </c>
      <c r="H329" s="42" t="s">
        <v>2764</v>
      </c>
      <c r="I329" s="46">
        <v>331</v>
      </c>
      <c r="J329" s="46">
        <v>1111</v>
      </c>
      <c r="K329" s="24" t="s">
        <v>21</v>
      </c>
      <c r="L329" s="24">
        <v>1</v>
      </c>
      <c r="M329" s="39">
        <v>70000</v>
      </c>
      <c r="N329" s="39">
        <f t="shared" si="11"/>
        <v>70000</v>
      </c>
      <c r="O329" s="38" t="s">
        <v>22</v>
      </c>
    </row>
    <row r="330" spans="1:15" ht="15" customHeight="1" x14ac:dyDescent="0.2">
      <c r="A330" s="24" t="s">
        <v>368</v>
      </c>
      <c r="B330" s="36" t="s">
        <v>1421</v>
      </c>
      <c r="C330" s="24">
        <f t="shared" si="10"/>
        <v>524</v>
      </c>
      <c r="D330" s="24">
        <v>1</v>
      </c>
      <c r="G330" s="37" t="s">
        <v>1569</v>
      </c>
      <c r="H330" s="42" t="s">
        <v>2765</v>
      </c>
      <c r="I330" s="46">
        <v>331</v>
      </c>
      <c r="J330" s="46">
        <v>1111</v>
      </c>
      <c r="K330" s="24" t="s">
        <v>21</v>
      </c>
      <c r="L330" s="24">
        <v>1</v>
      </c>
      <c r="M330" s="39">
        <v>24000</v>
      </c>
      <c r="N330" s="39">
        <f t="shared" si="11"/>
        <v>24000</v>
      </c>
      <c r="O330" s="38" t="s">
        <v>22</v>
      </c>
    </row>
    <row r="331" spans="1:15" ht="15" customHeight="1" x14ac:dyDescent="0.2">
      <c r="A331" s="24" t="s">
        <v>368</v>
      </c>
      <c r="B331" s="36" t="s">
        <v>1421</v>
      </c>
      <c r="C331" s="24">
        <f t="shared" si="10"/>
        <v>525</v>
      </c>
      <c r="D331" s="24">
        <v>1</v>
      </c>
      <c r="G331" s="37" t="s">
        <v>1569</v>
      </c>
      <c r="H331" s="42" t="s">
        <v>2766</v>
      </c>
      <c r="I331" s="46">
        <v>331</v>
      </c>
      <c r="J331" s="46">
        <v>1111</v>
      </c>
      <c r="K331" s="24" t="s">
        <v>21</v>
      </c>
      <c r="L331" s="24">
        <v>1</v>
      </c>
      <c r="M331" s="39">
        <v>52000</v>
      </c>
      <c r="N331" s="39">
        <f t="shared" si="11"/>
        <v>52000</v>
      </c>
      <c r="O331" s="38" t="s">
        <v>22</v>
      </c>
    </row>
    <row r="332" spans="1:15" ht="15" customHeight="1" x14ac:dyDescent="0.2">
      <c r="A332" s="24" t="s">
        <v>368</v>
      </c>
      <c r="B332" s="36" t="s">
        <v>2049</v>
      </c>
      <c r="C332" s="24">
        <f t="shared" si="10"/>
        <v>526</v>
      </c>
      <c r="D332" s="24">
        <v>1</v>
      </c>
      <c r="G332" s="37" t="s">
        <v>1569</v>
      </c>
      <c r="H332" s="42" t="s">
        <v>2767</v>
      </c>
      <c r="I332" s="46">
        <v>331</v>
      </c>
      <c r="J332" s="46">
        <v>1111</v>
      </c>
      <c r="K332" s="24" t="s">
        <v>21</v>
      </c>
      <c r="L332" s="24">
        <v>1</v>
      </c>
      <c r="M332" s="39">
        <v>119000</v>
      </c>
      <c r="N332" s="39">
        <f t="shared" si="11"/>
        <v>119000</v>
      </c>
      <c r="O332" s="38" t="s">
        <v>22</v>
      </c>
    </row>
    <row r="333" spans="1:15" ht="15" customHeight="1" x14ac:dyDescent="0.2">
      <c r="A333" s="24" t="s">
        <v>368</v>
      </c>
      <c r="B333" s="36" t="s">
        <v>2483</v>
      </c>
      <c r="C333" s="24">
        <f t="shared" si="10"/>
        <v>527</v>
      </c>
      <c r="D333" s="24">
        <v>1</v>
      </c>
      <c r="G333" s="37" t="s">
        <v>1569</v>
      </c>
      <c r="H333" s="42" t="s">
        <v>2768</v>
      </c>
      <c r="I333" s="46">
        <v>331</v>
      </c>
      <c r="J333" s="46">
        <v>1111</v>
      </c>
      <c r="K333" s="24" t="s">
        <v>21</v>
      </c>
      <c r="L333" s="24">
        <v>1</v>
      </c>
      <c r="M333" s="39">
        <v>30000</v>
      </c>
      <c r="N333" s="39">
        <f t="shared" si="11"/>
        <v>30000</v>
      </c>
      <c r="O333" s="38" t="s">
        <v>22</v>
      </c>
    </row>
    <row r="334" spans="1:15" ht="15" customHeight="1" x14ac:dyDescent="0.2">
      <c r="A334" s="24" t="s">
        <v>368</v>
      </c>
      <c r="B334" s="36" t="s">
        <v>2483</v>
      </c>
      <c r="C334" s="24">
        <f t="shared" si="10"/>
        <v>528</v>
      </c>
      <c r="D334" s="24">
        <v>1</v>
      </c>
      <c r="G334" s="37" t="s">
        <v>1569</v>
      </c>
      <c r="H334" s="42" t="s">
        <v>2769</v>
      </c>
      <c r="I334" s="46">
        <v>331</v>
      </c>
      <c r="J334" s="46">
        <v>1111</v>
      </c>
      <c r="K334" s="24" t="s">
        <v>21</v>
      </c>
      <c r="L334" s="24">
        <v>1</v>
      </c>
      <c r="M334" s="39">
        <v>36000</v>
      </c>
      <c r="N334" s="39">
        <f t="shared" si="11"/>
        <v>36000</v>
      </c>
      <c r="O334" s="38" t="s">
        <v>22</v>
      </c>
    </row>
    <row r="335" spans="1:15" ht="15" customHeight="1" x14ac:dyDescent="0.2">
      <c r="A335" s="24" t="s">
        <v>368</v>
      </c>
      <c r="B335" s="36" t="s">
        <v>1423</v>
      </c>
      <c r="C335" s="24">
        <f t="shared" si="10"/>
        <v>529</v>
      </c>
      <c r="D335" s="24">
        <v>1</v>
      </c>
      <c r="G335" s="37" t="s">
        <v>1569</v>
      </c>
      <c r="H335" s="42" t="s">
        <v>2770</v>
      </c>
      <c r="I335" s="46">
        <v>331</v>
      </c>
      <c r="J335" s="46">
        <v>1111</v>
      </c>
      <c r="K335" s="24" t="s">
        <v>21</v>
      </c>
      <c r="L335" s="24">
        <v>1</v>
      </c>
      <c r="M335" s="39">
        <v>93000</v>
      </c>
      <c r="N335" s="39">
        <f t="shared" si="11"/>
        <v>93000</v>
      </c>
      <c r="O335" s="38" t="s">
        <v>22</v>
      </c>
    </row>
    <row r="336" spans="1:15" ht="15" customHeight="1" x14ac:dyDescent="0.2">
      <c r="A336" s="24" t="s">
        <v>368</v>
      </c>
      <c r="B336" s="36" t="s">
        <v>2050</v>
      </c>
      <c r="C336" s="24">
        <f t="shared" si="10"/>
        <v>530</v>
      </c>
      <c r="D336" s="24">
        <v>1</v>
      </c>
      <c r="G336" s="37" t="s">
        <v>1569</v>
      </c>
      <c r="H336" s="42" t="s">
        <v>2771</v>
      </c>
      <c r="I336" s="46">
        <v>331</v>
      </c>
      <c r="J336" s="46">
        <v>1111</v>
      </c>
      <c r="K336" s="24" t="s">
        <v>21</v>
      </c>
      <c r="L336" s="24">
        <v>1</v>
      </c>
      <c r="M336" s="39">
        <v>14000</v>
      </c>
      <c r="N336" s="39">
        <f t="shared" si="11"/>
        <v>14000</v>
      </c>
      <c r="O336" s="38" t="s">
        <v>22</v>
      </c>
    </row>
    <row r="337" spans="1:15" ht="15" customHeight="1" x14ac:dyDescent="0.2">
      <c r="A337" s="24" t="s">
        <v>368</v>
      </c>
      <c r="B337" s="36" t="s">
        <v>2050</v>
      </c>
      <c r="C337" s="24">
        <f t="shared" si="10"/>
        <v>531</v>
      </c>
      <c r="D337" s="24">
        <v>1</v>
      </c>
      <c r="G337" s="37" t="s">
        <v>1569</v>
      </c>
      <c r="H337" s="42" t="s">
        <v>2772</v>
      </c>
      <c r="I337" s="46">
        <v>331</v>
      </c>
      <c r="J337" s="46">
        <v>1111</v>
      </c>
      <c r="K337" s="24" t="s">
        <v>21</v>
      </c>
      <c r="L337" s="24">
        <v>1</v>
      </c>
      <c r="M337" s="39">
        <v>105000</v>
      </c>
      <c r="N337" s="39">
        <f t="shared" si="11"/>
        <v>105000</v>
      </c>
      <c r="O337" s="38" t="s">
        <v>22</v>
      </c>
    </row>
    <row r="338" spans="1:15" ht="15" customHeight="1" x14ac:dyDescent="0.2">
      <c r="A338" s="24" t="s">
        <v>368</v>
      </c>
      <c r="B338" s="36" t="s">
        <v>2050</v>
      </c>
      <c r="C338" s="24">
        <f t="shared" si="10"/>
        <v>532</v>
      </c>
      <c r="D338" s="24">
        <v>1</v>
      </c>
      <c r="G338" s="37" t="s">
        <v>1569</v>
      </c>
      <c r="H338" s="42" t="s">
        <v>2773</v>
      </c>
      <c r="I338" s="46">
        <v>331</v>
      </c>
      <c r="J338" s="46">
        <v>1111</v>
      </c>
      <c r="K338" s="24" t="s">
        <v>21</v>
      </c>
      <c r="L338" s="24">
        <v>1</v>
      </c>
      <c r="M338" s="39">
        <v>21000</v>
      </c>
      <c r="N338" s="39">
        <f t="shared" si="11"/>
        <v>21000</v>
      </c>
      <c r="O338" s="38" t="s">
        <v>22</v>
      </c>
    </row>
    <row r="339" spans="1:15" ht="15" customHeight="1" x14ac:dyDescent="0.2">
      <c r="A339" s="24" t="s">
        <v>368</v>
      </c>
      <c r="B339" s="36" t="s">
        <v>2050</v>
      </c>
      <c r="C339" s="24">
        <f t="shared" si="10"/>
        <v>533</v>
      </c>
      <c r="D339" s="24">
        <v>1</v>
      </c>
      <c r="G339" s="37" t="s">
        <v>1569</v>
      </c>
      <c r="H339" s="42" t="s">
        <v>2774</v>
      </c>
      <c r="I339" s="46">
        <v>331</v>
      </c>
      <c r="J339" s="46">
        <v>1111</v>
      </c>
      <c r="K339" s="24" t="s">
        <v>21</v>
      </c>
      <c r="L339" s="24">
        <v>1</v>
      </c>
      <c r="M339" s="39">
        <v>41000</v>
      </c>
      <c r="N339" s="39">
        <f t="shared" si="11"/>
        <v>41000</v>
      </c>
      <c r="O339" s="38" t="s">
        <v>22</v>
      </c>
    </row>
    <row r="340" spans="1:15" ht="15" customHeight="1" x14ac:dyDescent="0.2">
      <c r="A340" s="24" t="s">
        <v>368</v>
      </c>
      <c r="B340" s="36" t="s">
        <v>2050</v>
      </c>
      <c r="C340" s="24">
        <f t="shared" si="10"/>
        <v>534</v>
      </c>
      <c r="D340" s="24">
        <v>1</v>
      </c>
      <c r="G340" s="37" t="s">
        <v>1569</v>
      </c>
      <c r="H340" s="42" t="s">
        <v>2775</v>
      </c>
      <c r="I340" s="46">
        <v>331</v>
      </c>
      <c r="J340" s="46">
        <v>1111</v>
      </c>
      <c r="K340" s="24" t="s">
        <v>21</v>
      </c>
      <c r="L340" s="24">
        <v>1</v>
      </c>
      <c r="M340" s="39">
        <v>37000</v>
      </c>
      <c r="N340" s="39">
        <f t="shared" si="11"/>
        <v>37000</v>
      </c>
      <c r="O340" s="38" t="s">
        <v>22</v>
      </c>
    </row>
    <row r="341" spans="1:15" ht="15" customHeight="1" x14ac:dyDescent="0.2">
      <c r="A341" s="24" t="s">
        <v>368</v>
      </c>
      <c r="B341" s="36" t="s">
        <v>2050</v>
      </c>
      <c r="C341" s="24">
        <f t="shared" si="10"/>
        <v>535</v>
      </c>
      <c r="D341" s="24">
        <v>1</v>
      </c>
      <c r="G341" s="37" t="s">
        <v>1569</v>
      </c>
      <c r="H341" s="42" t="s">
        <v>2776</v>
      </c>
      <c r="I341" s="46">
        <v>331</v>
      </c>
      <c r="J341" s="46">
        <v>1111</v>
      </c>
      <c r="K341" s="24" t="s">
        <v>21</v>
      </c>
      <c r="L341" s="24">
        <v>1</v>
      </c>
      <c r="M341" s="39">
        <v>30000</v>
      </c>
      <c r="N341" s="39">
        <f t="shared" si="11"/>
        <v>30000</v>
      </c>
      <c r="O341" s="38" t="s">
        <v>22</v>
      </c>
    </row>
    <row r="342" spans="1:15" ht="15" customHeight="1" x14ac:dyDescent="0.2">
      <c r="A342" s="24" t="s">
        <v>368</v>
      </c>
      <c r="B342" s="36" t="s">
        <v>2050</v>
      </c>
      <c r="C342" s="24">
        <f t="shared" si="10"/>
        <v>536</v>
      </c>
      <c r="D342" s="24">
        <v>1</v>
      </c>
      <c r="G342" s="37" t="s">
        <v>1569</v>
      </c>
      <c r="H342" s="42" t="s">
        <v>2777</v>
      </c>
      <c r="I342" s="46">
        <v>331</v>
      </c>
      <c r="J342" s="46">
        <v>1111</v>
      </c>
      <c r="K342" s="24" t="s">
        <v>21</v>
      </c>
      <c r="L342" s="24">
        <v>1</v>
      </c>
      <c r="M342" s="39">
        <v>109000</v>
      </c>
      <c r="N342" s="39">
        <f t="shared" si="11"/>
        <v>109000</v>
      </c>
      <c r="O342" s="38" t="s">
        <v>22</v>
      </c>
    </row>
    <row r="343" spans="1:15" ht="15" customHeight="1" x14ac:dyDescent="0.2">
      <c r="A343" s="24" t="s">
        <v>368</v>
      </c>
      <c r="B343" s="36" t="s">
        <v>2050</v>
      </c>
      <c r="C343" s="24">
        <f t="shared" si="10"/>
        <v>537</v>
      </c>
      <c r="D343" s="24">
        <v>1</v>
      </c>
      <c r="G343" s="37" t="s">
        <v>1569</v>
      </c>
      <c r="H343" s="42" t="s">
        <v>2778</v>
      </c>
      <c r="I343" s="46">
        <v>331</v>
      </c>
      <c r="J343" s="46">
        <v>1111</v>
      </c>
      <c r="K343" s="24" t="s">
        <v>21</v>
      </c>
      <c r="L343" s="24">
        <v>1</v>
      </c>
      <c r="M343" s="39">
        <v>43000</v>
      </c>
      <c r="N343" s="39">
        <f t="shared" si="11"/>
        <v>43000</v>
      </c>
      <c r="O343" s="38" t="s">
        <v>22</v>
      </c>
    </row>
    <row r="344" spans="1:15" ht="15" customHeight="1" x14ac:dyDescent="0.2">
      <c r="A344" s="24" t="s">
        <v>368</v>
      </c>
      <c r="B344" s="36" t="s">
        <v>2050</v>
      </c>
      <c r="C344" s="24">
        <f t="shared" si="10"/>
        <v>538</v>
      </c>
      <c r="D344" s="24">
        <v>1</v>
      </c>
      <c r="G344" s="37" t="s">
        <v>1569</v>
      </c>
      <c r="H344" s="42" t="s">
        <v>2779</v>
      </c>
      <c r="I344" s="46">
        <v>331</v>
      </c>
      <c r="J344" s="46">
        <v>1111</v>
      </c>
      <c r="K344" s="24" t="s">
        <v>21</v>
      </c>
      <c r="L344" s="24">
        <v>1</v>
      </c>
      <c r="M344" s="39">
        <v>93000</v>
      </c>
      <c r="N344" s="39">
        <f t="shared" si="11"/>
        <v>93000</v>
      </c>
      <c r="O344" s="38" t="s">
        <v>22</v>
      </c>
    </row>
    <row r="345" spans="1:15" ht="15" customHeight="1" x14ac:dyDescent="0.2">
      <c r="A345" s="24" t="s">
        <v>368</v>
      </c>
      <c r="B345" s="36" t="s">
        <v>2050</v>
      </c>
      <c r="C345" s="24">
        <f t="shared" si="10"/>
        <v>539</v>
      </c>
      <c r="D345" s="24">
        <v>1</v>
      </c>
      <c r="G345" s="37" t="s">
        <v>1569</v>
      </c>
      <c r="H345" s="42" t="s">
        <v>2780</v>
      </c>
      <c r="I345" s="46">
        <v>331</v>
      </c>
      <c r="J345" s="46">
        <v>1111</v>
      </c>
      <c r="K345" s="24" t="s">
        <v>21</v>
      </c>
      <c r="L345" s="24">
        <v>1</v>
      </c>
      <c r="M345" s="39">
        <v>21000</v>
      </c>
      <c r="N345" s="39">
        <f t="shared" si="11"/>
        <v>21000</v>
      </c>
      <c r="O345" s="38" t="s">
        <v>22</v>
      </c>
    </row>
    <row r="346" spans="1:15" ht="15" customHeight="1" x14ac:dyDescent="0.2">
      <c r="A346" s="24" t="s">
        <v>368</v>
      </c>
      <c r="B346" s="36" t="s">
        <v>2050</v>
      </c>
      <c r="C346" s="24">
        <f t="shared" si="10"/>
        <v>540</v>
      </c>
      <c r="D346" s="24">
        <v>1</v>
      </c>
      <c r="G346" s="37" t="s">
        <v>1569</v>
      </c>
      <c r="H346" s="42" t="s">
        <v>2781</v>
      </c>
      <c r="I346" s="46">
        <v>331</v>
      </c>
      <c r="J346" s="46">
        <v>1111</v>
      </c>
      <c r="K346" s="24" t="s">
        <v>21</v>
      </c>
      <c r="L346" s="24">
        <v>1</v>
      </c>
      <c r="M346" s="39">
        <v>14000</v>
      </c>
      <c r="N346" s="39">
        <f t="shared" si="11"/>
        <v>14000</v>
      </c>
      <c r="O346" s="38" t="s">
        <v>22</v>
      </c>
    </row>
    <row r="347" spans="1:15" ht="15" customHeight="1" x14ac:dyDescent="0.2">
      <c r="A347" s="24" t="s">
        <v>368</v>
      </c>
      <c r="B347" s="36" t="s">
        <v>2050</v>
      </c>
      <c r="C347" s="24">
        <f t="shared" si="10"/>
        <v>541</v>
      </c>
      <c r="D347" s="24">
        <v>1</v>
      </c>
      <c r="G347" s="37" t="s">
        <v>1569</v>
      </c>
      <c r="H347" s="42" t="s">
        <v>2782</v>
      </c>
      <c r="I347" s="46">
        <v>331</v>
      </c>
      <c r="J347" s="46">
        <v>1111</v>
      </c>
      <c r="K347" s="24" t="s">
        <v>21</v>
      </c>
      <c r="L347" s="24">
        <v>1</v>
      </c>
      <c r="M347" s="39">
        <v>85000</v>
      </c>
      <c r="N347" s="39">
        <f t="shared" si="11"/>
        <v>85000</v>
      </c>
      <c r="O347" s="38" t="s">
        <v>22</v>
      </c>
    </row>
    <row r="348" spans="1:15" ht="15" customHeight="1" x14ac:dyDescent="0.2">
      <c r="A348" s="24" t="s">
        <v>368</v>
      </c>
      <c r="B348" s="36" t="s">
        <v>2050</v>
      </c>
      <c r="C348" s="24">
        <f t="shared" si="10"/>
        <v>542</v>
      </c>
      <c r="D348" s="24">
        <v>1</v>
      </c>
      <c r="G348" s="37" t="s">
        <v>1569</v>
      </c>
      <c r="H348" s="42" t="s">
        <v>2783</v>
      </c>
      <c r="I348" s="46">
        <v>331</v>
      </c>
      <c r="J348" s="46">
        <v>1111</v>
      </c>
      <c r="K348" s="24" t="s">
        <v>21</v>
      </c>
      <c r="L348" s="24">
        <v>1</v>
      </c>
      <c r="M348" s="39">
        <v>30000</v>
      </c>
      <c r="N348" s="39">
        <f t="shared" si="11"/>
        <v>30000</v>
      </c>
      <c r="O348" s="38" t="s">
        <v>22</v>
      </c>
    </row>
    <row r="349" spans="1:15" ht="15" customHeight="1" x14ac:dyDescent="0.2">
      <c r="A349" s="24" t="s">
        <v>368</v>
      </c>
      <c r="B349" s="36" t="s">
        <v>2050</v>
      </c>
      <c r="C349" s="24">
        <f t="shared" si="10"/>
        <v>543</v>
      </c>
      <c r="D349" s="24">
        <v>1</v>
      </c>
      <c r="G349" s="37" t="s">
        <v>1569</v>
      </c>
      <c r="H349" s="42" t="s">
        <v>2784</v>
      </c>
      <c r="I349" s="46">
        <v>331</v>
      </c>
      <c r="J349" s="46">
        <v>1111</v>
      </c>
      <c r="K349" s="24" t="s">
        <v>21</v>
      </c>
      <c r="L349" s="24">
        <v>1</v>
      </c>
      <c r="M349" s="39">
        <v>69000</v>
      </c>
      <c r="N349" s="39">
        <f t="shared" si="11"/>
        <v>69000</v>
      </c>
      <c r="O349" s="38" t="s">
        <v>22</v>
      </c>
    </row>
    <row r="350" spans="1:15" ht="15" customHeight="1" x14ac:dyDescent="0.2">
      <c r="A350" s="24" t="s">
        <v>368</v>
      </c>
      <c r="B350" s="36" t="s">
        <v>2050</v>
      </c>
      <c r="C350" s="24">
        <f t="shared" si="10"/>
        <v>544</v>
      </c>
      <c r="D350" s="24">
        <v>1</v>
      </c>
      <c r="G350" s="37" t="s">
        <v>1569</v>
      </c>
      <c r="H350" s="42" t="s">
        <v>2785</v>
      </c>
      <c r="I350" s="46">
        <v>331</v>
      </c>
      <c r="J350" s="46">
        <v>1111</v>
      </c>
      <c r="K350" s="24" t="s">
        <v>21</v>
      </c>
      <c r="L350" s="24">
        <v>1</v>
      </c>
      <c r="M350" s="39">
        <v>52000</v>
      </c>
      <c r="N350" s="39">
        <f t="shared" si="11"/>
        <v>52000</v>
      </c>
      <c r="O350" s="38" t="s">
        <v>22</v>
      </c>
    </row>
    <row r="351" spans="1:15" ht="15" customHeight="1" x14ac:dyDescent="0.2">
      <c r="A351" s="24" t="s">
        <v>368</v>
      </c>
      <c r="B351" s="36" t="s">
        <v>2050</v>
      </c>
      <c r="C351" s="24">
        <f t="shared" si="10"/>
        <v>545</v>
      </c>
      <c r="D351" s="24">
        <v>1</v>
      </c>
      <c r="G351" s="37" t="s">
        <v>1569</v>
      </c>
      <c r="H351" s="42" t="s">
        <v>2786</v>
      </c>
      <c r="I351" s="46">
        <v>331</v>
      </c>
      <c r="J351" s="46">
        <v>1111</v>
      </c>
      <c r="K351" s="24" t="s">
        <v>21</v>
      </c>
      <c r="L351" s="24">
        <v>1</v>
      </c>
      <c r="M351" s="39">
        <v>34000</v>
      </c>
      <c r="N351" s="39">
        <f t="shared" si="11"/>
        <v>34000</v>
      </c>
      <c r="O351" s="38" t="s">
        <v>22</v>
      </c>
    </row>
    <row r="352" spans="1:15" ht="15" customHeight="1" x14ac:dyDescent="0.2">
      <c r="A352" s="24" t="s">
        <v>368</v>
      </c>
      <c r="B352" s="36" t="s">
        <v>2050</v>
      </c>
      <c r="C352" s="24">
        <f t="shared" si="10"/>
        <v>546</v>
      </c>
      <c r="D352" s="24">
        <v>1</v>
      </c>
      <c r="G352" s="37" t="s">
        <v>1569</v>
      </c>
      <c r="H352" s="42" t="s">
        <v>2787</v>
      </c>
      <c r="I352" s="46">
        <v>331</v>
      </c>
      <c r="J352" s="46">
        <v>1111</v>
      </c>
      <c r="K352" s="24" t="s">
        <v>21</v>
      </c>
      <c r="L352" s="24">
        <v>1</v>
      </c>
      <c r="M352" s="39">
        <v>31000</v>
      </c>
      <c r="N352" s="39">
        <f t="shared" si="11"/>
        <v>31000</v>
      </c>
      <c r="O352" s="38" t="s">
        <v>22</v>
      </c>
    </row>
    <row r="353" spans="1:15" ht="15" customHeight="1" x14ac:dyDescent="0.2">
      <c r="A353" s="24" t="s">
        <v>368</v>
      </c>
      <c r="B353" s="36" t="s">
        <v>2050</v>
      </c>
      <c r="C353" s="24">
        <f t="shared" si="10"/>
        <v>547</v>
      </c>
      <c r="D353" s="24">
        <v>1</v>
      </c>
      <c r="G353" s="37" t="s">
        <v>1569</v>
      </c>
      <c r="H353" s="42" t="s">
        <v>2788</v>
      </c>
      <c r="I353" s="46">
        <v>331</v>
      </c>
      <c r="J353" s="46">
        <v>1111</v>
      </c>
      <c r="K353" s="24" t="s">
        <v>21</v>
      </c>
      <c r="L353" s="24">
        <v>1</v>
      </c>
      <c r="M353" s="39">
        <v>33000</v>
      </c>
      <c r="N353" s="39">
        <f t="shared" si="11"/>
        <v>33000</v>
      </c>
      <c r="O353" s="38" t="s">
        <v>22</v>
      </c>
    </row>
    <row r="354" spans="1:15" ht="15" customHeight="1" x14ac:dyDescent="0.2">
      <c r="A354" s="24" t="s">
        <v>368</v>
      </c>
      <c r="B354" s="36" t="s">
        <v>2050</v>
      </c>
      <c r="C354" s="24">
        <f t="shared" si="10"/>
        <v>548</v>
      </c>
      <c r="D354" s="24">
        <v>1</v>
      </c>
      <c r="G354" s="37" t="s">
        <v>1569</v>
      </c>
      <c r="H354" s="42" t="s">
        <v>2789</v>
      </c>
      <c r="I354" s="46">
        <v>331</v>
      </c>
      <c r="J354" s="46">
        <v>1111</v>
      </c>
      <c r="K354" s="24" t="s">
        <v>21</v>
      </c>
      <c r="L354" s="24">
        <v>1</v>
      </c>
      <c r="M354" s="39">
        <v>36000</v>
      </c>
      <c r="N354" s="39">
        <f t="shared" si="11"/>
        <v>36000</v>
      </c>
      <c r="O354" s="38" t="s">
        <v>22</v>
      </c>
    </row>
    <row r="355" spans="1:15" ht="15" customHeight="1" x14ac:dyDescent="0.2">
      <c r="A355" s="24" t="s">
        <v>368</v>
      </c>
      <c r="B355" s="36" t="s">
        <v>2488</v>
      </c>
      <c r="C355" s="24">
        <f t="shared" si="10"/>
        <v>549</v>
      </c>
      <c r="D355" s="24">
        <v>1</v>
      </c>
      <c r="G355" s="37" t="s">
        <v>1569</v>
      </c>
      <c r="H355" s="42" t="s">
        <v>2790</v>
      </c>
      <c r="I355" s="46">
        <v>331</v>
      </c>
      <c r="J355" s="46">
        <v>1111</v>
      </c>
      <c r="K355" s="24" t="s">
        <v>21</v>
      </c>
      <c r="L355" s="24">
        <v>1</v>
      </c>
      <c r="M355" s="39">
        <v>44000</v>
      </c>
      <c r="N355" s="39">
        <f t="shared" si="11"/>
        <v>44000</v>
      </c>
      <c r="O355" s="38" t="s">
        <v>22</v>
      </c>
    </row>
    <row r="356" spans="1:15" ht="15" customHeight="1" x14ac:dyDescent="0.2">
      <c r="A356" s="24" t="s">
        <v>368</v>
      </c>
      <c r="B356" s="36" t="s">
        <v>2488</v>
      </c>
      <c r="C356" s="24">
        <f t="shared" si="10"/>
        <v>550</v>
      </c>
      <c r="D356" s="24">
        <v>1</v>
      </c>
      <c r="G356" s="37" t="s">
        <v>1569</v>
      </c>
      <c r="H356" s="42" t="s">
        <v>2791</v>
      </c>
      <c r="I356" s="46">
        <v>331</v>
      </c>
      <c r="J356" s="46">
        <v>1111</v>
      </c>
      <c r="K356" s="24" t="s">
        <v>21</v>
      </c>
      <c r="L356" s="24">
        <v>1</v>
      </c>
      <c r="M356" s="39">
        <v>47000</v>
      </c>
      <c r="N356" s="39">
        <f t="shared" si="11"/>
        <v>47000</v>
      </c>
      <c r="O356" s="38" t="s">
        <v>22</v>
      </c>
    </row>
    <row r="357" spans="1:15" ht="15" customHeight="1" x14ac:dyDescent="0.2">
      <c r="A357" s="24" t="s">
        <v>368</v>
      </c>
      <c r="B357" s="36" t="s">
        <v>2078</v>
      </c>
      <c r="C357" s="24">
        <f t="shared" si="10"/>
        <v>551</v>
      </c>
      <c r="D357" s="24">
        <v>1</v>
      </c>
      <c r="G357" s="37" t="s">
        <v>1569</v>
      </c>
      <c r="H357" s="42" t="s">
        <v>2792</v>
      </c>
      <c r="I357" s="46">
        <v>331</v>
      </c>
      <c r="J357" s="46">
        <v>1111</v>
      </c>
      <c r="K357" s="24" t="s">
        <v>21</v>
      </c>
      <c r="L357" s="24">
        <v>1</v>
      </c>
      <c r="M357" s="39">
        <v>51000</v>
      </c>
      <c r="N357" s="39">
        <f t="shared" si="11"/>
        <v>51000</v>
      </c>
      <c r="O357" s="38" t="s">
        <v>22</v>
      </c>
    </row>
    <row r="358" spans="1:15" ht="15" customHeight="1" x14ac:dyDescent="0.2">
      <c r="A358" s="24" t="s">
        <v>368</v>
      </c>
      <c r="B358" s="36" t="s">
        <v>1425</v>
      </c>
      <c r="C358" s="24">
        <f t="shared" si="10"/>
        <v>552</v>
      </c>
      <c r="D358" s="24">
        <v>1</v>
      </c>
      <c r="G358" s="37" t="s">
        <v>1569</v>
      </c>
      <c r="H358" s="42" t="s">
        <v>2793</v>
      </c>
      <c r="I358" s="46">
        <v>331</v>
      </c>
      <c r="J358" s="46">
        <v>1111</v>
      </c>
      <c r="K358" s="24" t="s">
        <v>21</v>
      </c>
      <c r="L358" s="24">
        <v>1</v>
      </c>
      <c r="M358" s="39">
        <v>36000</v>
      </c>
      <c r="N358" s="39">
        <f t="shared" si="11"/>
        <v>36000</v>
      </c>
      <c r="O358" s="38" t="s">
        <v>22</v>
      </c>
    </row>
    <row r="359" spans="1:15" ht="15" customHeight="1" x14ac:dyDescent="0.2">
      <c r="A359" s="24" t="s">
        <v>368</v>
      </c>
      <c r="B359" s="36" t="s">
        <v>1425</v>
      </c>
      <c r="C359" s="24">
        <f t="shared" si="10"/>
        <v>553</v>
      </c>
      <c r="D359" s="24">
        <v>1</v>
      </c>
      <c r="G359" s="37" t="s">
        <v>1569</v>
      </c>
      <c r="H359" s="42" t="s">
        <v>2794</v>
      </c>
      <c r="I359" s="46">
        <v>331</v>
      </c>
      <c r="J359" s="46">
        <v>1111</v>
      </c>
      <c r="K359" s="24" t="s">
        <v>21</v>
      </c>
      <c r="L359" s="24">
        <v>1</v>
      </c>
      <c r="M359" s="39">
        <v>31000</v>
      </c>
      <c r="N359" s="39">
        <f t="shared" si="11"/>
        <v>31000</v>
      </c>
      <c r="O359" s="38" t="s">
        <v>22</v>
      </c>
    </row>
    <row r="360" spans="1:15" ht="15" customHeight="1" x14ac:dyDescent="0.2">
      <c r="A360" s="24" t="s">
        <v>368</v>
      </c>
      <c r="B360" s="36" t="s">
        <v>1425</v>
      </c>
      <c r="C360" s="24">
        <f t="shared" si="10"/>
        <v>554</v>
      </c>
      <c r="D360" s="24">
        <v>1</v>
      </c>
      <c r="G360" s="37" t="s">
        <v>1569</v>
      </c>
      <c r="H360" s="42" t="s">
        <v>2795</v>
      </c>
      <c r="I360" s="46">
        <v>331</v>
      </c>
      <c r="J360" s="46">
        <v>1111</v>
      </c>
      <c r="K360" s="24" t="s">
        <v>21</v>
      </c>
      <c r="L360" s="24">
        <v>1</v>
      </c>
      <c r="M360" s="39">
        <v>126000</v>
      </c>
      <c r="N360" s="39">
        <f t="shared" si="11"/>
        <v>126000</v>
      </c>
      <c r="O360" s="38" t="s">
        <v>22</v>
      </c>
    </row>
    <row r="361" spans="1:15" ht="15" customHeight="1" x14ac:dyDescent="0.2">
      <c r="A361" s="24" t="s">
        <v>368</v>
      </c>
      <c r="B361" s="36" t="s">
        <v>2484</v>
      </c>
      <c r="C361" s="24">
        <f t="shared" si="10"/>
        <v>555</v>
      </c>
      <c r="D361" s="24">
        <v>1</v>
      </c>
      <c r="G361" s="37" t="s">
        <v>1569</v>
      </c>
      <c r="H361" s="42" t="s">
        <v>2796</v>
      </c>
      <c r="I361" s="46">
        <v>331</v>
      </c>
      <c r="J361" s="46">
        <v>1111</v>
      </c>
      <c r="K361" s="24" t="s">
        <v>21</v>
      </c>
      <c r="L361" s="24">
        <v>1</v>
      </c>
      <c r="M361" s="39">
        <v>107000</v>
      </c>
      <c r="N361" s="39">
        <f t="shared" si="11"/>
        <v>107000</v>
      </c>
      <c r="O361" s="38" t="s">
        <v>22</v>
      </c>
    </row>
    <row r="362" spans="1:15" ht="15" customHeight="1" x14ac:dyDescent="0.2">
      <c r="A362" s="24" t="s">
        <v>368</v>
      </c>
      <c r="B362" s="36" t="s">
        <v>2048</v>
      </c>
      <c r="C362" s="24">
        <f t="shared" si="10"/>
        <v>556</v>
      </c>
      <c r="D362" s="24">
        <v>1</v>
      </c>
      <c r="G362" s="37" t="s">
        <v>2452</v>
      </c>
      <c r="H362" s="42" t="s">
        <v>2797</v>
      </c>
      <c r="I362" s="46">
        <v>331</v>
      </c>
      <c r="J362" s="46">
        <v>1111</v>
      </c>
      <c r="K362" s="24" t="s">
        <v>21</v>
      </c>
      <c r="L362" s="24">
        <v>1</v>
      </c>
      <c r="M362" s="39">
        <v>4752000</v>
      </c>
      <c r="N362" s="39">
        <f t="shared" si="11"/>
        <v>4752000</v>
      </c>
      <c r="O362" s="38" t="s">
        <v>22</v>
      </c>
    </row>
    <row r="363" spans="1:15" ht="15" customHeight="1" x14ac:dyDescent="0.2">
      <c r="A363" s="24" t="s">
        <v>368</v>
      </c>
      <c r="B363" s="36" t="s">
        <v>2125</v>
      </c>
      <c r="C363" s="24">
        <f t="shared" si="10"/>
        <v>557</v>
      </c>
      <c r="D363" s="24">
        <v>1</v>
      </c>
      <c r="G363" s="37" t="s">
        <v>2453</v>
      </c>
      <c r="H363" s="42" t="s">
        <v>2798</v>
      </c>
      <c r="I363" s="46">
        <v>331</v>
      </c>
      <c r="J363" s="46">
        <v>1111</v>
      </c>
      <c r="K363" s="24" t="s">
        <v>21</v>
      </c>
      <c r="L363" s="24">
        <v>1</v>
      </c>
      <c r="M363" s="39">
        <v>6890400</v>
      </c>
      <c r="N363" s="39">
        <f t="shared" si="11"/>
        <v>6890400</v>
      </c>
      <c r="O363" s="38" t="s">
        <v>22</v>
      </c>
    </row>
    <row r="364" spans="1:15" ht="15" customHeight="1" x14ac:dyDescent="0.2">
      <c r="A364" s="24" t="s">
        <v>368</v>
      </c>
      <c r="B364" s="36" t="s">
        <v>2444</v>
      </c>
      <c r="C364" s="24">
        <f t="shared" si="10"/>
        <v>558</v>
      </c>
      <c r="D364" s="24">
        <v>1</v>
      </c>
      <c r="G364" s="37" t="s">
        <v>2454</v>
      </c>
      <c r="H364" s="42" t="s">
        <v>2799</v>
      </c>
      <c r="I364" s="46">
        <v>331</v>
      </c>
      <c r="J364" s="46">
        <v>1111</v>
      </c>
      <c r="K364" s="24" t="s">
        <v>21</v>
      </c>
      <c r="L364" s="24">
        <v>1</v>
      </c>
      <c r="M364" s="39">
        <v>924480</v>
      </c>
      <c r="N364" s="39">
        <f t="shared" si="11"/>
        <v>924480</v>
      </c>
      <c r="O364" s="38" t="s">
        <v>22</v>
      </c>
    </row>
    <row r="365" spans="1:15" ht="15" customHeight="1" x14ac:dyDescent="0.2">
      <c r="A365" s="24" t="s">
        <v>368</v>
      </c>
      <c r="B365" s="36" t="s">
        <v>2444</v>
      </c>
      <c r="C365" s="24">
        <f t="shared" si="10"/>
        <v>559</v>
      </c>
      <c r="D365" s="24">
        <v>1</v>
      </c>
      <c r="G365" s="37" t="s">
        <v>2455</v>
      </c>
      <c r="H365" s="42" t="s">
        <v>2800</v>
      </c>
      <c r="I365" s="46">
        <v>331</v>
      </c>
      <c r="J365" s="46">
        <v>1111</v>
      </c>
      <c r="K365" s="24" t="s">
        <v>21</v>
      </c>
      <c r="L365" s="24">
        <v>1</v>
      </c>
      <c r="M365" s="39">
        <v>340200</v>
      </c>
      <c r="N365" s="39">
        <f t="shared" si="11"/>
        <v>340200</v>
      </c>
      <c r="O365" s="38" t="s">
        <v>22</v>
      </c>
    </row>
    <row r="366" spans="1:15" ht="15" customHeight="1" x14ac:dyDescent="0.2">
      <c r="A366" s="24" t="s">
        <v>368</v>
      </c>
      <c r="B366" s="36" t="s">
        <v>2078</v>
      </c>
      <c r="C366" s="24">
        <f t="shared" si="10"/>
        <v>560</v>
      </c>
      <c r="D366" s="24">
        <v>1</v>
      </c>
      <c r="G366" s="37" t="s">
        <v>2456</v>
      </c>
      <c r="H366" s="42" t="s">
        <v>2801</v>
      </c>
      <c r="I366" s="46">
        <v>331</v>
      </c>
      <c r="J366" s="46">
        <v>1111</v>
      </c>
      <c r="K366" s="24" t="s">
        <v>21</v>
      </c>
      <c r="L366" s="24">
        <v>1</v>
      </c>
      <c r="M366" s="39">
        <v>400000</v>
      </c>
      <c r="N366" s="39">
        <f t="shared" si="11"/>
        <v>400000</v>
      </c>
      <c r="O366" s="38" t="s">
        <v>22</v>
      </c>
    </row>
    <row r="367" spans="1:15" ht="15" customHeight="1" x14ac:dyDescent="0.2">
      <c r="A367" s="24" t="s">
        <v>368</v>
      </c>
      <c r="B367" s="36" t="s">
        <v>2445</v>
      </c>
      <c r="C367" s="24">
        <f t="shared" si="10"/>
        <v>561</v>
      </c>
      <c r="D367" s="24">
        <v>1</v>
      </c>
      <c r="G367" s="37" t="s">
        <v>1600</v>
      </c>
      <c r="H367" s="42" t="s">
        <v>2802</v>
      </c>
      <c r="I367" s="46">
        <v>331</v>
      </c>
      <c r="J367" s="46">
        <v>1111</v>
      </c>
      <c r="K367" s="24" t="s">
        <v>21</v>
      </c>
      <c r="L367" s="24">
        <v>1</v>
      </c>
      <c r="M367" s="39">
        <v>5240000</v>
      </c>
      <c r="N367" s="39">
        <f t="shared" si="11"/>
        <v>5240000</v>
      </c>
      <c r="O367" s="38" t="s">
        <v>22</v>
      </c>
    </row>
    <row r="368" spans="1:15" ht="15" customHeight="1" x14ac:dyDescent="0.2">
      <c r="A368" s="24" t="s">
        <v>33</v>
      </c>
      <c r="B368" s="36">
        <v>45839</v>
      </c>
      <c r="C368" s="24">
        <f t="shared" si="10"/>
        <v>562</v>
      </c>
      <c r="D368" s="24">
        <v>1</v>
      </c>
      <c r="G368" s="37" t="s">
        <v>96</v>
      </c>
      <c r="H368" s="24" t="s">
        <v>2804</v>
      </c>
      <c r="I368" s="24">
        <v>112111</v>
      </c>
      <c r="J368" s="24">
        <v>131</v>
      </c>
      <c r="K368" s="24" t="s">
        <v>21</v>
      </c>
      <c r="L368" s="24">
        <v>1</v>
      </c>
      <c r="M368" s="39">
        <v>5376344</v>
      </c>
      <c r="N368" s="39">
        <f t="shared" si="11"/>
        <v>5376344</v>
      </c>
      <c r="O368" s="38" t="s">
        <v>22</v>
      </c>
    </row>
    <row r="369" spans="1:15" ht="15" customHeight="1" x14ac:dyDescent="0.2">
      <c r="A369" s="24" t="s">
        <v>33</v>
      </c>
      <c r="B369" s="36">
        <v>45845</v>
      </c>
      <c r="C369" s="24">
        <f t="shared" si="10"/>
        <v>563</v>
      </c>
      <c r="D369" s="24">
        <v>1</v>
      </c>
      <c r="G369" s="37" t="s">
        <v>2411</v>
      </c>
      <c r="H369" s="24" t="s">
        <v>2805</v>
      </c>
      <c r="I369" s="24">
        <v>112111</v>
      </c>
      <c r="J369" s="24">
        <v>131</v>
      </c>
      <c r="K369" s="24" t="s">
        <v>21</v>
      </c>
      <c r="L369" s="24">
        <v>1</v>
      </c>
      <c r="M369" s="39">
        <v>7526881</v>
      </c>
      <c r="N369" s="39">
        <f t="shared" si="11"/>
        <v>7526881</v>
      </c>
      <c r="O369" s="38" t="s">
        <v>22</v>
      </c>
    </row>
    <row r="370" spans="1:15" ht="15" customHeight="1" x14ac:dyDescent="0.2">
      <c r="A370" s="24" t="s">
        <v>89</v>
      </c>
      <c r="B370" s="36">
        <v>45861</v>
      </c>
      <c r="C370" s="24">
        <f t="shared" si="10"/>
        <v>564</v>
      </c>
      <c r="D370" s="24">
        <v>1</v>
      </c>
      <c r="G370" s="37" t="s">
        <v>2803</v>
      </c>
      <c r="H370" s="42" t="s">
        <v>1008</v>
      </c>
      <c r="I370" s="24">
        <v>1111</v>
      </c>
      <c r="J370" s="24">
        <v>112111</v>
      </c>
      <c r="K370" s="24" t="s">
        <v>21</v>
      </c>
      <c r="L370" s="24">
        <v>1</v>
      </c>
      <c r="M370" s="39">
        <v>50000000</v>
      </c>
      <c r="N370" s="39">
        <f t="shared" si="11"/>
        <v>50000000</v>
      </c>
      <c r="O370" s="24" t="s">
        <v>22</v>
      </c>
    </row>
    <row r="371" spans="1:15" ht="15" customHeight="1" x14ac:dyDescent="0.2">
      <c r="A371" s="24" t="s">
        <v>33</v>
      </c>
      <c r="B371" s="36">
        <v>45862</v>
      </c>
      <c r="C371" s="24">
        <f t="shared" si="10"/>
        <v>565</v>
      </c>
      <c r="D371" s="24">
        <v>1</v>
      </c>
      <c r="G371" s="37" t="s">
        <v>2234</v>
      </c>
      <c r="H371" s="24" t="s">
        <v>2806</v>
      </c>
      <c r="I371" s="24">
        <v>112111</v>
      </c>
      <c r="J371" s="24">
        <v>131</v>
      </c>
      <c r="K371" s="24" t="s">
        <v>21</v>
      </c>
      <c r="L371" s="24">
        <v>1</v>
      </c>
      <c r="M371" s="39">
        <v>56419355</v>
      </c>
      <c r="N371" s="39">
        <f t="shared" si="11"/>
        <v>56419355</v>
      </c>
      <c r="O371" s="24" t="s">
        <v>22</v>
      </c>
    </row>
    <row r="372" spans="1:15" ht="15" customHeight="1" x14ac:dyDescent="0.2">
      <c r="A372" s="24" t="s">
        <v>33</v>
      </c>
      <c r="B372" s="36">
        <v>45864</v>
      </c>
      <c r="C372" s="24">
        <f t="shared" si="10"/>
        <v>566</v>
      </c>
      <c r="D372" s="24">
        <v>1</v>
      </c>
      <c r="G372" s="37" t="s">
        <v>128</v>
      </c>
      <c r="H372" s="24" t="s">
        <v>129</v>
      </c>
      <c r="I372" s="24">
        <v>112111</v>
      </c>
      <c r="J372" s="24">
        <v>5154</v>
      </c>
      <c r="K372" s="24" t="s">
        <v>21</v>
      </c>
      <c r="L372" s="24">
        <v>1</v>
      </c>
      <c r="M372" s="39">
        <v>4927</v>
      </c>
      <c r="N372" s="39">
        <f t="shared" si="11"/>
        <v>4927</v>
      </c>
      <c r="O372" s="24" t="s">
        <v>22</v>
      </c>
    </row>
    <row r="373" spans="1:15" ht="15" customHeight="1" x14ac:dyDescent="0.2">
      <c r="A373" s="24" t="s">
        <v>33</v>
      </c>
      <c r="B373" s="36">
        <v>45866</v>
      </c>
      <c r="C373" s="24">
        <f t="shared" si="10"/>
        <v>567</v>
      </c>
      <c r="D373" s="24">
        <v>1</v>
      </c>
      <c r="G373" s="37" t="s">
        <v>617</v>
      </c>
      <c r="H373" s="24" t="s">
        <v>2807</v>
      </c>
      <c r="I373" s="24">
        <v>112111</v>
      </c>
      <c r="J373" s="24">
        <v>131</v>
      </c>
      <c r="K373" s="24" t="s">
        <v>21</v>
      </c>
      <c r="L373" s="24">
        <v>1</v>
      </c>
      <c r="M373" s="39">
        <v>51096774</v>
      </c>
      <c r="N373" s="39">
        <f t="shared" si="11"/>
        <v>51096774</v>
      </c>
      <c r="O373" s="24" t="s">
        <v>22</v>
      </c>
    </row>
    <row r="374" spans="1:15" ht="15" customHeight="1" x14ac:dyDescent="0.2">
      <c r="A374" s="24" t="s">
        <v>89</v>
      </c>
      <c r="B374" s="36">
        <v>45869</v>
      </c>
      <c r="C374" s="24">
        <f t="shared" si="10"/>
        <v>568</v>
      </c>
      <c r="D374" s="24">
        <v>1</v>
      </c>
      <c r="G374" s="37" t="s">
        <v>2803</v>
      </c>
      <c r="H374" s="42" t="s">
        <v>1008</v>
      </c>
      <c r="I374" s="24">
        <v>1111</v>
      </c>
      <c r="J374" s="24">
        <v>112111</v>
      </c>
      <c r="K374" s="24" t="s">
        <v>21</v>
      </c>
      <c r="L374" s="24">
        <v>1</v>
      </c>
      <c r="M374" s="39">
        <v>30400000</v>
      </c>
      <c r="N374" s="39">
        <f t="shared" ref="N374" si="12">L374*M374</f>
        <v>30400000</v>
      </c>
      <c r="O374" s="24" t="s">
        <v>22</v>
      </c>
    </row>
    <row r="375" spans="1:15" ht="15" customHeight="1" x14ac:dyDescent="0.2">
      <c r="A375" s="24" t="s">
        <v>89</v>
      </c>
      <c r="B375" s="36">
        <v>45869</v>
      </c>
      <c r="C375" s="24">
        <f t="shared" si="10"/>
        <v>569</v>
      </c>
      <c r="D375" s="24">
        <v>1</v>
      </c>
      <c r="G375" s="37" t="s">
        <v>29</v>
      </c>
      <c r="H375" s="24" t="s">
        <v>2808</v>
      </c>
      <c r="I375" s="24">
        <v>333821</v>
      </c>
      <c r="J375" s="24">
        <v>112111</v>
      </c>
      <c r="K375" s="24" t="s">
        <v>21</v>
      </c>
      <c r="L375" s="24">
        <v>1</v>
      </c>
      <c r="M375" s="39">
        <v>22628516</v>
      </c>
      <c r="N375" s="39">
        <f t="shared" si="11"/>
        <v>22628516</v>
      </c>
      <c r="O375" s="24" t="s">
        <v>22</v>
      </c>
    </row>
    <row r="376" spans="1:15" ht="15" customHeight="1" x14ac:dyDescent="0.2">
      <c r="A376" s="24" t="s">
        <v>33</v>
      </c>
      <c r="B376" s="36">
        <v>45869</v>
      </c>
      <c r="C376" s="24">
        <f t="shared" si="10"/>
        <v>570</v>
      </c>
      <c r="D376" s="24">
        <v>1</v>
      </c>
      <c r="G376" s="37" t="s">
        <v>96</v>
      </c>
      <c r="H376" s="24" t="s">
        <v>2809</v>
      </c>
      <c r="I376" s="24">
        <v>112111</v>
      </c>
      <c r="J376" s="24">
        <v>131</v>
      </c>
      <c r="K376" s="24" t="s">
        <v>21</v>
      </c>
      <c r="L376" s="24">
        <v>1</v>
      </c>
      <c r="M376" s="39">
        <v>95806452</v>
      </c>
      <c r="N376" s="39">
        <f t="shared" si="11"/>
        <v>95806452</v>
      </c>
      <c r="O376" s="24" t="s">
        <v>22</v>
      </c>
    </row>
    <row r="377" spans="1:15" ht="15" customHeight="1" x14ac:dyDescent="0.2">
      <c r="A377" s="24" t="s">
        <v>89</v>
      </c>
      <c r="B377" s="36">
        <v>45870</v>
      </c>
      <c r="C377" s="24">
        <f t="shared" si="10"/>
        <v>571</v>
      </c>
      <c r="D377" s="24">
        <v>1</v>
      </c>
      <c r="G377" s="37" t="s">
        <v>2803</v>
      </c>
      <c r="H377" s="42" t="s">
        <v>1008</v>
      </c>
      <c r="I377" s="24">
        <v>1111</v>
      </c>
      <c r="J377" s="24">
        <v>112111</v>
      </c>
      <c r="K377" s="24" t="s">
        <v>21</v>
      </c>
      <c r="L377" s="24">
        <v>1</v>
      </c>
      <c r="M377" s="39">
        <v>101300000</v>
      </c>
      <c r="N377" s="39">
        <f t="shared" si="11"/>
        <v>101300000</v>
      </c>
      <c r="O377" s="24" t="s">
        <v>22</v>
      </c>
    </row>
    <row r="378" spans="1:15" ht="15" customHeight="1" x14ac:dyDescent="0.2">
      <c r="A378" s="24" t="s">
        <v>33</v>
      </c>
      <c r="B378" s="36">
        <v>45877</v>
      </c>
      <c r="C378" s="24">
        <f t="shared" si="10"/>
        <v>572</v>
      </c>
      <c r="D378" s="24">
        <v>1</v>
      </c>
      <c r="G378" s="37" t="s">
        <v>627</v>
      </c>
      <c r="H378" s="24" t="s">
        <v>2810</v>
      </c>
      <c r="I378" s="24">
        <v>112111</v>
      </c>
      <c r="J378" s="24">
        <v>131</v>
      </c>
      <c r="K378" s="24" t="s">
        <v>21</v>
      </c>
      <c r="L378" s="24">
        <v>1</v>
      </c>
      <c r="M378" s="39">
        <v>15967742</v>
      </c>
      <c r="N378" s="39">
        <f t="shared" si="11"/>
        <v>15967742</v>
      </c>
      <c r="O378" s="24" t="s">
        <v>22</v>
      </c>
    </row>
    <row r="379" spans="1:15" ht="15" customHeight="1" x14ac:dyDescent="0.2">
      <c r="A379" s="24" t="s">
        <v>89</v>
      </c>
      <c r="B379" s="36">
        <v>45878</v>
      </c>
      <c r="C379" s="24">
        <f t="shared" si="10"/>
        <v>573</v>
      </c>
      <c r="D379" s="24">
        <v>1</v>
      </c>
      <c r="G379" s="37" t="s">
        <v>2803</v>
      </c>
      <c r="H379" s="42" t="s">
        <v>1008</v>
      </c>
      <c r="I379" s="24">
        <v>1111</v>
      </c>
      <c r="J379" s="24">
        <v>112111</v>
      </c>
      <c r="K379" s="24" t="s">
        <v>21</v>
      </c>
      <c r="L379" s="24">
        <v>1</v>
      </c>
      <c r="M379" s="39">
        <v>115000000</v>
      </c>
      <c r="N379" s="39">
        <f t="shared" si="11"/>
        <v>115000000</v>
      </c>
      <c r="O379" s="24" t="s">
        <v>22</v>
      </c>
    </row>
    <row r="380" spans="1:15" ht="15" customHeight="1" x14ac:dyDescent="0.2">
      <c r="A380" s="24" t="s">
        <v>33</v>
      </c>
      <c r="B380" s="36">
        <v>45887</v>
      </c>
      <c r="C380" s="24">
        <f t="shared" si="10"/>
        <v>574</v>
      </c>
      <c r="D380" s="24">
        <v>1</v>
      </c>
      <c r="G380" s="37" t="s">
        <v>656</v>
      </c>
      <c r="H380" s="24" t="s">
        <v>2811</v>
      </c>
      <c r="I380" s="24">
        <v>112111</v>
      </c>
      <c r="J380" s="24">
        <v>131</v>
      </c>
      <c r="K380" s="24" t="s">
        <v>21</v>
      </c>
      <c r="L380" s="24">
        <v>1</v>
      </c>
      <c r="M380" s="39">
        <v>50000000</v>
      </c>
      <c r="N380" s="39">
        <f t="shared" si="11"/>
        <v>50000000</v>
      </c>
      <c r="O380" s="24" t="s">
        <v>22</v>
      </c>
    </row>
    <row r="381" spans="1:15" ht="15" customHeight="1" x14ac:dyDescent="0.2">
      <c r="A381" s="24" t="s">
        <v>89</v>
      </c>
      <c r="B381" s="36">
        <v>45888</v>
      </c>
      <c r="C381" s="24">
        <f t="shared" si="10"/>
        <v>575</v>
      </c>
      <c r="D381" s="24">
        <v>1</v>
      </c>
      <c r="G381" s="37" t="s">
        <v>1919</v>
      </c>
      <c r="H381" s="42" t="s">
        <v>2683</v>
      </c>
      <c r="I381" s="46">
        <v>331</v>
      </c>
      <c r="J381" s="46">
        <v>112111</v>
      </c>
      <c r="K381" s="24" t="s">
        <v>21</v>
      </c>
      <c r="L381" s="24">
        <v>1</v>
      </c>
      <c r="M381" s="39">
        <v>8900000</v>
      </c>
      <c r="N381" s="39">
        <f t="shared" si="11"/>
        <v>8900000</v>
      </c>
      <c r="O381" s="24" t="s">
        <v>22</v>
      </c>
    </row>
    <row r="382" spans="1:15" ht="15" customHeight="1" x14ac:dyDescent="0.2">
      <c r="A382" s="24" t="s">
        <v>18</v>
      </c>
      <c r="B382" s="36">
        <v>45891</v>
      </c>
      <c r="C382" s="24">
        <f t="shared" si="10"/>
        <v>576</v>
      </c>
      <c r="D382" s="24">
        <v>1</v>
      </c>
      <c r="G382" s="15" t="s">
        <v>252</v>
      </c>
      <c r="H382" s="13" t="s">
        <v>1578</v>
      </c>
      <c r="I382" s="24">
        <v>131</v>
      </c>
      <c r="J382" s="24">
        <v>5113</v>
      </c>
      <c r="K382" s="24" t="s">
        <v>21</v>
      </c>
      <c r="L382" s="24">
        <v>1</v>
      </c>
      <c r="M382" s="39">
        <v>221330622</v>
      </c>
      <c r="N382" s="39">
        <f t="shared" si="11"/>
        <v>221330622</v>
      </c>
      <c r="O382" s="24" t="s">
        <v>22</v>
      </c>
    </row>
    <row r="383" spans="1:15" ht="15" customHeight="1" x14ac:dyDescent="0.2">
      <c r="A383" s="24" t="s">
        <v>33</v>
      </c>
      <c r="B383" s="36">
        <v>45891</v>
      </c>
      <c r="C383" s="24">
        <f t="shared" si="10"/>
        <v>577</v>
      </c>
      <c r="D383" s="24">
        <v>1</v>
      </c>
      <c r="G383" s="15" t="s">
        <v>252</v>
      </c>
      <c r="H383" s="13" t="s">
        <v>1579</v>
      </c>
      <c r="I383" s="24">
        <v>112111</v>
      </c>
      <c r="J383" s="24">
        <v>131</v>
      </c>
      <c r="K383" s="24" t="s">
        <v>21</v>
      </c>
      <c r="L383" s="24">
        <v>1</v>
      </c>
      <c r="M383" s="39">
        <v>221330622</v>
      </c>
      <c r="N383" s="39">
        <f t="shared" si="11"/>
        <v>221330622</v>
      </c>
      <c r="O383" s="24" t="s">
        <v>22</v>
      </c>
    </row>
    <row r="384" spans="1:15" ht="15" customHeight="1" x14ac:dyDescent="0.2">
      <c r="A384" s="24" t="s">
        <v>89</v>
      </c>
      <c r="B384" s="36">
        <v>45892</v>
      </c>
      <c r="C384" s="24">
        <f t="shared" si="10"/>
        <v>578</v>
      </c>
      <c r="D384" s="24">
        <v>1</v>
      </c>
      <c r="G384" s="37" t="s">
        <v>2803</v>
      </c>
      <c r="H384" s="42" t="s">
        <v>1008</v>
      </c>
      <c r="I384" s="24">
        <v>1111</v>
      </c>
      <c r="J384" s="24">
        <v>112111</v>
      </c>
      <c r="K384" s="24" t="s">
        <v>21</v>
      </c>
      <c r="L384" s="24">
        <v>1</v>
      </c>
      <c r="M384" s="39">
        <v>221330000</v>
      </c>
      <c r="N384" s="39">
        <f t="shared" si="11"/>
        <v>221330000</v>
      </c>
      <c r="O384" s="24" t="s">
        <v>22</v>
      </c>
    </row>
    <row r="385" spans="1:15" ht="15" customHeight="1" x14ac:dyDescent="0.2">
      <c r="A385" s="24" t="s">
        <v>33</v>
      </c>
      <c r="B385" s="36">
        <v>45894</v>
      </c>
      <c r="C385" s="24">
        <f t="shared" si="10"/>
        <v>579</v>
      </c>
      <c r="D385" s="24">
        <v>1</v>
      </c>
      <c r="G385" s="37" t="s">
        <v>617</v>
      </c>
      <c r="H385" s="24" t="s">
        <v>2812</v>
      </c>
      <c r="I385" s="24">
        <v>112111</v>
      </c>
      <c r="J385" s="24">
        <v>131</v>
      </c>
      <c r="K385" s="24" t="s">
        <v>21</v>
      </c>
      <c r="L385" s="24">
        <v>1</v>
      </c>
      <c r="M385" s="39">
        <v>5322581</v>
      </c>
      <c r="N385" s="39">
        <f t="shared" si="11"/>
        <v>5322581</v>
      </c>
      <c r="O385" s="24" t="s">
        <v>22</v>
      </c>
    </row>
    <row r="386" spans="1:15" ht="15" customHeight="1" x14ac:dyDescent="0.2">
      <c r="A386" s="24" t="s">
        <v>89</v>
      </c>
      <c r="B386" s="36">
        <v>45897</v>
      </c>
      <c r="C386" s="24">
        <f t="shared" si="10"/>
        <v>580</v>
      </c>
      <c r="D386" s="24">
        <v>1</v>
      </c>
      <c r="G386" s="37" t="s">
        <v>2803</v>
      </c>
      <c r="H386" s="42" t="s">
        <v>1008</v>
      </c>
      <c r="I386" s="24">
        <v>1111</v>
      </c>
      <c r="J386" s="24">
        <v>112111</v>
      </c>
      <c r="K386" s="24" t="s">
        <v>21</v>
      </c>
      <c r="L386" s="24">
        <v>1</v>
      </c>
      <c r="M386" s="39">
        <v>20000000</v>
      </c>
      <c r="N386" s="39">
        <f t="shared" si="11"/>
        <v>20000000</v>
      </c>
      <c r="O386" s="24" t="s">
        <v>22</v>
      </c>
    </row>
    <row r="387" spans="1:15" ht="15" customHeight="1" x14ac:dyDescent="0.2">
      <c r="A387" s="24" t="s">
        <v>33</v>
      </c>
      <c r="B387" s="36">
        <v>45898</v>
      </c>
      <c r="C387" s="24">
        <f t="shared" si="10"/>
        <v>581</v>
      </c>
      <c r="D387" s="24">
        <v>1</v>
      </c>
      <c r="G387" s="37" t="s">
        <v>2410</v>
      </c>
      <c r="H387" s="24" t="s">
        <v>2813</v>
      </c>
      <c r="I387" s="24">
        <v>112111</v>
      </c>
      <c r="J387" s="24">
        <v>131</v>
      </c>
      <c r="K387" s="24" t="s">
        <v>21</v>
      </c>
      <c r="L387" s="24">
        <v>1</v>
      </c>
      <c r="M387" s="39">
        <v>53225806</v>
      </c>
      <c r="N387" s="39">
        <f t="shared" si="11"/>
        <v>53225806</v>
      </c>
      <c r="O387" s="24" t="s">
        <v>22</v>
      </c>
    </row>
    <row r="388" spans="1:15" ht="15" customHeight="1" x14ac:dyDescent="0.2">
      <c r="A388" s="24" t="s">
        <v>89</v>
      </c>
      <c r="B388" s="36">
        <v>45899</v>
      </c>
      <c r="C388" s="24">
        <f t="shared" si="10"/>
        <v>582</v>
      </c>
      <c r="D388" s="24">
        <v>1</v>
      </c>
      <c r="G388" s="37" t="s">
        <v>2803</v>
      </c>
      <c r="H388" s="42" t="s">
        <v>1008</v>
      </c>
      <c r="I388" s="24">
        <v>1111</v>
      </c>
      <c r="J388" s="24">
        <v>112111</v>
      </c>
      <c r="K388" s="24" t="s">
        <v>21</v>
      </c>
      <c r="L388" s="24">
        <v>1</v>
      </c>
      <c r="M388" s="39">
        <v>20000000</v>
      </c>
      <c r="N388" s="39">
        <f t="shared" si="11"/>
        <v>20000000</v>
      </c>
      <c r="O388" s="24" t="s">
        <v>22</v>
      </c>
    </row>
    <row r="389" spans="1:15" ht="15" customHeight="1" x14ac:dyDescent="0.2">
      <c r="A389" s="24" t="s">
        <v>33</v>
      </c>
      <c r="B389" s="36">
        <v>45899</v>
      </c>
      <c r="C389" s="24">
        <f t="shared" ref="C389:C406" si="13">C388+D389</f>
        <v>583</v>
      </c>
      <c r="D389" s="24">
        <v>1</v>
      </c>
      <c r="G389" s="37" t="s">
        <v>128</v>
      </c>
      <c r="H389" s="24" t="s">
        <v>129</v>
      </c>
      <c r="I389" s="24">
        <v>112111</v>
      </c>
      <c r="J389" s="24">
        <v>5154</v>
      </c>
      <c r="K389" s="24" t="s">
        <v>21</v>
      </c>
      <c r="L389" s="24">
        <v>1</v>
      </c>
      <c r="M389" s="39">
        <v>4750</v>
      </c>
      <c r="N389" s="39">
        <f t="shared" si="11"/>
        <v>4750</v>
      </c>
      <c r="O389" s="24" t="s">
        <v>22</v>
      </c>
    </row>
    <row r="390" spans="1:15" ht="15" customHeight="1" x14ac:dyDescent="0.2">
      <c r="A390" s="24" t="s">
        <v>89</v>
      </c>
      <c r="B390" s="36">
        <v>45904</v>
      </c>
      <c r="C390" s="24">
        <f t="shared" si="13"/>
        <v>584</v>
      </c>
      <c r="D390" s="24">
        <v>1</v>
      </c>
      <c r="G390" s="37" t="s">
        <v>29</v>
      </c>
      <c r="H390" s="24" t="s">
        <v>2815</v>
      </c>
      <c r="I390" s="24">
        <v>333822</v>
      </c>
      <c r="J390" s="24">
        <v>112111</v>
      </c>
      <c r="K390" s="24" t="s">
        <v>21</v>
      </c>
      <c r="L390" s="24">
        <v>1</v>
      </c>
      <c r="M390" s="39">
        <v>13427760</v>
      </c>
      <c r="N390" s="39">
        <f t="shared" si="11"/>
        <v>13427760</v>
      </c>
      <c r="O390" s="24" t="s">
        <v>22</v>
      </c>
    </row>
    <row r="391" spans="1:15" ht="15" customHeight="1" x14ac:dyDescent="0.2">
      <c r="A391" s="24" t="s">
        <v>18</v>
      </c>
      <c r="B391" s="36">
        <v>45904</v>
      </c>
      <c r="C391" s="24">
        <f t="shared" si="13"/>
        <v>585</v>
      </c>
      <c r="D391" s="24">
        <v>1</v>
      </c>
      <c r="G391" s="37" t="s">
        <v>29</v>
      </c>
      <c r="H391" s="24" t="s">
        <v>2814</v>
      </c>
      <c r="I391" s="24">
        <v>6425</v>
      </c>
      <c r="J391" s="24">
        <v>333822</v>
      </c>
      <c r="K391" s="24" t="s">
        <v>21</v>
      </c>
      <c r="L391" s="24">
        <v>1</v>
      </c>
      <c r="M391" s="39">
        <v>13427760</v>
      </c>
      <c r="N391" s="39">
        <f t="shared" ref="N391:N406" si="14">L391*M391</f>
        <v>13427760</v>
      </c>
      <c r="O391" s="24" t="s">
        <v>22</v>
      </c>
    </row>
    <row r="392" spans="1:15" ht="15" customHeight="1" x14ac:dyDescent="0.2">
      <c r="A392" s="24" t="s">
        <v>89</v>
      </c>
      <c r="B392" s="36">
        <v>45904</v>
      </c>
      <c r="C392" s="24">
        <f t="shared" si="13"/>
        <v>586</v>
      </c>
      <c r="D392" s="24">
        <v>1</v>
      </c>
      <c r="G392" s="37" t="s">
        <v>2803</v>
      </c>
      <c r="H392" s="42" t="s">
        <v>1008</v>
      </c>
      <c r="I392" s="24">
        <v>1111</v>
      </c>
      <c r="J392" s="24">
        <v>112111</v>
      </c>
      <c r="K392" s="24" t="s">
        <v>21</v>
      </c>
      <c r="L392" s="24">
        <v>1</v>
      </c>
      <c r="M392" s="39">
        <v>36000000</v>
      </c>
      <c r="N392" s="39">
        <f t="shared" si="14"/>
        <v>36000000</v>
      </c>
      <c r="O392" s="24" t="s">
        <v>22</v>
      </c>
    </row>
    <row r="393" spans="1:15" ht="15" customHeight="1" x14ac:dyDescent="0.2">
      <c r="A393" s="24" t="s">
        <v>33</v>
      </c>
      <c r="B393" s="36">
        <v>45904</v>
      </c>
      <c r="C393" s="24">
        <f t="shared" si="13"/>
        <v>587</v>
      </c>
      <c r="D393" s="24">
        <v>1</v>
      </c>
      <c r="G393" s="37" t="s">
        <v>1824</v>
      </c>
      <c r="H393" s="24" t="s">
        <v>2816</v>
      </c>
      <c r="I393" s="24">
        <v>112111</v>
      </c>
      <c r="J393" s="24">
        <v>131</v>
      </c>
      <c r="K393" s="24" t="s">
        <v>21</v>
      </c>
      <c r="L393" s="24">
        <v>1</v>
      </c>
      <c r="M393" s="39">
        <v>25548387</v>
      </c>
      <c r="N393" s="39">
        <f t="shared" si="14"/>
        <v>25548387</v>
      </c>
      <c r="O393" s="24" t="s">
        <v>22</v>
      </c>
    </row>
    <row r="394" spans="1:15" ht="15" customHeight="1" x14ac:dyDescent="0.2">
      <c r="A394" s="24" t="s">
        <v>33</v>
      </c>
      <c r="B394" s="36">
        <v>45906</v>
      </c>
      <c r="C394" s="24">
        <f t="shared" si="13"/>
        <v>588</v>
      </c>
      <c r="D394" s="24">
        <v>1</v>
      </c>
      <c r="G394" s="37" t="s">
        <v>2412</v>
      </c>
      <c r="H394" s="24" t="s">
        <v>2817</v>
      </c>
      <c r="I394" s="24">
        <v>112111</v>
      </c>
      <c r="J394" s="24">
        <v>131</v>
      </c>
      <c r="K394" s="24" t="s">
        <v>21</v>
      </c>
      <c r="L394" s="24">
        <v>1</v>
      </c>
      <c r="M394" s="39">
        <v>5322581</v>
      </c>
      <c r="N394" s="39">
        <f t="shared" si="14"/>
        <v>5322581</v>
      </c>
      <c r="O394" s="24" t="s">
        <v>22</v>
      </c>
    </row>
    <row r="395" spans="1:15" ht="15" customHeight="1" x14ac:dyDescent="0.2">
      <c r="A395" s="24" t="s">
        <v>33</v>
      </c>
      <c r="B395" s="36">
        <v>45910</v>
      </c>
      <c r="C395" s="24">
        <f t="shared" si="13"/>
        <v>589</v>
      </c>
      <c r="D395" s="24">
        <v>1</v>
      </c>
      <c r="G395" s="37" t="s">
        <v>756</v>
      </c>
      <c r="H395" s="24" t="s">
        <v>2818</v>
      </c>
      <c r="I395" s="24">
        <v>112111</v>
      </c>
      <c r="J395" s="24">
        <v>131</v>
      </c>
      <c r="K395" s="24" t="s">
        <v>21</v>
      </c>
      <c r="L395" s="24">
        <v>1</v>
      </c>
      <c r="M395" s="39">
        <v>28209678</v>
      </c>
      <c r="N395" s="39">
        <f t="shared" si="14"/>
        <v>28209678</v>
      </c>
      <c r="O395" s="24" t="s">
        <v>22</v>
      </c>
    </row>
    <row r="396" spans="1:15" ht="15" customHeight="1" x14ac:dyDescent="0.2">
      <c r="A396" s="24" t="s">
        <v>33</v>
      </c>
      <c r="B396" s="36">
        <v>45916</v>
      </c>
      <c r="C396" s="24">
        <f t="shared" si="13"/>
        <v>590</v>
      </c>
      <c r="D396" s="24">
        <v>1</v>
      </c>
      <c r="G396" s="37" t="s">
        <v>1107</v>
      </c>
      <c r="H396" s="24" t="s">
        <v>2819</v>
      </c>
      <c r="I396" s="24">
        <v>112111</v>
      </c>
      <c r="J396" s="24">
        <v>131</v>
      </c>
      <c r="K396" s="24" t="s">
        <v>21</v>
      </c>
      <c r="L396" s="24">
        <v>1</v>
      </c>
      <c r="M396" s="39">
        <v>56419355</v>
      </c>
      <c r="N396" s="39">
        <f t="shared" si="14"/>
        <v>56419355</v>
      </c>
      <c r="O396" s="24" t="s">
        <v>22</v>
      </c>
    </row>
    <row r="397" spans="1:15" ht="15" customHeight="1" x14ac:dyDescent="0.2">
      <c r="A397" s="24" t="s">
        <v>33</v>
      </c>
      <c r="B397" s="36">
        <v>45917</v>
      </c>
      <c r="C397" s="24">
        <f t="shared" si="13"/>
        <v>591</v>
      </c>
      <c r="D397" s="24">
        <v>1</v>
      </c>
      <c r="G397" s="37" t="s">
        <v>2411</v>
      </c>
      <c r="H397" s="24" t="s">
        <v>2820</v>
      </c>
      <c r="I397" s="24">
        <v>112111</v>
      </c>
      <c r="J397" s="24">
        <v>131</v>
      </c>
      <c r="K397" s="24" t="s">
        <v>21</v>
      </c>
      <c r="L397" s="24">
        <v>1</v>
      </c>
      <c r="M397" s="39">
        <v>7451612</v>
      </c>
      <c r="N397" s="39">
        <f t="shared" si="14"/>
        <v>7451612</v>
      </c>
      <c r="O397" s="24" t="s">
        <v>22</v>
      </c>
    </row>
    <row r="398" spans="1:15" ht="15" customHeight="1" x14ac:dyDescent="0.2">
      <c r="A398" s="24" t="s">
        <v>33</v>
      </c>
      <c r="B398" s="36">
        <v>45917</v>
      </c>
      <c r="C398" s="24">
        <f t="shared" si="13"/>
        <v>592</v>
      </c>
      <c r="D398" s="24">
        <v>1</v>
      </c>
      <c r="G398" s="37" t="s">
        <v>1824</v>
      </c>
      <c r="H398" s="24" t="s">
        <v>2816</v>
      </c>
      <c r="I398" s="24">
        <v>112111</v>
      </c>
      <c r="J398" s="24">
        <v>131</v>
      </c>
      <c r="K398" s="24" t="s">
        <v>21</v>
      </c>
      <c r="L398" s="24">
        <v>1</v>
      </c>
      <c r="M398" s="39">
        <v>25548387</v>
      </c>
      <c r="N398" s="39">
        <f t="shared" si="14"/>
        <v>25548387</v>
      </c>
      <c r="O398" s="24" t="s">
        <v>22</v>
      </c>
    </row>
    <row r="399" spans="1:15" ht="15" customHeight="1" x14ac:dyDescent="0.2">
      <c r="A399" s="24" t="s">
        <v>89</v>
      </c>
      <c r="B399" s="36">
        <v>45922</v>
      </c>
      <c r="C399" s="24">
        <f t="shared" si="13"/>
        <v>593</v>
      </c>
      <c r="D399" s="24">
        <v>1</v>
      </c>
      <c r="G399" s="37" t="s">
        <v>2803</v>
      </c>
      <c r="H399" s="42" t="s">
        <v>1008</v>
      </c>
      <c r="I399" s="24">
        <v>1111</v>
      </c>
      <c r="J399" s="24">
        <v>112111</v>
      </c>
      <c r="K399" s="24" t="s">
        <v>21</v>
      </c>
      <c r="L399" s="24">
        <v>1</v>
      </c>
      <c r="M399" s="39">
        <v>29740000</v>
      </c>
      <c r="N399" s="39">
        <f t="shared" si="14"/>
        <v>29740000</v>
      </c>
      <c r="O399" s="24" t="s">
        <v>22</v>
      </c>
    </row>
    <row r="400" spans="1:15" ht="15" customHeight="1" x14ac:dyDescent="0.2">
      <c r="A400" s="24" t="s">
        <v>89</v>
      </c>
      <c r="B400" s="36">
        <v>45922</v>
      </c>
      <c r="C400" s="24">
        <f t="shared" si="13"/>
        <v>594</v>
      </c>
      <c r="D400" s="24">
        <v>1</v>
      </c>
      <c r="G400" s="37" t="s">
        <v>2803</v>
      </c>
      <c r="H400" s="42" t="s">
        <v>1008</v>
      </c>
      <c r="I400" s="24">
        <v>1111</v>
      </c>
      <c r="J400" s="24">
        <v>112111</v>
      </c>
      <c r="K400" s="24" t="s">
        <v>21</v>
      </c>
      <c r="L400" s="24">
        <v>1</v>
      </c>
      <c r="M400" s="39">
        <v>10000000</v>
      </c>
      <c r="N400" s="39">
        <f t="shared" si="14"/>
        <v>10000000</v>
      </c>
      <c r="O400" s="24" t="s">
        <v>22</v>
      </c>
    </row>
    <row r="401" spans="1:15" ht="15" customHeight="1" x14ac:dyDescent="0.2">
      <c r="A401" s="24" t="s">
        <v>33</v>
      </c>
      <c r="B401" s="36">
        <v>45923</v>
      </c>
      <c r="C401" s="24">
        <f t="shared" si="13"/>
        <v>595</v>
      </c>
      <c r="D401" s="24">
        <v>1</v>
      </c>
      <c r="G401" s="37" t="s">
        <v>756</v>
      </c>
      <c r="H401" s="24" t="s">
        <v>2821</v>
      </c>
      <c r="I401" s="24">
        <v>112111</v>
      </c>
      <c r="J401" s="24">
        <v>131</v>
      </c>
      <c r="K401" s="24" t="s">
        <v>21</v>
      </c>
      <c r="L401" s="24">
        <v>1</v>
      </c>
      <c r="M401" s="39">
        <v>28209677</v>
      </c>
      <c r="N401" s="39">
        <f t="shared" si="14"/>
        <v>28209677</v>
      </c>
      <c r="O401" s="24" t="s">
        <v>22</v>
      </c>
    </row>
    <row r="402" spans="1:15" ht="15" customHeight="1" x14ac:dyDescent="0.2">
      <c r="A402" s="24" t="s">
        <v>89</v>
      </c>
      <c r="B402" s="36">
        <v>45923</v>
      </c>
      <c r="C402" s="24">
        <f t="shared" si="13"/>
        <v>596</v>
      </c>
      <c r="D402" s="24">
        <v>1</v>
      </c>
      <c r="G402" s="37" t="s">
        <v>2803</v>
      </c>
      <c r="H402" s="42" t="s">
        <v>1008</v>
      </c>
      <c r="I402" s="24">
        <v>1111</v>
      </c>
      <c r="J402" s="24">
        <v>112111</v>
      </c>
      <c r="K402" s="24" t="s">
        <v>21</v>
      </c>
      <c r="L402" s="24">
        <v>1</v>
      </c>
      <c r="M402" s="39">
        <v>50000000</v>
      </c>
      <c r="N402" s="39">
        <f t="shared" si="14"/>
        <v>50000000</v>
      </c>
      <c r="O402" s="24" t="s">
        <v>22</v>
      </c>
    </row>
    <row r="403" spans="1:15" ht="15" customHeight="1" x14ac:dyDescent="0.2">
      <c r="A403" s="24" t="s">
        <v>89</v>
      </c>
      <c r="B403" s="36">
        <v>45923</v>
      </c>
      <c r="C403" s="24">
        <f t="shared" si="13"/>
        <v>597</v>
      </c>
      <c r="D403" s="24">
        <v>1</v>
      </c>
      <c r="G403" s="37" t="s">
        <v>2803</v>
      </c>
      <c r="H403" s="42" t="s">
        <v>1008</v>
      </c>
      <c r="I403" s="24">
        <v>1111</v>
      </c>
      <c r="J403" s="24">
        <v>112111</v>
      </c>
      <c r="K403" s="24" t="s">
        <v>21</v>
      </c>
      <c r="L403" s="24">
        <v>1</v>
      </c>
      <c r="M403" s="39">
        <v>15000000</v>
      </c>
      <c r="N403" s="39">
        <f t="shared" si="14"/>
        <v>15000000</v>
      </c>
      <c r="O403" s="24" t="s">
        <v>22</v>
      </c>
    </row>
    <row r="404" spans="1:15" ht="15" customHeight="1" x14ac:dyDescent="0.2">
      <c r="A404" s="24" t="s">
        <v>89</v>
      </c>
      <c r="B404" s="36">
        <v>45925</v>
      </c>
      <c r="C404" s="24">
        <f t="shared" si="13"/>
        <v>598</v>
      </c>
      <c r="D404" s="24">
        <v>1</v>
      </c>
      <c r="G404" s="37" t="s">
        <v>2803</v>
      </c>
      <c r="H404" s="42" t="s">
        <v>1008</v>
      </c>
      <c r="I404" s="24">
        <v>1111</v>
      </c>
      <c r="J404" s="24">
        <v>112111</v>
      </c>
      <c r="K404" s="24" t="s">
        <v>21</v>
      </c>
      <c r="L404" s="24">
        <v>1</v>
      </c>
      <c r="M404" s="39">
        <v>5240000</v>
      </c>
      <c r="N404" s="39">
        <f t="shared" si="14"/>
        <v>5240000</v>
      </c>
      <c r="O404" s="24" t="s">
        <v>22</v>
      </c>
    </row>
    <row r="405" spans="1:15" ht="15" customHeight="1" x14ac:dyDescent="0.2">
      <c r="A405" s="24" t="s">
        <v>33</v>
      </c>
      <c r="B405" s="36">
        <v>45926</v>
      </c>
      <c r="C405" s="24">
        <f t="shared" si="13"/>
        <v>599</v>
      </c>
      <c r="D405" s="24">
        <v>1</v>
      </c>
      <c r="G405" s="37" t="s">
        <v>1107</v>
      </c>
      <c r="H405" s="24" t="s">
        <v>2822</v>
      </c>
      <c r="I405" s="24">
        <v>112111</v>
      </c>
      <c r="J405" s="24">
        <v>131</v>
      </c>
      <c r="K405" s="24" t="s">
        <v>21</v>
      </c>
      <c r="L405" s="24">
        <v>1</v>
      </c>
      <c r="M405" s="39">
        <v>5322581</v>
      </c>
      <c r="N405" s="39">
        <f t="shared" si="14"/>
        <v>5322581</v>
      </c>
      <c r="O405" s="24" t="s">
        <v>22</v>
      </c>
    </row>
    <row r="406" spans="1:15" ht="15" customHeight="1" x14ac:dyDescent="0.2">
      <c r="A406" s="24" t="s">
        <v>33</v>
      </c>
      <c r="B406" s="36">
        <v>45927</v>
      </c>
      <c r="C406" s="24">
        <f t="shared" si="13"/>
        <v>600</v>
      </c>
      <c r="D406" s="24">
        <v>1</v>
      </c>
      <c r="G406" s="37" t="s">
        <v>128</v>
      </c>
      <c r="H406" s="24" t="s">
        <v>129</v>
      </c>
      <c r="I406" s="24">
        <v>112111</v>
      </c>
      <c r="J406" s="24">
        <v>5154</v>
      </c>
      <c r="K406" s="24" t="s">
        <v>21</v>
      </c>
      <c r="L406" s="24">
        <v>1</v>
      </c>
      <c r="M406" s="39">
        <v>4357</v>
      </c>
      <c r="N406" s="39">
        <f t="shared" si="14"/>
        <v>4357</v>
      </c>
      <c r="O406" s="24" t="s">
        <v>22</v>
      </c>
    </row>
  </sheetData>
  <autoFilter ref="A3:P406" xr:uid="{00000000-0009-0000-0000-00000B000000}"/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07"/>
  <sheetViews>
    <sheetView topLeftCell="A35" workbookViewId="0">
      <selection activeCell="G69" sqref="G69:J70"/>
    </sheetView>
  </sheetViews>
  <sheetFormatPr defaultRowHeight="15" x14ac:dyDescent="0.25"/>
  <cols>
    <col min="7" max="7" width="12.7109375" bestFit="1" customWidth="1"/>
    <col min="8" max="8" width="33" customWidth="1"/>
    <col min="13" max="15" width="11.28515625" bestFit="1" customWidth="1"/>
    <col min="17" max="17" width="14.28515625" bestFit="1" customWidth="1"/>
  </cols>
  <sheetData>
    <row r="1" spans="1:16" ht="15.75" thickBot="1" x14ac:dyDescent="0.3">
      <c r="A1" s="177" t="s">
        <v>0</v>
      </c>
      <c r="B1" s="192" t="s">
        <v>1</v>
      </c>
      <c r="C1" s="177" t="s">
        <v>2</v>
      </c>
      <c r="D1" s="175" t="s">
        <v>3</v>
      </c>
      <c r="E1" s="175" t="s">
        <v>4</v>
      </c>
      <c r="F1" s="175" t="s">
        <v>5</v>
      </c>
      <c r="G1" s="180" t="s">
        <v>6</v>
      </c>
      <c r="H1" s="182" t="s">
        <v>7</v>
      </c>
      <c r="I1" s="184" t="s">
        <v>8</v>
      </c>
      <c r="J1" s="185"/>
      <c r="K1" s="177" t="s">
        <v>9</v>
      </c>
      <c r="L1" s="177" t="s">
        <v>10</v>
      </c>
      <c r="M1" s="190" t="s">
        <v>1287</v>
      </c>
      <c r="N1" s="190" t="s">
        <v>1288</v>
      </c>
      <c r="O1" s="49" t="s">
        <v>1289</v>
      </c>
      <c r="P1" s="42"/>
    </row>
    <row r="2" spans="1:16" ht="15.75" thickBot="1" x14ac:dyDescent="0.3">
      <c r="A2" s="178"/>
      <c r="B2" s="193"/>
      <c r="C2" s="178"/>
      <c r="D2" s="179"/>
      <c r="E2" s="179"/>
      <c r="F2" s="176"/>
      <c r="G2" s="181"/>
      <c r="H2" s="183"/>
      <c r="I2" s="50" t="s">
        <v>13</v>
      </c>
      <c r="J2" s="51" t="s">
        <v>14</v>
      </c>
      <c r="K2" s="178"/>
      <c r="L2" s="178"/>
      <c r="M2" s="191"/>
      <c r="N2" s="191"/>
      <c r="O2" s="42" t="s">
        <v>1289</v>
      </c>
      <c r="P2" s="42"/>
    </row>
    <row r="3" spans="1:16" x14ac:dyDescent="0.25">
      <c r="A3" s="52"/>
      <c r="B3" s="92"/>
      <c r="C3" s="52"/>
      <c r="D3" s="53"/>
      <c r="E3" s="53"/>
      <c r="F3" s="53"/>
      <c r="G3" s="78" t="s">
        <v>15</v>
      </c>
      <c r="H3" s="54"/>
      <c r="I3" s="54"/>
      <c r="J3" s="54"/>
      <c r="K3" s="52"/>
      <c r="L3" s="52"/>
      <c r="M3" s="89"/>
      <c r="N3" s="89"/>
      <c r="O3" s="42" t="s">
        <v>16</v>
      </c>
      <c r="P3" s="42" t="s">
        <v>17</v>
      </c>
    </row>
    <row r="4" spans="1:16" x14ac:dyDescent="0.25">
      <c r="A4" s="24" t="s">
        <v>18</v>
      </c>
      <c r="B4" s="36" t="s">
        <v>1415</v>
      </c>
      <c r="C4" s="24">
        <f>C3+D4</f>
        <v>1</v>
      </c>
      <c r="D4" s="24">
        <v>1</v>
      </c>
      <c r="E4" s="24"/>
      <c r="F4" s="24"/>
      <c r="G4" s="37" t="s">
        <v>2823</v>
      </c>
      <c r="H4" s="24" t="s">
        <v>2825</v>
      </c>
      <c r="I4" s="24">
        <v>131</v>
      </c>
      <c r="J4" s="24">
        <v>5113</v>
      </c>
      <c r="K4" s="24" t="s">
        <v>21</v>
      </c>
      <c r="L4" s="24">
        <v>1</v>
      </c>
      <c r="M4" s="39">
        <v>64516129</v>
      </c>
      <c r="N4" s="39">
        <f>L4*M4</f>
        <v>64516129</v>
      </c>
      <c r="O4" s="38" t="s">
        <v>22</v>
      </c>
      <c r="P4" s="24"/>
    </row>
    <row r="5" spans="1:16" x14ac:dyDescent="0.25">
      <c r="A5" s="24" t="s">
        <v>18</v>
      </c>
      <c r="B5" s="36" t="s">
        <v>1415</v>
      </c>
      <c r="C5" s="24">
        <f t="shared" ref="C5:C68" si="0">C4+D5</f>
        <v>2</v>
      </c>
      <c r="D5" s="24">
        <v>1</v>
      </c>
      <c r="E5" s="24"/>
      <c r="F5" s="24"/>
      <c r="G5" s="37" t="s">
        <v>2823</v>
      </c>
      <c r="H5" s="24" t="s">
        <v>2826</v>
      </c>
      <c r="I5" s="24">
        <v>333821</v>
      </c>
      <c r="J5" s="24">
        <v>131</v>
      </c>
      <c r="K5" s="24" t="s">
        <v>21</v>
      </c>
      <c r="L5" s="24">
        <v>1</v>
      </c>
      <c r="M5" s="39">
        <v>645161</v>
      </c>
      <c r="N5" s="39">
        <f t="shared" ref="N5:N44" si="1">L5*M5</f>
        <v>645161</v>
      </c>
      <c r="O5" s="38" t="s">
        <v>22</v>
      </c>
      <c r="P5" s="24"/>
    </row>
    <row r="6" spans="1:16" x14ac:dyDescent="0.25">
      <c r="A6" s="24" t="s">
        <v>18</v>
      </c>
      <c r="B6" s="36" t="s">
        <v>1415</v>
      </c>
      <c r="C6" s="24">
        <f t="shared" si="0"/>
        <v>3</v>
      </c>
      <c r="D6" s="24">
        <v>1</v>
      </c>
      <c r="E6" s="24"/>
      <c r="F6" s="24"/>
      <c r="G6" s="37" t="s">
        <v>1280</v>
      </c>
      <c r="H6" s="24" t="s">
        <v>2827</v>
      </c>
      <c r="I6" s="24">
        <v>131</v>
      </c>
      <c r="J6" s="24">
        <v>5113</v>
      </c>
      <c r="K6" s="24" t="s">
        <v>21</v>
      </c>
      <c r="L6" s="24">
        <v>1</v>
      </c>
      <c r="M6" s="39">
        <v>254545455</v>
      </c>
      <c r="N6" s="39">
        <f t="shared" si="1"/>
        <v>254545455</v>
      </c>
      <c r="O6" s="38" t="s">
        <v>22</v>
      </c>
      <c r="P6" s="24"/>
    </row>
    <row r="7" spans="1:16" x14ac:dyDescent="0.25">
      <c r="A7" s="24" t="s">
        <v>18</v>
      </c>
      <c r="B7" s="36" t="s">
        <v>1415</v>
      </c>
      <c r="C7" s="24">
        <f t="shared" si="0"/>
        <v>4</v>
      </c>
      <c r="D7" s="24">
        <v>1</v>
      </c>
      <c r="E7" s="24"/>
      <c r="F7" s="24"/>
      <c r="G7" s="37" t="s">
        <v>1280</v>
      </c>
      <c r="H7" s="24" t="s">
        <v>2828</v>
      </c>
      <c r="I7" s="24">
        <v>333821</v>
      </c>
      <c r="J7" s="24">
        <v>131</v>
      </c>
      <c r="K7" s="24" t="s">
        <v>21</v>
      </c>
      <c r="L7" s="24">
        <v>1</v>
      </c>
      <c r="M7" s="39">
        <v>2545455</v>
      </c>
      <c r="N7" s="39">
        <f t="shared" si="1"/>
        <v>2545455</v>
      </c>
      <c r="O7" s="38" t="s">
        <v>22</v>
      </c>
      <c r="P7" s="24"/>
    </row>
    <row r="8" spans="1:16" x14ac:dyDescent="0.25">
      <c r="A8" s="24" t="s">
        <v>18</v>
      </c>
      <c r="B8" s="36" t="s">
        <v>1534</v>
      </c>
      <c r="C8" s="24">
        <f t="shared" si="0"/>
        <v>5</v>
      </c>
      <c r="D8" s="24">
        <v>1</v>
      </c>
      <c r="E8" s="24"/>
      <c r="F8" s="24"/>
      <c r="G8" s="37" t="s">
        <v>784</v>
      </c>
      <c r="H8" s="24" t="s">
        <v>2829</v>
      </c>
      <c r="I8" s="24">
        <v>131</v>
      </c>
      <c r="J8" s="24">
        <v>5113</v>
      </c>
      <c r="K8" s="24" t="s">
        <v>21</v>
      </c>
      <c r="L8" s="24">
        <v>1</v>
      </c>
      <c r="M8" s="39">
        <v>64516129</v>
      </c>
      <c r="N8" s="39">
        <f t="shared" si="1"/>
        <v>64516129</v>
      </c>
      <c r="O8" s="38" t="s">
        <v>22</v>
      </c>
      <c r="P8" s="24"/>
    </row>
    <row r="9" spans="1:16" x14ac:dyDescent="0.25">
      <c r="A9" s="24" t="s">
        <v>18</v>
      </c>
      <c r="B9" s="36" t="s">
        <v>1534</v>
      </c>
      <c r="C9" s="24">
        <f t="shared" si="0"/>
        <v>6</v>
      </c>
      <c r="D9" s="24">
        <v>1</v>
      </c>
      <c r="E9" s="24"/>
      <c r="F9" s="24"/>
      <c r="G9" s="37" t="s">
        <v>784</v>
      </c>
      <c r="H9" s="24" t="s">
        <v>2830</v>
      </c>
      <c r="I9" s="24">
        <v>333821</v>
      </c>
      <c r="J9" s="24">
        <v>131</v>
      </c>
      <c r="K9" s="24" t="s">
        <v>21</v>
      </c>
      <c r="L9" s="24">
        <v>1</v>
      </c>
      <c r="M9" s="39">
        <v>645161</v>
      </c>
      <c r="N9" s="39">
        <f t="shared" si="1"/>
        <v>645161</v>
      </c>
      <c r="O9" s="38" t="s">
        <v>22</v>
      </c>
      <c r="P9" s="24"/>
    </row>
    <row r="10" spans="1:16" x14ac:dyDescent="0.25">
      <c r="A10" s="24" t="s">
        <v>18</v>
      </c>
      <c r="B10" s="36" t="s">
        <v>1534</v>
      </c>
      <c r="C10" s="24">
        <f t="shared" si="0"/>
        <v>7</v>
      </c>
      <c r="D10" s="24">
        <v>1</v>
      </c>
      <c r="E10" s="24"/>
      <c r="F10" s="24"/>
      <c r="G10" s="37" t="s">
        <v>1077</v>
      </c>
      <c r="H10" s="24" t="s">
        <v>2831</v>
      </c>
      <c r="I10" s="24">
        <v>131</v>
      </c>
      <c r="J10" s="24">
        <v>5113</v>
      </c>
      <c r="K10" s="24" t="s">
        <v>21</v>
      </c>
      <c r="L10" s="24">
        <v>1</v>
      </c>
      <c r="M10" s="39">
        <v>53763440</v>
      </c>
      <c r="N10" s="39">
        <f t="shared" si="1"/>
        <v>53763440</v>
      </c>
      <c r="O10" s="38" t="s">
        <v>22</v>
      </c>
      <c r="P10" s="24"/>
    </row>
    <row r="11" spans="1:16" x14ac:dyDescent="0.25">
      <c r="A11" s="24" t="s">
        <v>18</v>
      </c>
      <c r="B11" s="36" t="s">
        <v>1534</v>
      </c>
      <c r="C11" s="24">
        <f t="shared" si="0"/>
        <v>8</v>
      </c>
      <c r="D11" s="24">
        <v>1</v>
      </c>
      <c r="E11" s="24"/>
      <c r="F11" s="24"/>
      <c r="G11" s="37" t="s">
        <v>1077</v>
      </c>
      <c r="H11" s="24" t="s">
        <v>2832</v>
      </c>
      <c r="I11" s="24">
        <v>333821</v>
      </c>
      <c r="J11" s="24">
        <v>131</v>
      </c>
      <c r="K11" s="24" t="s">
        <v>21</v>
      </c>
      <c r="L11" s="24">
        <v>1</v>
      </c>
      <c r="M11" s="39">
        <v>537634</v>
      </c>
      <c r="N11" s="39">
        <f t="shared" si="1"/>
        <v>537634</v>
      </c>
      <c r="O11" s="38" t="s">
        <v>22</v>
      </c>
      <c r="P11" s="24"/>
    </row>
    <row r="12" spans="1:16" x14ac:dyDescent="0.25">
      <c r="A12" s="24" t="s">
        <v>18</v>
      </c>
      <c r="B12" s="36" t="s">
        <v>1534</v>
      </c>
      <c r="C12" s="24">
        <f t="shared" si="0"/>
        <v>9</v>
      </c>
      <c r="D12" s="24">
        <v>1</v>
      </c>
      <c r="E12" s="24"/>
      <c r="F12" s="24"/>
      <c r="G12" s="37" t="s">
        <v>1077</v>
      </c>
      <c r="H12" s="24" t="s">
        <v>2833</v>
      </c>
      <c r="I12" s="24">
        <v>131</v>
      </c>
      <c r="J12" s="24">
        <v>5113</v>
      </c>
      <c r="K12" s="24" t="s">
        <v>21</v>
      </c>
      <c r="L12" s="24">
        <v>1</v>
      </c>
      <c r="M12" s="39">
        <v>53763440</v>
      </c>
      <c r="N12" s="39">
        <f t="shared" si="1"/>
        <v>53763440</v>
      </c>
      <c r="O12" s="38" t="s">
        <v>22</v>
      </c>
      <c r="P12" s="24"/>
    </row>
    <row r="13" spans="1:16" x14ac:dyDescent="0.25">
      <c r="A13" s="24" t="s">
        <v>18</v>
      </c>
      <c r="B13" s="36" t="s">
        <v>1534</v>
      </c>
      <c r="C13" s="24">
        <f t="shared" si="0"/>
        <v>10</v>
      </c>
      <c r="D13" s="24">
        <v>1</v>
      </c>
      <c r="E13" s="24"/>
      <c r="F13" s="24"/>
      <c r="G13" s="37" t="s">
        <v>1077</v>
      </c>
      <c r="H13" s="24" t="s">
        <v>2834</v>
      </c>
      <c r="I13" s="24">
        <v>333821</v>
      </c>
      <c r="J13" s="24">
        <v>131</v>
      </c>
      <c r="K13" s="24" t="s">
        <v>21</v>
      </c>
      <c r="L13" s="24">
        <v>1</v>
      </c>
      <c r="M13" s="39">
        <v>537634</v>
      </c>
      <c r="N13" s="39">
        <f t="shared" si="1"/>
        <v>537634</v>
      </c>
      <c r="O13" s="38" t="s">
        <v>22</v>
      </c>
      <c r="P13" s="24"/>
    </row>
    <row r="14" spans="1:16" x14ac:dyDescent="0.25">
      <c r="A14" s="24" t="s">
        <v>18</v>
      </c>
      <c r="B14" s="36" t="s">
        <v>2481</v>
      </c>
      <c r="C14" s="24">
        <f t="shared" si="0"/>
        <v>11</v>
      </c>
      <c r="D14" s="24">
        <v>1</v>
      </c>
      <c r="E14" s="24"/>
      <c r="F14" s="24"/>
      <c r="G14" s="37" t="s">
        <v>818</v>
      </c>
      <c r="H14" s="24" t="s">
        <v>2835</v>
      </c>
      <c r="I14" s="24">
        <v>131</v>
      </c>
      <c r="J14" s="24">
        <v>5113</v>
      </c>
      <c r="K14" s="24" t="s">
        <v>21</v>
      </c>
      <c r="L14" s="24">
        <v>1</v>
      </c>
      <c r="M14" s="39">
        <v>64516129</v>
      </c>
      <c r="N14" s="39">
        <f t="shared" si="1"/>
        <v>64516129</v>
      </c>
      <c r="O14" s="38" t="s">
        <v>22</v>
      </c>
      <c r="P14" s="24"/>
    </row>
    <row r="15" spans="1:16" x14ac:dyDescent="0.25">
      <c r="A15" s="24" t="s">
        <v>18</v>
      </c>
      <c r="B15" s="36" t="s">
        <v>2481</v>
      </c>
      <c r="C15" s="24">
        <f t="shared" si="0"/>
        <v>12</v>
      </c>
      <c r="D15" s="24">
        <v>1</v>
      </c>
      <c r="E15" s="24"/>
      <c r="F15" s="24"/>
      <c r="G15" s="37" t="s">
        <v>818</v>
      </c>
      <c r="H15" s="24" t="s">
        <v>2836</v>
      </c>
      <c r="I15" s="24">
        <v>333821</v>
      </c>
      <c r="J15" s="24">
        <v>131</v>
      </c>
      <c r="K15" s="24" t="s">
        <v>21</v>
      </c>
      <c r="L15" s="24">
        <v>1</v>
      </c>
      <c r="M15" s="39">
        <v>645161</v>
      </c>
      <c r="N15" s="39">
        <f t="shared" si="1"/>
        <v>645161</v>
      </c>
      <c r="O15" s="38" t="s">
        <v>22</v>
      </c>
      <c r="P15" s="24"/>
    </row>
    <row r="16" spans="1:16" x14ac:dyDescent="0.25">
      <c r="A16" s="24" t="s">
        <v>18</v>
      </c>
      <c r="B16" s="36" t="s">
        <v>1421</v>
      </c>
      <c r="C16" s="24">
        <f t="shared" si="0"/>
        <v>13</v>
      </c>
      <c r="D16" s="24">
        <v>1</v>
      </c>
      <c r="E16" s="24"/>
      <c r="F16" s="24"/>
      <c r="G16" s="37" t="s">
        <v>768</v>
      </c>
      <c r="H16" s="24" t="s">
        <v>2837</v>
      </c>
      <c r="I16" s="24">
        <v>131</v>
      </c>
      <c r="J16" s="24">
        <v>5113</v>
      </c>
      <c r="K16" s="24" t="s">
        <v>21</v>
      </c>
      <c r="L16" s="24">
        <v>1</v>
      </c>
      <c r="M16" s="39">
        <v>53763441</v>
      </c>
      <c r="N16" s="39">
        <f t="shared" si="1"/>
        <v>53763441</v>
      </c>
      <c r="O16" s="38" t="s">
        <v>22</v>
      </c>
      <c r="P16" s="24"/>
    </row>
    <row r="17" spans="1:17" x14ac:dyDescent="0.25">
      <c r="A17" s="24" t="s">
        <v>18</v>
      </c>
      <c r="B17" s="36" t="s">
        <v>1421</v>
      </c>
      <c r="C17" s="24">
        <f t="shared" si="0"/>
        <v>14</v>
      </c>
      <c r="D17" s="24">
        <v>1</v>
      </c>
      <c r="E17" s="24"/>
      <c r="F17" s="24"/>
      <c r="G17" s="37" t="s">
        <v>768</v>
      </c>
      <c r="H17" s="24" t="s">
        <v>2838</v>
      </c>
      <c r="I17" s="24">
        <v>333821</v>
      </c>
      <c r="J17" s="24">
        <v>131</v>
      </c>
      <c r="K17" s="24" t="s">
        <v>21</v>
      </c>
      <c r="L17" s="24">
        <v>1</v>
      </c>
      <c r="M17" s="39">
        <v>537634</v>
      </c>
      <c r="N17" s="39">
        <f t="shared" si="1"/>
        <v>537634</v>
      </c>
      <c r="O17" s="38" t="s">
        <v>22</v>
      </c>
      <c r="P17" s="24"/>
    </row>
    <row r="18" spans="1:17" x14ac:dyDescent="0.25">
      <c r="A18" s="24" t="s">
        <v>18</v>
      </c>
      <c r="B18" s="36" t="s">
        <v>2049</v>
      </c>
      <c r="C18" s="24">
        <f t="shared" si="0"/>
        <v>15</v>
      </c>
      <c r="D18" s="24">
        <v>1</v>
      </c>
      <c r="E18" s="24"/>
      <c r="F18" s="24"/>
      <c r="G18" s="37" t="s">
        <v>55</v>
      </c>
      <c r="H18" s="24" t="s">
        <v>2839</v>
      </c>
      <c r="I18" s="24">
        <v>131</v>
      </c>
      <c r="J18" s="24">
        <v>5113</v>
      </c>
      <c r="K18" s="24" t="s">
        <v>21</v>
      </c>
      <c r="L18" s="24">
        <v>1</v>
      </c>
      <c r="M18" s="39">
        <v>64516129</v>
      </c>
      <c r="N18" s="39">
        <f t="shared" si="1"/>
        <v>64516129</v>
      </c>
      <c r="O18" s="38" t="s">
        <v>22</v>
      </c>
      <c r="P18" s="24"/>
    </row>
    <row r="19" spans="1:17" x14ac:dyDescent="0.25">
      <c r="A19" s="24" t="s">
        <v>18</v>
      </c>
      <c r="B19" s="36" t="s">
        <v>2049</v>
      </c>
      <c r="C19" s="24">
        <f t="shared" si="0"/>
        <v>16</v>
      </c>
      <c r="D19" s="24">
        <v>1</v>
      </c>
      <c r="E19" s="24"/>
      <c r="F19" s="24"/>
      <c r="G19" s="37" t="s">
        <v>55</v>
      </c>
      <c r="H19" s="24" t="s">
        <v>2840</v>
      </c>
      <c r="I19" s="24">
        <v>333821</v>
      </c>
      <c r="J19" s="24">
        <v>131</v>
      </c>
      <c r="K19" s="24" t="s">
        <v>21</v>
      </c>
      <c r="L19" s="24">
        <v>1</v>
      </c>
      <c r="M19" s="39">
        <v>645161</v>
      </c>
      <c r="N19" s="39">
        <f t="shared" si="1"/>
        <v>645161</v>
      </c>
      <c r="O19" s="38" t="s">
        <v>22</v>
      </c>
      <c r="P19" s="24"/>
    </row>
    <row r="20" spans="1:17" x14ac:dyDescent="0.25">
      <c r="A20" s="24" t="s">
        <v>18</v>
      </c>
      <c r="B20" s="36" t="s">
        <v>2049</v>
      </c>
      <c r="C20" s="24">
        <f t="shared" si="0"/>
        <v>17</v>
      </c>
      <c r="D20" s="24">
        <v>1</v>
      </c>
      <c r="E20" s="24"/>
      <c r="F20" s="24"/>
      <c r="G20" s="37" t="s">
        <v>1015</v>
      </c>
      <c r="H20" s="24" t="s">
        <v>2841</v>
      </c>
      <c r="I20" s="24">
        <v>131</v>
      </c>
      <c r="J20" s="24">
        <v>5113</v>
      </c>
      <c r="K20" s="24" t="s">
        <v>21</v>
      </c>
      <c r="L20" s="24">
        <v>1</v>
      </c>
      <c r="M20" s="39">
        <v>64516129</v>
      </c>
      <c r="N20" s="39">
        <f t="shared" si="1"/>
        <v>64516129</v>
      </c>
      <c r="O20" s="38" t="s">
        <v>22</v>
      </c>
      <c r="P20" s="24"/>
      <c r="Q20" s="88"/>
    </row>
    <row r="21" spans="1:17" x14ac:dyDescent="0.25">
      <c r="A21" s="24" t="s">
        <v>18</v>
      </c>
      <c r="B21" s="36" t="s">
        <v>2049</v>
      </c>
      <c r="C21" s="24">
        <f t="shared" si="0"/>
        <v>18</v>
      </c>
      <c r="D21" s="24">
        <v>1</v>
      </c>
      <c r="E21" s="24"/>
      <c r="F21" s="24"/>
      <c r="G21" s="37" t="s">
        <v>1015</v>
      </c>
      <c r="H21" s="24" t="s">
        <v>2842</v>
      </c>
      <c r="I21" s="24">
        <v>333821</v>
      </c>
      <c r="J21" s="24">
        <v>131</v>
      </c>
      <c r="K21" s="24" t="s">
        <v>21</v>
      </c>
      <c r="L21" s="24">
        <v>1</v>
      </c>
      <c r="M21" s="39">
        <v>645161</v>
      </c>
      <c r="N21" s="39">
        <f t="shared" si="1"/>
        <v>645161</v>
      </c>
      <c r="O21" s="38" t="s">
        <v>22</v>
      </c>
      <c r="P21" s="24"/>
      <c r="Q21" s="88"/>
    </row>
    <row r="22" spans="1:17" x14ac:dyDescent="0.25">
      <c r="A22" s="24" t="s">
        <v>18</v>
      </c>
      <c r="B22" s="36" t="s">
        <v>2444</v>
      </c>
      <c r="C22" s="24">
        <f t="shared" si="0"/>
        <v>19</v>
      </c>
      <c r="D22" s="24">
        <v>1</v>
      </c>
      <c r="E22" s="24"/>
      <c r="F22" s="24"/>
      <c r="G22" s="37" t="s">
        <v>1015</v>
      </c>
      <c r="H22" s="24" t="s">
        <v>2843</v>
      </c>
      <c r="I22" s="24">
        <v>131</v>
      </c>
      <c r="J22" s="24">
        <v>5113</v>
      </c>
      <c r="K22" s="24" t="s">
        <v>21</v>
      </c>
      <c r="L22" s="24">
        <v>1</v>
      </c>
      <c r="M22" s="39">
        <v>284946236</v>
      </c>
      <c r="N22" s="39">
        <f t="shared" si="1"/>
        <v>284946236</v>
      </c>
      <c r="O22" s="38" t="s">
        <v>22</v>
      </c>
      <c r="P22" s="24"/>
    </row>
    <row r="23" spans="1:17" x14ac:dyDescent="0.25">
      <c r="A23" s="24" t="s">
        <v>18</v>
      </c>
      <c r="B23" s="36" t="s">
        <v>2444</v>
      </c>
      <c r="C23" s="24">
        <f t="shared" si="0"/>
        <v>20</v>
      </c>
      <c r="D23" s="24">
        <v>1</v>
      </c>
      <c r="E23" s="24"/>
      <c r="F23" s="24"/>
      <c r="G23" s="37" t="s">
        <v>1015</v>
      </c>
      <c r="H23" s="24" t="s">
        <v>2844</v>
      </c>
      <c r="I23" s="24">
        <v>333821</v>
      </c>
      <c r="J23" s="24">
        <v>131</v>
      </c>
      <c r="K23" s="24" t="s">
        <v>21</v>
      </c>
      <c r="L23" s="24">
        <v>1</v>
      </c>
      <c r="M23" s="39">
        <v>2849462</v>
      </c>
      <c r="N23" s="39">
        <f t="shared" si="1"/>
        <v>2849462</v>
      </c>
      <c r="O23" s="38" t="s">
        <v>22</v>
      </c>
      <c r="P23" s="24"/>
    </row>
    <row r="24" spans="1:17" x14ac:dyDescent="0.25">
      <c r="A24" s="24" t="s">
        <v>18</v>
      </c>
      <c r="B24" s="36" t="s">
        <v>1481</v>
      </c>
      <c r="C24" s="24">
        <f t="shared" si="0"/>
        <v>21</v>
      </c>
      <c r="D24" s="24">
        <v>1</v>
      </c>
      <c r="E24" s="24"/>
      <c r="F24" s="24"/>
      <c r="G24" s="37" t="s">
        <v>2824</v>
      </c>
      <c r="H24" s="24" t="s">
        <v>2845</v>
      </c>
      <c r="I24" s="24">
        <v>131</v>
      </c>
      <c r="J24" s="24">
        <v>5113</v>
      </c>
      <c r="K24" s="24" t="s">
        <v>21</v>
      </c>
      <c r="L24" s="24">
        <v>1</v>
      </c>
      <c r="M24" s="39">
        <v>75268817</v>
      </c>
      <c r="N24" s="39">
        <f t="shared" si="1"/>
        <v>75268817</v>
      </c>
      <c r="O24" s="38" t="s">
        <v>22</v>
      </c>
      <c r="P24" s="24"/>
    </row>
    <row r="25" spans="1:17" x14ac:dyDescent="0.25">
      <c r="A25" s="24" t="s">
        <v>18</v>
      </c>
      <c r="B25" s="36" t="s">
        <v>1481</v>
      </c>
      <c r="C25" s="24">
        <f t="shared" si="0"/>
        <v>22</v>
      </c>
      <c r="D25" s="24">
        <v>1</v>
      </c>
      <c r="E25" s="24"/>
      <c r="F25" s="24"/>
      <c r="G25" s="37" t="s">
        <v>2824</v>
      </c>
      <c r="H25" s="24" t="s">
        <v>2846</v>
      </c>
      <c r="I25" s="24">
        <v>333821</v>
      </c>
      <c r="J25" s="24">
        <v>131</v>
      </c>
      <c r="K25" s="24" t="s">
        <v>21</v>
      </c>
      <c r="L25" s="24">
        <v>1</v>
      </c>
      <c r="M25" s="39">
        <v>752688</v>
      </c>
      <c r="N25" s="39">
        <f t="shared" si="1"/>
        <v>752688</v>
      </c>
      <c r="O25" s="38" t="s">
        <v>22</v>
      </c>
      <c r="P25" s="24"/>
    </row>
    <row r="26" spans="1:17" x14ac:dyDescent="0.25">
      <c r="A26" s="24" t="s">
        <v>18</v>
      </c>
      <c r="B26" s="36" t="s">
        <v>1536</v>
      </c>
      <c r="C26" s="24">
        <f t="shared" si="0"/>
        <v>23</v>
      </c>
      <c r="D26" s="24">
        <v>1</v>
      </c>
      <c r="E26" s="24"/>
      <c r="F26" s="24"/>
      <c r="G26" s="37" t="s">
        <v>751</v>
      </c>
      <c r="H26" s="24" t="s">
        <v>2847</v>
      </c>
      <c r="I26" s="24">
        <v>131</v>
      </c>
      <c r="J26" s="24">
        <v>5113</v>
      </c>
      <c r="K26" s="24" t="s">
        <v>21</v>
      </c>
      <c r="L26" s="24">
        <v>1</v>
      </c>
      <c r="M26" s="39">
        <v>64516129</v>
      </c>
      <c r="N26" s="39">
        <f t="shared" si="1"/>
        <v>64516129</v>
      </c>
      <c r="O26" s="38" t="s">
        <v>22</v>
      </c>
      <c r="P26" s="24"/>
    </row>
    <row r="27" spans="1:17" x14ac:dyDescent="0.25">
      <c r="A27" s="24" t="s">
        <v>18</v>
      </c>
      <c r="B27" s="36" t="s">
        <v>1536</v>
      </c>
      <c r="C27" s="24">
        <f t="shared" si="0"/>
        <v>24</v>
      </c>
      <c r="D27" s="24">
        <v>1</v>
      </c>
      <c r="E27" s="24"/>
      <c r="F27" s="24"/>
      <c r="G27" s="37" t="s">
        <v>751</v>
      </c>
      <c r="H27" s="24" t="s">
        <v>2848</v>
      </c>
      <c r="I27" s="24">
        <v>333821</v>
      </c>
      <c r="J27" s="24">
        <v>131</v>
      </c>
      <c r="K27" s="24" t="s">
        <v>21</v>
      </c>
      <c r="L27" s="24">
        <v>1</v>
      </c>
      <c r="M27" s="39">
        <v>645161</v>
      </c>
      <c r="N27" s="39">
        <f t="shared" si="1"/>
        <v>645161</v>
      </c>
      <c r="O27" s="38" t="s">
        <v>22</v>
      </c>
      <c r="P27" s="24"/>
    </row>
    <row r="28" spans="1:17" x14ac:dyDescent="0.25">
      <c r="A28" s="24" t="s">
        <v>18</v>
      </c>
      <c r="B28" s="36" t="s">
        <v>2051</v>
      </c>
      <c r="C28" s="24">
        <f t="shared" si="0"/>
        <v>25</v>
      </c>
      <c r="D28" s="24">
        <v>1</v>
      </c>
      <c r="E28" s="24"/>
      <c r="F28" s="24"/>
      <c r="G28" s="37" t="s">
        <v>2411</v>
      </c>
      <c r="H28" s="24" t="s">
        <v>2849</v>
      </c>
      <c r="I28" s="24">
        <v>131</v>
      </c>
      <c r="J28" s="24">
        <v>5113</v>
      </c>
      <c r="K28" s="24" t="s">
        <v>21</v>
      </c>
      <c r="L28" s="24">
        <v>1</v>
      </c>
      <c r="M28" s="39">
        <v>7526882</v>
      </c>
      <c r="N28" s="39">
        <f t="shared" si="1"/>
        <v>7526882</v>
      </c>
      <c r="O28" s="38" t="s">
        <v>22</v>
      </c>
      <c r="P28" s="24"/>
    </row>
    <row r="29" spans="1:17" x14ac:dyDescent="0.25">
      <c r="A29" s="24" t="s">
        <v>18</v>
      </c>
      <c r="B29" s="36" t="s">
        <v>2051</v>
      </c>
      <c r="C29" s="24">
        <f t="shared" si="0"/>
        <v>26</v>
      </c>
      <c r="D29" s="24">
        <v>1</v>
      </c>
      <c r="E29" s="24"/>
      <c r="F29" s="24"/>
      <c r="G29" s="37" t="s">
        <v>2411</v>
      </c>
      <c r="H29" s="24" t="s">
        <v>2850</v>
      </c>
      <c r="I29" s="24">
        <v>333821</v>
      </c>
      <c r="J29" s="24">
        <v>131</v>
      </c>
      <c r="K29" s="24" t="s">
        <v>21</v>
      </c>
      <c r="L29" s="24">
        <v>1</v>
      </c>
      <c r="M29" s="39">
        <v>75269</v>
      </c>
      <c r="N29" s="39">
        <f t="shared" si="1"/>
        <v>75269</v>
      </c>
      <c r="O29" s="38" t="s">
        <v>22</v>
      </c>
      <c r="P29" s="24"/>
    </row>
    <row r="30" spans="1:17" x14ac:dyDescent="0.25">
      <c r="A30" s="24" t="s">
        <v>18</v>
      </c>
      <c r="B30" s="36" t="s">
        <v>1424</v>
      </c>
      <c r="C30" s="24">
        <f t="shared" si="0"/>
        <v>27</v>
      </c>
      <c r="D30" s="24">
        <v>1</v>
      </c>
      <c r="E30" s="24"/>
      <c r="F30" s="24"/>
      <c r="G30" s="37" t="s">
        <v>1107</v>
      </c>
      <c r="H30" s="24" t="s">
        <v>2851</v>
      </c>
      <c r="I30" s="24">
        <v>131</v>
      </c>
      <c r="J30" s="24">
        <v>5113</v>
      </c>
      <c r="K30" s="24" t="s">
        <v>21</v>
      </c>
      <c r="L30" s="24">
        <v>1</v>
      </c>
      <c r="M30" s="39">
        <v>16129032</v>
      </c>
      <c r="N30" s="39">
        <f t="shared" si="1"/>
        <v>16129032</v>
      </c>
      <c r="O30" s="38" t="s">
        <v>22</v>
      </c>
      <c r="P30" s="24"/>
    </row>
    <row r="31" spans="1:17" x14ac:dyDescent="0.25">
      <c r="A31" s="24" t="s">
        <v>18</v>
      </c>
      <c r="B31" s="36" t="s">
        <v>1424</v>
      </c>
      <c r="C31" s="24">
        <f t="shared" si="0"/>
        <v>28</v>
      </c>
      <c r="D31" s="24">
        <v>1</v>
      </c>
      <c r="E31" s="24"/>
      <c r="F31" s="24"/>
      <c r="G31" s="37" t="s">
        <v>1107</v>
      </c>
      <c r="H31" s="24" t="s">
        <v>2852</v>
      </c>
      <c r="I31" s="24">
        <v>333821</v>
      </c>
      <c r="J31" s="24">
        <v>131</v>
      </c>
      <c r="K31" s="24" t="s">
        <v>21</v>
      </c>
      <c r="L31" s="24">
        <v>1</v>
      </c>
      <c r="M31" s="39">
        <v>161290</v>
      </c>
      <c r="N31" s="39">
        <f t="shared" si="1"/>
        <v>161290</v>
      </c>
      <c r="O31" s="38" t="s">
        <v>22</v>
      </c>
      <c r="P31" s="24"/>
    </row>
    <row r="32" spans="1:17" x14ac:dyDescent="0.25">
      <c r="A32" s="24" t="s">
        <v>18</v>
      </c>
      <c r="B32" s="36" t="s">
        <v>2233</v>
      </c>
      <c r="C32" s="24">
        <f t="shared" si="0"/>
        <v>29</v>
      </c>
      <c r="D32" s="24">
        <v>1</v>
      </c>
      <c r="E32" s="24"/>
      <c r="F32" s="24"/>
      <c r="G32" s="37" t="s">
        <v>768</v>
      </c>
      <c r="H32" s="24" t="s">
        <v>2853</v>
      </c>
      <c r="I32" s="24">
        <v>131</v>
      </c>
      <c r="J32" s="24">
        <v>5113</v>
      </c>
      <c r="K32" s="24" t="s">
        <v>21</v>
      </c>
      <c r="L32" s="24">
        <v>1</v>
      </c>
      <c r="M32" s="39">
        <v>16129032</v>
      </c>
      <c r="N32" s="39">
        <f t="shared" si="1"/>
        <v>16129032</v>
      </c>
      <c r="O32" s="38" t="s">
        <v>22</v>
      </c>
      <c r="P32" s="24"/>
    </row>
    <row r="33" spans="1:16" x14ac:dyDescent="0.25">
      <c r="A33" s="24" t="s">
        <v>18</v>
      </c>
      <c r="B33" s="36" t="s">
        <v>2233</v>
      </c>
      <c r="C33" s="24">
        <f t="shared" si="0"/>
        <v>30</v>
      </c>
      <c r="D33" s="24">
        <v>1</v>
      </c>
      <c r="E33" s="24"/>
      <c r="F33" s="24"/>
      <c r="G33" s="37" t="s">
        <v>768</v>
      </c>
      <c r="H33" s="24" t="s">
        <v>2854</v>
      </c>
      <c r="I33" s="24">
        <v>333821</v>
      </c>
      <c r="J33" s="24">
        <v>131</v>
      </c>
      <c r="K33" s="24" t="s">
        <v>21</v>
      </c>
      <c r="L33" s="24">
        <v>1</v>
      </c>
      <c r="M33" s="39">
        <v>161290</v>
      </c>
      <c r="N33" s="39">
        <f t="shared" si="1"/>
        <v>161290</v>
      </c>
      <c r="O33" s="38" t="s">
        <v>22</v>
      </c>
      <c r="P33" s="24"/>
    </row>
    <row r="34" spans="1:16" x14ac:dyDescent="0.25">
      <c r="A34" s="24" t="s">
        <v>18</v>
      </c>
      <c r="B34" s="36">
        <v>45869</v>
      </c>
      <c r="C34" s="24">
        <f t="shared" si="0"/>
        <v>31</v>
      </c>
      <c r="D34" s="24">
        <v>1</v>
      </c>
      <c r="E34" s="24"/>
      <c r="F34" s="24"/>
      <c r="G34" s="37" t="s">
        <v>1235</v>
      </c>
      <c r="H34" s="24" t="s">
        <v>147</v>
      </c>
      <c r="I34" s="24">
        <v>64271</v>
      </c>
      <c r="J34" s="24">
        <v>3383</v>
      </c>
      <c r="K34" s="24" t="s">
        <v>21</v>
      </c>
      <c r="L34" s="24">
        <v>1</v>
      </c>
      <c r="M34" s="39">
        <v>690300</v>
      </c>
      <c r="N34" s="39">
        <v>690300</v>
      </c>
      <c r="O34" s="38" t="s">
        <v>22</v>
      </c>
      <c r="P34" s="24"/>
    </row>
    <row r="35" spans="1:16" x14ac:dyDescent="0.25">
      <c r="A35" s="24" t="s">
        <v>18</v>
      </c>
      <c r="B35" s="36">
        <v>45900</v>
      </c>
      <c r="C35" s="24">
        <f t="shared" si="0"/>
        <v>32</v>
      </c>
      <c r="D35" s="24">
        <v>1</v>
      </c>
      <c r="E35" s="24"/>
      <c r="F35" s="24"/>
      <c r="G35" s="37" t="s">
        <v>1235</v>
      </c>
      <c r="H35" s="24" t="s">
        <v>280</v>
      </c>
      <c r="I35" s="24">
        <v>64271</v>
      </c>
      <c r="J35" s="24">
        <v>3383</v>
      </c>
      <c r="K35" s="24" t="s">
        <v>21</v>
      </c>
      <c r="L35" s="24">
        <v>1</v>
      </c>
      <c r="M35" s="39">
        <v>690300</v>
      </c>
      <c r="N35" s="39">
        <v>690300</v>
      </c>
      <c r="O35" s="38" t="s">
        <v>22</v>
      </c>
      <c r="P35" s="24"/>
    </row>
    <row r="36" spans="1:16" x14ac:dyDescent="0.25">
      <c r="A36" s="24" t="s">
        <v>18</v>
      </c>
      <c r="B36" s="36">
        <v>45930</v>
      </c>
      <c r="C36" s="24">
        <f t="shared" si="0"/>
        <v>33</v>
      </c>
      <c r="D36" s="24">
        <v>1</v>
      </c>
      <c r="E36" s="24"/>
      <c r="F36" s="24"/>
      <c r="G36" s="37" t="s">
        <v>1235</v>
      </c>
      <c r="H36" s="24" t="s">
        <v>367</v>
      </c>
      <c r="I36" s="24">
        <v>64271</v>
      </c>
      <c r="J36" s="24">
        <v>3383</v>
      </c>
      <c r="K36" s="24" t="s">
        <v>21</v>
      </c>
      <c r="L36" s="24">
        <v>1</v>
      </c>
      <c r="M36" s="39">
        <v>690300</v>
      </c>
      <c r="N36" s="39">
        <v>690300</v>
      </c>
      <c r="O36" s="38" t="s">
        <v>22</v>
      </c>
      <c r="P36" s="24"/>
    </row>
    <row r="37" spans="1:16" x14ac:dyDescent="0.25">
      <c r="A37" s="24" t="s">
        <v>18</v>
      </c>
      <c r="B37" s="36" t="s">
        <v>2046</v>
      </c>
      <c r="C37" s="24">
        <f t="shared" si="0"/>
        <v>34</v>
      </c>
      <c r="D37" s="24">
        <v>1</v>
      </c>
      <c r="E37" s="24"/>
      <c r="F37" s="24"/>
      <c r="G37" s="37" t="s">
        <v>695</v>
      </c>
      <c r="H37" s="24" t="s">
        <v>2857</v>
      </c>
      <c r="I37" s="24">
        <v>64277</v>
      </c>
      <c r="J37" s="24">
        <v>331</v>
      </c>
      <c r="K37" s="24" t="s">
        <v>21</v>
      </c>
      <c r="L37" s="24">
        <v>1</v>
      </c>
      <c r="M37" s="39">
        <v>99000</v>
      </c>
      <c r="N37" s="39">
        <f t="shared" si="1"/>
        <v>99000</v>
      </c>
      <c r="O37" s="38" t="s">
        <v>22</v>
      </c>
      <c r="P37" s="24"/>
    </row>
    <row r="38" spans="1:16" x14ac:dyDescent="0.25">
      <c r="A38" s="24" t="s">
        <v>18</v>
      </c>
      <c r="B38" s="93" t="s">
        <v>2075</v>
      </c>
      <c r="C38" s="24">
        <f t="shared" si="0"/>
        <v>35</v>
      </c>
      <c r="D38" s="24">
        <v>1</v>
      </c>
      <c r="E38" s="46"/>
      <c r="F38" s="46"/>
      <c r="G38" s="79" t="s">
        <v>695</v>
      </c>
      <c r="H38" s="46" t="s">
        <v>2858</v>
      </c>
      <c r="I38" s="24">
        <v>64277</v>
      </c>
      <c r="J38" s="24">
        <v>331</v>
      </c>
      <c r="K38" s="24" t="s">
        <v>21</v>
      </c>
      <c r="L38" s="24">
        <v>1</v>
      </c>
      <c r="M38" s="90">
        <v>1662120</v>
      </c>
      <c r="N38" s="39">
        <f t="shared" si="1"/>
        <v>1662120</v>
      </c>
      <c r="O38" s="38" t="s">
        <v>22</v>
      </c>
      <c r="P38" s="24"/>
    </row>
    <row r="39" spans="1:16" x14ac:dyDescent="0.25">
      <c r="A39" s="24" t="s">
        <v>18</v>
      </c>
      <c r="B39" s="93" t="s">
        <v>2047</v>
      </c>
      <c r="C39" s="24">
        <f t="shared" si="0"/>
        <v>36</v>
      </c>
      <c r="D39" s="24">
        <v>1</v>
      </c>
      <c r="E39" s="46"/>
      <c r="F39" s="46"/>
      <c r="G39" s="79" t="s">
        <v>259</v>
      </c>
      <c r="H39" s="46" t="s">
        <v>2860</v>
      </c>
      <c r="I39" s="24">
        <v>64277</v>
      </c>
      <c r="J39" s="24">
        <v>331</v>
      </c>
      <c r="K39" s="24" t="s">
        <v>21</v>
      </c>
      <c r="L39" s="24">
        <v>1</v>
      </c>
      <c r="M39" s="90">
        <v>1675000</v>
      </c>
      <c r="N39" s="39">
        <f t="shared" si="1"/>
        <v>1675000</v>
      </c>
      <c r="O39" s="38" t="s">
        <v>22</v>
      </c>
      <c r="P39" s="24"/>
    </row>
    <row r="40" spans="1:16" x14ac:dyDescent="0.25">
      <c r="A40" s="24" t="s">
        <v>18</v>
      </c>
      <c r="B40" s="93" t="s">
        <v>1535</v>
      </c>
      <c r="C40" s="24">
        <f t="shared" si="0"/>
        <v>37</v>
      </c>
      <c r="D40" s="24">
        <v>1</v>
      </c>
      <c r="E40" s="46"/>
      <c r="F40" s="46"/>
      <c r="G40" s="79" t="s">
        <v>158</v>
      </c>
      <c r="H40" s="42" t="s">
        <v>2859</v>
      </c>
      <c r="I40" s="24">
        <v>64277</v>
      </c>
      <c r="J40" s="24">
        <v>331</v>
      </c>
      <c r="K40" s="24" t="s">
        <v>21</v>
      </c>
      <c r="L40" s="24">
        <v>1</v>
      </c>
      <c r="M40" s="90">
        <v>3240000</v>
      </c>
      <c r="N40" s="39">
        <f t="shared" si="1"/>
        <v>3240000</v>
      </c>
      <c r="O40" s="38" t="s">
        <v>22</v>
      </c>
      <c r="P40" s="24"/>
    </row>
    <row r="41" spans="1:16" x14ac:dyDescent="0.25">
      <c r="A41" s="24" t="s">
        <v>18</v>
      </c>
      <c r="B41" s="36" t="s">
        <v>1416</v>
      </c>
      <c r="C41" s="24">
        <f t="shared" si="0"/>
        <v>38</v>
      </c>
      <c r="D41" s="24">
        <v>1</v>
      </c>
      <c r="E41" s="24"/>
      <c r="F41" s="24"/>
      <c r="G41" s="37" t="s">
        <v>689</v>
      </c>
      <c r="H41" s="42" t="s">
        <v>2861</v>
      </c>
      <c r="I41" s="24">
        <v>64277</v>
      </c>
      <c r="J41" s="24">
        <v>331</v>
      </c>
      <c r="K41" s="24" t="s">
        <v>21</v>
      </c>
      <c r="L41" s="24">
        <v>1</v>
      </c>
      <c r="M41" s="39">
        <v>3182760</v>
      </c>
      <c r="N41" s="39">
        <f t="shared" si="1"/>
        <v>3182760</v>
      </c>
      <c r="O41" s="38" t="s">
        <v>22</v>
      </c>
      <c r="P41" s="24"/>
    </row>
    <row r="42" spans="1:16" x14ac:dyDescent="0.25">
      <c r="A42" s="24" t="s">
        <v>18</v>
      </c>
      <c r="B42" s="36" t="s">
        <v>2339</v>
      </c>
      <c r="C42" s="24">
        <f t="shared" si="0"/>
        <v>39</v>
      </c>
      <c r="D42" s="24">
        <v>1</v>
      </c>
      <c r="E42" s="24"/>
      <c r="F42" s="24"/>
      <c r="G42" s="37" t="s">
        <v>2855</v>
      </c>
      <c r="H42" s="42" t="s">
        <v>2862</v>
      </c>
      <c r="I42" s="24">
        <v>64277</v>
      </c>
      <c r="J42" s="24">
        <v>331</v>
      </c>
      <c r="K42" s="24" t="s">
        <v>21</v>
      </c>
      <c r="L42" s="24">
        <v>1</v>
      </c>
      <c r="M42" s="39">
        <v>4055400</v>
      </c>
      <c r="N42" s="39">
        <f t="shared" si="1"/>
        <v>4055400</v>
      </c>
      <c r="O42" s="38" t="s">
        <v>22</v>
      </c>
      <c r="P42" s="24"/>
    </row>
    <row r="43" spans="1:16" x14ac:dyDescent="0.25">
      <c r="A43" s="24" t="s">
        <v>18</v>
      </c>
      <c r="B43" s="36" t="s">
        <v>2482</v>
      </c>
      <c r="C43" s="24">
        <f t="shared" si="0"/>
        <v>40</v>
      </c>
      <c r="D43" s="24">
        <v>1</v>
      </c>
      <c r="E43" s="24"/>
      <c r="F43" s="24"/>
      <c r="G43" s="37" t="s">
        <v>638</v>
      </c>
      <c r="H43" s="42" t="s">
        <v>2863</v>
      </c>
      <c r="I43" s="24">
        <v>64277</v>
      </c>
      <c r="J43" s="24">
        <v>331</v>
      </c>
      <c r="K43" s="24" t="s">
        <v>21</v>
      </c>
      <c r="L43" s="24">
        <v>1</v>
      </c>
      <c r="M43" s="39">
        <v>1234440</v>
      </c>
      <c r="N43" s="39">
        <f t="shared" si="1"/>
        <v>1234440</v>
      </c>
      <c r="O43" s="38" t="s">
        <v>22</v>
      </c>
      <c r="P43" s="24"/>
    </row>
    <row r="44" spans="1:16" x14ac:dyDescent="0.25">
      <c r="A44" s="24" t="s">
        <v>18</v>
      </c>
      <c r="B44" s="36" t="s">
        <v>2485</v>
      </c>
      <c r="C44" s="24">
        <f t="shared" si="0"/>
        <v>41</v>
      </c>
      <c r="D44" s="24">
        <v>1</v>
      </c>
      <c r="E44" s="24"/>
      <c r="F44" s="24"/>
      <c r="G44" s="37" t="s">
        <v>2856</v>
      </c>
      <c r="H44" s="42" t="s">
        <v>2864</v>
      </c>
      <c r="I44" s="24">
        <v>64276</v>
      </c>
      <c r="J44" s="24">
        <v>331</v>
      </c>
      <c r="K44" s="24" t="s">
        <v>21</v>
      </c>
      <c r="L44" s="24">
        <v>1</v>
      </c>
      <c r="M44" s="39">
        <v>72700000</v>
      </c>
      <c r="N44" s="39">
        <f t="shared" si="1"/>
        <v>72700000</v>
      </c>
      <c r="O44" s="38" t="s">
        <v>22</v>
      </c>
      <c r="P44" s="24"/>
    </row>
    <row r="45" spans="1:16" x14ac:dyDescent="0.25">
      <c r="A45" s="24" t="s">
        <v>368</v>
      </c>
      <c r="B45" s="36" t="s">
        <v>2046</v>
      </c>
      <c r="C45" s="24">
        <f t="shared" si="0"/>
        <v>42</v>
      </c>
      <c r="D45" s="24">
        <v>1</v>
      </c>
      <c r="E45" s="24"/>
      <c r="F45" s="24"/>
      <c r="G45" s="37" t="s">
        <v>695</v>
      </c>
      <c r="H45" s="24" t="s">
        <v>2865</v>
      </c>
      <c r="I45" s="24">
        <v>331</v>
      </c>
      <c r="J45" s="24">
        <v>1111</v>
      </c>
      <c r="K45" s="24" t="s">
        <v>21</v>
      </c>
      <c r="L45" s="24">
        <v>1</v>
      </c>
      <c r="M45" s="39">
        <v>99000</v>
      </c>
      <c r="N45" s="39">
        <f t="shared" ref="N45:N60" si="2">L45*M45</f>
        <v>99000</v>
      </c>
      <c r="O45" s="38" t="s">
        <v>22</v>
      </c>
      <c r="P45" s="24"/>
    </row>
    <row r="46" spans="1:16" x14ac:dyDescent="0.25">
      <c r="A46" s="24" t="s">
        <v>368</v>
      </c>
      <c r="B46" s="93" t="s">
        <v>2075</v>
      </c>
      <c r="C46" s="24">
        <f t="shared" si="0"/>
        <v>43</v>
      </c>
      <c r="D46" s="24">
        <v>1</v>
      </c>
      <c r="E46" s="46"/>
      <c r="F46" s="24"/>
      <c r="G46" s="79" t="s">
        <v>695</v>
      </c>
      <c r="H46" s="46" t="s">
        <v>2866</v>
      </c>
      <c r="I46" s="24">
        <v>331</v>
      </c>
      <c r="J46" s="24">
        <v>1111</v>
      </c>
      <c r="K46" s="24" t="s">
        <v>21</v>
      </c>
      <c r="L46" s="24">
        <v>1</v>
      </c>
      <c r="M46" s="90">
        <v>1662120</v>
      </c>
      <c r="N46" s="39">
        <f t="shared" si="2"/>
        <v>1662120</v>
      </c>
      <c r="O46" s="38" t="s">
        <v>22</v>
      </c>
      <c r="P46" s="24"/>
    </row>
    <row r="47" spans="1:16" x14ac:dyDescent="0.25">
      <c r="A47" s="24" t="s">
        <v>368</v>
      </c>
      <c r="B47" s="93" t="s">
        <v>2047</v>
      </c>
      <c r="C47" s="24">
        <f t="shared" si="0"/>
        <v>44</v>
      </c>
      <c r="D47" s="24">
        <v>1</v>
      </c>
      <c r="E47" s="46"/>
      <c r="F47" s="24"/>
      <c r="G47" s="79" t="s">
        <v>259</v>
      </c>
      <c r="H47" s="46" t="s">
        <v>2867</v>
      </c>
      <c r="I47" s="24">
        <v>331</v>
      </c>
      <c r="J47" s="24">
        <v>1111</v>
      </c>
      <c r="K47" s="24" t="s">
        <v>21</v>
      </c>
      <c r="L47" s="24">
        <v>1</v>
      </c>
      <c r="M47" s="90">
        <v>1675000</v>
      </c>
      <c r="N47" s="39">
        <f t="shared" si="2"/>
        <v>1675000</v>
      </c>
      <c r="O47" s="38" t="s">
        <v>22</v>
      </c>
      <c r="P47" s="24"/>
    </row>
    <row r="48" spans="1:16" x14ac:dyDescent="0.25">
      <c r="A48" s="24" t="s">
        <v>368</v>
      </c>
      <c r="B48" s="93" t="s">
        <v>1535</v>
      </c>
      <c r="C48" s="24">
        <f t="shared" si="0"/>
        <v>45</v>
      </c>
      <c r="D48" s="24">
        <v>1</v>
      </c>
      <c r="E48" s="46"/>
      <c r="F48" s="24"/>
      <c r="G48" s="79" t="s">
        <v>158</v>
      </c>
      <c r="H48" s="42" t="s">
        <v>2868</v>
      </c>
      <c r="I48" s="24">
        <v>331</v>
      </c>
      <c r="J48" s="24">
        <v>1111</v>
      </c>
      <c r="K48" s="24" t="s">
        <v>21</v>
      </c>
      <c r="L48" s="24">
        <v>1</v>
      </c>
      <c r="M48" s="90">
        <v>3240000</v>
      </c>
      <c r="N48" s="39">
        <f t="shared" si="2"/>
        <v>3240000</v>
      </c>
      <c r="O48" s="38" t="s">
        <v>22</v>
      </c>
      <c r="P48" s="24"/>
    </row>
    <row r="49" spans="1:16" x14ac:dyDescent="0.25">
      <c r="A49" s="24" t="s">
        <v>368</v>
      </c>
      <c r="B49" s="36" t="s">
        <v>1416</v>
      </c>
      <c r="C49" s="24">
        <f t="shared" si="0"/>
        <v>46</v>
      </c>
      <c r="D49" s="24">
        <v>1</v>
      </c>
      <c r="E49" s="24"/>
      <c r="F49" s="24"/>
      <c r="G49" s="37" t="s">
        <v>689</v>
      </c>
      <c r="H49" s="42" t="s">
        <v>2869</v>
      </c>
      <c r="I49" s="24">
        <v>331</v>
      </c>
      <c r="J49" s="24">
        <v>1111</v>
      </c>
      <c r="K49" s="24" t="s">
        <v>21</v>
      </c>
      <c r="L49" s="24">
        <v>1</v>
      </c>
      <c r="M49" s="39">
        <v>3182760</v>
      </c>
      <c r="N49" s="39">
        <f t="shared" si="2"/>
        <v>3182760</v>
      </c>
      <c r="O49" s="38" t="s">
        <v>22</v>
      </c>
      <c r="P49" s="24"/>
    </row>
    <row r="50" spans="1:16" x14ac:dyDescent="0.25">
      <c r="A50" s="24" t="s">
        <v>368</v>
      </c>
      <c r="B50" s="36" t="s">
        <v>2339</v>
      </c>
      <c r="C50" s="24">
        <f t="shared" si="0"/>
        <v>47</v>
      </c>
      <c r="D50" s="24">
        <v>1</v>
      </c>
      <c r="E50" s="24"/>
      <c r="F50" s="24"/>
      <c r="G50" s="37" t="s">
        <v>2855</v>
      </c>
      <c r="H50" s="42" t="s">
        <v>2870</v>
      </c>
      <c r="I50" s="24">
        <v>331</v>
      </c>
      <c r="J50" s="24">
        <v>1111</v>
      </c>
      <c r="K50" s="24" t="s">
        <v>21</v>
      </c>
      <c r="L50" s="24">
        <v>1</v>
      </c>
      <c r="M50" s="39">
        <v>4055400</v>
      </c>
      <c r="N50" s="39">
        <f t="shared" si="2"/>
        <v>4055400</v>
      </c>
      <c r="O50" s="38" t="s">
        <v>22</v>
      </c>
      <c r="P50" s="24"/>
    </row>
    <row r="51" spans="1:16" x14ac:dyDescent="0.25">
      <c r="A51" s="24" t="s">
        <v>368</v>
      </c>
      <c r="B51" s="36" t="s">
        <v>2482</v>
      </c>
      <c r="C51" s="24">
        <f t="shared" si="0"/>
        <v>48</v>
      </c>
      <c r="D51" s="24">
        <v>1</v>
      </c>
      <c r="E51" s="24"/>
      <c r="F51" s="24"/>
      <c r="G51" s="37" t="s">
        <v>638</v>
      </c>
      <c r="H51" s="42" t="s">
        <v>2871</v>
      </c>
      <c r="I51" s="24">
        <v>331</v>
      </c>
      <c r="J51" s="24">
        <v>1111</v>
      </c>
      <c r="K51" s="24" t="s">
        <v>21</v>
      </c>
      <c r="L51" s="24">
        <v>1</v>
      </c>
      <c r="M51" s="39">
        <v>1234440</v>
      </c>
      <c r="N51" s="39">
        <f t="shared" si="2"/>
        <v>1234440</v>
      </c>
      <c r="O51" s="38" t="s">
        <v>22</v>
      </c>
      <c r="P51" s="24"/>
    </row>
    <row r="52" spans="1:16" x14ac:dyDescent="0.25">
      <c r="A52" s="24" t="s">
        <v>368</v>
      </c>
      <c r="B52" s="36" t="s">
        <v>2485</v>
      </c>
      <c r="C52" s="24">
        <f t="shared" si="0"/>
        <v>49</v>
      </c>
      <c r="D52" s="24">
        <v>1</v>
      </c>
      <c r="E52" s="24"/>
      <c r="F52" s="24"/>
      <c r="G52" s="37" t="s">
        <v>2856</v>
      </c>
      <c r="H52" s="42" t="s">
        <v>2872</v>
      </c>
      <c r="I52" s="24">
        <v>331</v>
      </c>
      <c r="J52" s="24">
        <v>1111</v>
      </c>
      <c r="K52" s="24" t="s">
        <v>21</v>
      </c>
      <c r="L52" s="24">
        <v>1</v>
      </c>
      <c r="M52" s="39">
        <v>72700000</v>
      </c>
      <c r="N52" s="39">
        <f t="shared" si="2"/>
        <v>72700000</v>
      </c>
      <c r="O52" s="38" t="s">
        <v>22</v>
      </c>
      <c r="P52" s="24"/>
    </row>
    <row r="53" spans="1:16" x14ac:dyDescent="0.25">
      <c r="A53" s="46" t="s">
        <v>33</v>
      </c>
      <c r="B53" s="36">
        <v>45881</v>
      </c>
      <c r="C53" s="24">
        <f t="shared" si="0"/>
        <v>50</v>
      </c>
      <c r="D53" s="24">
        <v>1</v>
      </c>
      <c r="E53" s="24"/>
      <c r="F53" s="24"/>
      <c r="G53" s="37" t="s">
        <v>2823</v>
      </c>
      <c r="H53" s="24" t="s">
        <v>2873</v>
      </c>
      <c r="I53" s="46">
        <v>112111</v>
      </c>
      <c r="J53" s="46">
        <v>131</v>
      </c>
      <c r="K53" s="24" t="s">
        <v>21</v>
      </c>
      <c r="L53" s="24">
        <v>1</v>
      </c>
      <c r="M53" s="39">
        <v>63870968</v>
      </c>
      <c r="N53" s="39">
        <f t="shared" si="2"/>
        <v>63870968</v>
      </c>
      <c r="O53" s="38" t="s">
        <v>22</v>
      </c>
      <c r="P53" s="24"/>
    </row>
    <row r="54" spans="1:16" x14ac:dyDescent="0.25">
      <c r="A54" s="46" t="s">
        <v>18</v>
      </c>
      <c r="B54" s="36">
        <v>45883</v>
      </c>
      <c r="C54" s="24">
        <f t="shared" si="0"/>
        <v>51</v>
      </c>
      <c r="D54" s="24">
        <v>1</v>
      </c>
      <c r="E54" s="24"/>
      <c r="F54" s="24"/>
      <c r="G54" s="15" t="s">
        <v>252</v>
      </c>
      <c r="H54" s="13" t="s">
        <v>1578</v>
      </c>
      <c r="I54" s="13">
        <v>131</v>
      </c>
      <c r="J54" s="13">
        <v>5118</v>
      </c>
      <c r="K54" s="24" t="s">
        <v>21</v>
      </c>
      <c r="L54" s="24">
        <v>1</v>
      </c>
      <c r="M54" s="39">
        <v>270732274</v>
      </c>
      <c r="N54" s="39">
        <f t="shared" si="2"/>
        <v>270732274</v>
      </c>
      <c r="O54" s="38" t="s">
        <v>22</v>
      </c>
      <c r="P54" s="24"/>
    </row>
    <row r="55" spans="1:16" x14ac:dyDescent="0.25">
      <c r="A55" s="46" t="s">
        <v>33</v>
      </c>
      <c r="B55" s="36">
        <v>45883</v>
      </c>
      <c r="C55" s="24">
        <f t="shared" si="0"/>
        <v>52</v>
      </c>
      <c r="D55" s="24">
        <v>1</v>
      </c>
      <c r="E55" s="24"/>
      <c r="F55" s="24"/>
      <c r="G55" s="15" t="s">
        <v>252</v>
      </c>
      <c r="H55" s="13" t="s">
        <v>1579</v>
      </c>
      <c r="I55" s="24">
        <v>112111</v>
      </c>
      <c r="J55" s="13">
        <v>131</v>
      </c>
      <c r="K55" s="24" t="s">
        <v>21</v>
      </c>
      <c r="L55" s="24">
        <v>1</v>
      </c>
      <c r="M55" s="39">
        <v>270732274</v>
      </c>
      <c r="N55" s="39">
        <f t="shared" ref="N55" si="3">L55*M55</f>
        <v>270732274</v>
      </c>
      <c r="O55" s="38" t="s">
        <v>22</v>
      </c>
      <c r="P55" s="24"/>
    </row>
    <row r="56" spans="1:16" x14ac:dyDescent="0.25">
      <c r="A56" s="46" t="s">
        <v>33</v>
      </c>
      <c r="B56" s="36">
        <v>45885</v>
      </c>
      <c r="C56" s="24">
        <f t="shared" si="0"/>
        <v>53</v>
      </c>
      <c r="D56" s="24">
        <v>1</v>
      </c>
      <c r="E56" s="24"/>
      <c r="F56" s="24"/>
      <c r="G56" s="37" t="s">
        <v>1280</v>
      </c>
      <c r="H56" s="24" t="s">
        <v>2874</v>
      </c>
      <c r="I56" s="46">
        <v>112111</v>
      </c>
      <c r="J56" s="46">
        <v>131</v>
      </c>
      <c r="K56" s="24" t="s">
        <v>21</v>
      </c>
      <c r="L56" s="24">
        <v>1</v>
      </c>
      <c r="M56" s="39">
        <v>252000000</v>
      </c>
      <c r="N56" s="39">
        <f t="shared" si="2"/>
        <v>252000000</v>
      </c>
      <c r="O56" s="38" t="s">
        <v>22</v>
      </c>
      <c r="P56" s="24"/>
    </row>
    <row r="57" spans="1:16" x14ac:dyDescent="0.25">
      <c r="A57" s="46" t="s">
        <v>33</v>
      </c>
      <c r="B57" s="36">
        <v>45890</v>
      </c>
      <c r="C57" s="24">
        <f t="shared" si="0"/>
        <v>54</v>
      </c>
      <c r="D57" s="24">
        <v>1</v>
      </c>
      <c r="E57" s="24"/>
      <c r="F57" s="24"/>
      <c r="G57" s="37" t="s">
        <v>1015</v>
      </c>
      <c r="H57" s="24" t="s">
        <v>2881</v>
      </c>
      <c r="I57" s="46">
        <v>112111</v>
      </c>
      <c r="J57" s="46">
        <v>131</v>
      </c>
      <c r="K57" s="24" t="s">
        <v>21</v>
      </c>
      <c r="L57" s="24">
        <v>1</v>
      </c>
      <c r="M57" s="39">
        <v>31935484</v>
      </c>
      <c r="N57" s="39">
        <f t="shared" si="2"/>
        <v>31935484</v>
      </c>
      <c r="O57" s="38" t="s">
        <v>22</v>
      </c>
      <c r="P57" s="24"/>
    </row>
    <row r="58" spans="1:16" x14ac:dyDescent="0.25">
      <c r="A58" s="46" t="s">
        <v>33</v>
      </c>
      <c r="B58" s="36">
        <v>45891</v>
      </c>
      <c r="C58" s="24">
        <f t="shared" si="0"/>
        <v>55</v>
      </c>
      <c r="D58" s="24">
        <v>1</v>
      </c>
      <c r="E58" s="24"/>
      <c r="F58" s="24"/>
      <c r="G58" s="37" t="s">
        <v>1077</v>
      </c>
      <c r="H58" s="24" t="s">
        <v>2875</v>
      </c>
      <c r="I58" s="46">
        <v>112111</v>
      </c>
      <c r="J58" s="46">
        <v>131</v>
      </c>
      <c r="K58" s="24" t="s">
        <v>21</v>
      </c>
      <c r="L58" s="24">
        <v>1</v>
      </c>
      <c r="M58" s="39">
        <v>53225806</v>
      </c>
      <c r="N58" s="39">
        <f t="shared" si="2"/>
        <v>53225806</v>
      </c>
      <c r="O58" s="38" t="s">
        <v>22</v>
      </c>
      <c r="P58" s="24"/>
    </row>
    <row r="59" spans="1:16" x14ac:dyDescent="0.25">
      <c r="A59" s="46" t="s">
        <v>33</v>
      </c>
      <c r="B59" s="36">
        <v>45891</v>
      </c>
      <c r="C59" s="24">
        <f t="shared" si="0"/>
        <v>56</v>
      </c>
      <c r="D59" s="24">
        <v>1</v>
      </c>
      <c r="E59" s="24"/>
      <c r="F59" s="24"/>
      <c r="G59" s="37" t="s">
        <v>1077</v>
      </c>
      <c r="H59" s="24" t="s">
        <v>2876</v>
      </c>
      <c r="I59" s="46">
        <v>112111</v>
      </c>
      <c r="J59" s="46">
        <v>131</v>
      </c>
      <c r="K59" s="24" t="s">
        <v>21</v>
      </c>
      <c r="L59" s="24">
        <v>1</v>
      </c>
      <c r="M59" s="39">
        <v>53225806</v>
      </c>
      <c r="N59" s="39">
        <f t="shared" si="2"/>
        <v>53225806</v>
      </c>
      <c r="O59" s="38" t="s">
        <v>22</v>
      </c>
      <c r="P59" s="24"/>
    </row>
    <row r="60" spans="1:16" x14ac:dyDescent="0.25">
      <c r="A60" s="46" t="s">
        <v>18</v>
      </c>
      <c r="B60" s="36">
        <v>45903</v>
      </c>
      <c r="C60" s="24">
        <f t="shared" si="0"/>
        <v>57</v>
      </c>
      <c r="D60" s="24">
        <v>1</v>
      </c>
      <c r="E60" s="24"/>
      <c r="F60" s="24"/>
      <c r="G60" s="15" t="s">
        <v>252</v>
      </c>
      <c r="H60" s="13" t="s">
        <v>1578</v>
      </c>
      <c r="I60" s="13">
        <v>131</v>
      </c>
      <c r="J60" s="13">
        <v>5118</v>
      </c>
      <c r="K60" s="24" t="s">
        <v>21</v>
      </c>
      <c r="L60" s="24">
        <v>1</v>
      </c>
      <c r="M60" s="39">
        <v>390397023</v>
      </c>
      <c r="N60" s="39">
        <f t="shared" si="2"/>
        <v>390397023</v>
      </c>
      <c r="O60" s="38" t="s">
        <v>22</v>
      </c>
      <c r="P60" s="24"/>
    </row>
    <row r="61" spans="1:16" x14ac:dyDescent="0.25">
      <c r="A61" s="46" t="s">
        <v>33</v>
      </c>
      <c r="B61" s="36">
        <v>45903</v>
      </c>
      <c r="C61" s="24">
        <f t="shared" si="0"/>
        <v>58</v>
      </c>
      <c r="D61" s="24">
        <v>1</v>
      </c>
      <c r="E61" s="24"/>
      <c r="F61" s="24"/>
      <c r="G61" s="15" t="s">
        <v>252</v>
      </c>
      <c r="H61" s="13" t="s">
        <v>1579</v>
      </c>
      <c r="I61" s="24">
        <v>112111</v>
      </c>
      <c r="J61" s="13">
        <v>131</v>
      </c>
      <c r="K61" s="24" t="s">
        <v>21</v>
      </c>
      <c r="L61" s="24">
        <v>1</v>
      </c>
      <c r="M61" s="39">
        <v>390397023</v>
      </c>
      <c r="N61" s="39">
        <f t="shared" ref="N61:N69" si="4">L61*M61</f>
        <v>390397023</v>
      </c>
      <c r="O61" s="38" t="s">
        <v>22</v>
      </c>
      <c r="P61" s="24"/>
    </row>
    <row r="62" spans="1:16" x14ac:dyDescent="0.25">
      <c r="A62" s="46" t="s">
        <v>33</v>
      </c>
      <c r="B62" s="36">
        <v>45905</v>
      </c>
      <c r="C62" s="24">
        <f t="shared" si="0"/>
        <v>59</v>
      </c>
      <c r="D62" s="24">
        <v>1</v>
      </c>
      <c r="E62" s="24"/>
      <c r="F62" s="24"/>
      <c r="G62" s="37" t="s">
        <v>818</v>
      </c>
      <c r="H62" s="24" t="s">
        <v>2877</v>
      </c>
      <c r="I62" s="24">
        <v>112111</v>
      </c>
      <c r="J62" s="13">
        <v>131</v>
      </c>
      <c r="K62" s="24" t="s">
        <v>21</v>
      </c>
      <c r="L62" s="24">
        <v>1</v>
      </c>
      <c r="M62" s="39">
        <v>63807968</v>
      </c>
      <c r="N62" s="39">
        <f t="shared" si="4"/>
        <v>63807968</v>
      </c>
      <c r="O62" s="38" t="s">
        <v>22</v>
      </c>
      <c r="P62" s="24"/>
    </row>
    <row r="63" spans="1:16" x14ac:dyDescent="0.25">
      <c r="A63" s="46" t="s">
        <v>89</v>
      </c>
      <c r="B63" s="36">
        <v>45909</v>
      </c>
      <c r="C63" s="24">
        <f t="shared" si="0"/>
        <v>60</v>
      </c>
      <c r="D63" s="24">
        <v>1</v>
      </c>
      <c r="E63" s="24"/>
      <c r="F63" s="24"/>
      <c r="G63" s="37" t="s">
        <v>2878</v>
      </c>
      <c r="H63" s="42" t="s">
        <v>1008</v>
      </c>
      <c r="I63" s="24">
        <v>1111</v>
      </c>
      <c r="J63" s="24">
        <v>112111</v>
      </c>
      <c r="K63" s="24" t="s">
        <v>21</v>
      </c>
      <c r="L63" s="24">
        <v>1</v>
      </c>
      <c r="M63" s="39">
        <v>400000000</v>
      </c>
      <c r="N63" s="39">
        <f t="shared" si="4"/>
        <v>400000000</v>
      </c>
      <c r="O63" s="38" t="s">
        <v>22</v>
      </c>
      <c r="P63" s="24"/>
    </row>
    <row r="64" spans="1:16" x14ac:dyDescent="0.25">
      <c r="A64" s="46" t="s">
        <v>89</v>
      </c>
      <c r="B64" s="36">
        <v>45909</v>
      </c>
      <c r="C64" s="24">
        <f t="shared" si="0"/>
        <v>61</v>
      </c>
      <c r="D64" s="24">
        <v>1</v>
      </c>
      <c r="E64" s="24"/>
      <c r="F64" s="24"/>
      <c r="G64" s="37" t="s">
        <v>2878</v>
      </c>
      <c r="H64" s="42" t="s">
        <v>1008</v>
      </c>
      <c r="I64" s="24">
        <v>1111</v>
      </c>
      <c r="J64" s="24">
        <v>112111</v>
      </c>
      <c r="K64" s="24" t="s">
        <v>21</v>
      </c>
      <c r="L64" s="24">
        <v>1</v>
      </c>
      <c r="M64" s="39">
        <v>779000000</v>
      </c>
      <c r="N64" s="39">
        <f t="shared" si="4"/>
        <v>779000000</v>
      </c>
      <c r="O64" s="38" t="s">
        <v>22</v>
      </c>
      <c r="P64" s="24"/>
    </row>
    <row r="65" spans="1:16" x14ac:dyDescent="0.25">
      <c r="A65" s="46" t="s">
        <v>33</v>
      </c>
      <c r="B65" s="36">
        <v>45911</v>
      </c>
      <c r="C65" s="24">
        <f t="shared" si="0"/>
        <v>62</v>
      </c>
      <c r="D65" s="24">
        <v>1</v>
      </c>
      <c r="E65" s="24"/>
      <c r="F65" s="24"/>
      <c r="G65" s="37" t="s">
        <v>784</v>
      </c>
      <c r="H65" s="24" t="s">
        <v>2879</v>
      </c>
      <c r="I65" s="24">
        <v>112111</v>
      </c>
      <c r="J65" s="13">
        <v>131</v>
      </c>
      <c r="K65" s="24" t="s">
        <v>21</v>
      </c>
      <c r="L65" s="24">
        <v>1</v>
      </c>
      <c r="M65" s="39">
        <v>63870968</v>
      </c>
      <c r="N65" s="39">
        <f t="shared" si="4"/>
        <v>63870968</v>
      </c>
      <c r="O65" s="38" t="s">
        <v>22</v>
      </c>
      <c r="P65" s="24"/>
    </row>
    <row r="66" spans="1:16" x14ac:dyDescent="0.25">
      <c r="A66" s="46" t="s">
        <v>33</v>
      </c>
      <c r="B66" s="36">
        <v>45915</v>
      </c>
      <c r="C66" s="24">
        <f t="shared" si="0"/>
        <v>63</v>
      </c>
      <c r="D66" s="24">
        <v>1</v>
      </c>
      <c r="E66" s="24"/>
      <c r="F66" s="24"/>
      <c r="G66" s="37" t="s">
        <v>768</v>
      </c>
      <c r="H66" s="24" t="s">
        <v>2880</v>
      </c>
      <c r="I66" s="24">
        <v>112111</v>
      </c>
      <c r="J66" s="13">
        <v>131</v>
      </c>
      <c r="K66" s="24" t="s">
        <v>21</v>
      </c>
      <c r="L66" s="24">
        <v>1</v>
      </c>
      <c r="M66" s="39">
        <v>53225807</v>
      </c>
      <c r="N66" s="39">
        <f t="shared" si="4"/>
        <v>53225807</v>
      </c>
      <c r="O66" s="38" t="s">
        <v>22</v>
      </c>
      <c r="P66" s="24"/>
    </row>
    <row r="67" spans="1:16" x14ac:dyDescent="0.25">
      <c r="A67" s="46" t="s">
        <v>33</v>
      </c>
      <c r="B67" s="36">
        <v>45922</v>
      </c>
      <c r="C67" s="24">
        <f t="shared" si="0"/>
        <v>64</v>
      </c>
      <c r="D67" s="24">
        <v>1</v>
      </c>
      <c r="E67" s="24"/>
      <c r="F67" s="24"/>
      <c r="G67" s="37" t="s">
        <v>1015</v>
      </c>
      <c r="H67" s="24" t="s">
        <v>2881</v>
      </c>
      <c r="I67" s="24">
        <v>112111</v>
      </c>
      <c r="J67" s="13">
        <v>131</v>
      </c>
      <c r="K67" s="24" t="s">
        <v>21</v>
      </c>
      <c r="L67" s="24">
        <v>1</v>
      </c>
      <c r="M67" s="39">
        <v>165000000</v>
      </c>
      <c r="N67" s="39">
        <f t="shared" si="4"/>
        <v>165000000</v>
      </c>
      <c r="O67" s="38" t="s">
        <v>22</v>
      </c>
      <c r="P67" s="24"/>
    </row>
    <row r="68" spans="1:16" x14ac:dyDescent="0.25">
      <c r="A68" s="46" t="s">
        <v>33</v>
      </c>
      <c r="B68" s="36">
        <v>45926</v>
      </c>
      <c r="C68" s="24">
        <f t="shared" si="0"/>
        <v>65</v>
      </c>
      <c r="D68" s="24">
        <v>1</v>
      </c>
      <c r="E68" s="24"/>
      <c r="F68" s="24"/>
      <c r="G68" s="37" t="s">
        <v>1107</v>
      </c>
      <c r="H68" s="24" t="s">
        <v>2882</v>
      </c>
      <c r="I68" s="24">
        <v>112111</v>
      </c>
      <c r="J68" s="13">
        <v>131</v>
      </c>
      <c r="K68" s="24" t="s">
        <v>21</v>
      </c>
      <c r="L68" s="24">
        <v>1</v>
      </c>
      <c r="M68" s="39">
        <v>15967742</v>
      </c>
      <c r="N68" s="39">
        <f t="shared" si="4"/>
        <v>15967742</v>
      </c>
      <c r="O68" s="38" t="s">
        <v>22</v>
      </c>
      <c r="P68" s="24"/>
    </row>
    <row r="69" spans="1:16" x14ac:dyDescent="0.25">
      <c r="A69" s="46" t="s">
        <v>18</v>
      </c>
      <c r="B69" s="36">
        <v>45926</v>
      </c>
      <c r="C69" s="24">
        <f t="shared" ref="C69:C76" si="5">C68+D69</f>
        <v>66</v>
      </c>
      <c r="D69" s="24">
        <v>1</v>
      </c>
      <c r="E69" s="24"/>
      <c r="F69" s="24"/>
      <c r="G69" s="15" t="s">
        <v>252</v>
      </c>
      <c r="H69" s="13" t="s">
        <v>1578</v>
      </c>
      <c r="I69" s="13">
        <v>131</v>
      </c>
      <c r="J69" s="13">
        <v>5118</v>
      </c>
      <c r="K69" s="24" t="s">
        <v>21</v>
      </c>
      <c r="L69" s="24">
        <v>1</v>
      </c>
      <c r="M69" s="39">
        <v>394261999</v>
      </c>
      <c r="N69" s="39">
        <f t="shared" si="4"/>
        <v>394261999</v>
      </c>
      <c r="O69" s="38" t="s">
        <v>22</v>
      </c>
      <c r="P69" s="24"/>
    </row>
    <row r="70" spans="1:16" x14ac:dyDescent="0.25">
      <c r="A70" s="46" t="s">
        <v>33</v>
      </c>
      <c r="B70" s="36">
        <v>45926</v>
      </c>
      <c r="C70" s="24">
        <f t="shared" si="5"/>
        <v>67</v>
      </c>
      <c r="D70" s="24">
        <v>1</v>
      </c>
      <c r="E70" s="24"/>
      <c r="F70" s="24"/>
      <c r="G70" s="15" t="s">
        <v>252</v>
      </c>
      <c r="H70" s="13" t="s">
        <v>1579</v>
      </c>
      <c r="I70" s="24">
        <v>112111</v>
      </c>
      <c r="J70" s="13">
        <v>131</v>
      </c>
      <c r="K70" s="24" t="s">
        <v>21</v>
      </c>
      <c r="L70" s="24">
        <v>1</v>
      </c>
      <c r="M70" s="39">
        <v>394261999</v>
      </c>
      <c r="N70" s="39">
        <f t="shared" ref="N70:N73" si="6">L70*M70</f>
        <v>394261999</v>
      </c>
      <c r="O70" s="38" t="s">
        <v>22</v>
      </c>
      <c r="P70" s="24"/>
    </row>
    <row r="71" spans="1:16" x14ac:dyDescent="0.25">
      <c r="A71" s="46" t="s">
        <v>89</v>
      </c>
      <c r="B71" s="36">
        <v>45926</v>
      </c>
      <c r="C71" s="24">
        <f t="shared" si="5"/>
        <v>68</v>
      </c>
      <c r="D71" s="24">
        <v>1</v>
      </c>
      <c r="E71" s="24"/>
      <c r="F71" s="24"/>
      <c r="G71" s="37" t="s">
        <v>2878</v>
      </c>
      <c r="H71" s="42" t="s">
        <v>1008</v>
      </c>
      <c r="I71" s="24">
        <v>1111</v>
      </c>
      <c r="J71" s="24">
        <v>112111</v>
      </c>
      <c r="K71" s="24" t="s">
        <v>21</v>
      </c>
      <c r="L71" s="24">
        <v>1</v>
      </c>
      <c r="M71" s="39">
        <v>692000000</v>
      </c>
      <c r="N71" s="39">
        <f t="shared" si="6"/>
        <v>692000000</v>
      </c>
      <c r="O71" s="38" t="s">
        <v>22</v>
      </c>
      <c r="P71" s="24"/>
    </row>
    <row r="72" spans="1:16" x14ac:dyDescent="0.25">
      <c r="A72" s="46" t="s">
        <v>33</v>
      </c>
      <c r="B72" s="36">
        <v>45926</v>
      </c>
      <c r="C72" s="24">
        <f t="shared" si="5"/>
        <v>69</v>
      </c>
      <c r="D72" s="24">
        <v>1</v>
      </c>
      <c r="E72" s="24"/>
      <c r="F72" s="24"/>
      <c r="G72" s="37" t="s">
        <v>1015</v>
      </c>
      <c r="H72" s="24" t="s">
        <v>2883</v>
      </c>
      <c r="I72" s="24">
        <v>112111</v>
      </c>
      <c r="J72" s="13">
        <v>131</v>
      </c>
      <c r="K72" s="24" t="s">
        <v>21</v>
      </c>
      <c r="L72" s="24">
        <v>1</v>
      </c>
      <c r="M72" s="39">
        <v>63870968</v>
      </c>
      <c r="N72" s="39">
        <f t="shared" si="6"/>
        <v>63870968</v>
      </c>
      <c r="O72" s="38" t="s">
        <v>22</v>
      </c>
      <c r="P72" s="24"/>
    </row>
    <row r="73" spans="1:16" x14ac:dyDescent="0.25">
      <c r="A73" s="46" t="s">
        <v>18</v>
      </c>
      <c r="B73" s="36">
        <v>45926</v>
      </c>
      <c r="C73" s="24">
        <f t="shared" si="5"/>
        <v>70</v>
      </c>
      <c r="D73" s="24">
        <v>1</v>
      </c>
      <c r="E73" s="24"/>
      <c r="F73" s="24"/>
      <c r="G73" s="15" t="s">
        <v>252</v>
      </c>
      <c r="H73" s="13" t="s">
        <v>1578</v>
      </c>
      <c r="I73" s="13">
        <v>131</v>
      </c>
      <c r="J73" s="13">
        <v>5118</v>
      </c>
      <c r="K73" s="24" t="s">
        <v>21</v>
      </c>
      <c r="L73" s="24">
        <v>1</v>
      </c>
      <c r="M73" s="39">
        <v>2067762</v>
      </c>
      <c r="N73" s="39">
        <f t="shared" si="6"/>
        <v>2067762</v>
      </c>
      <c r="O73" s="38" t="s">
        <v>22</v>
      </c>
      <c r="P73" s="24"/>
    </row>
    <row r="74" spans="1:16" x14ac:dyDescent="0.25">
      <c r="A74" s="46" t="s">
        <v>33</v>
      </c>
      <c r="B74" s="36">
        <v>45926</v>
      </c>
      <c r="C74" s="24">
        <f t="shared" si="5"/>
        <v>71</v>
      </c>
      <c r="D74" s="24">
        <v>1</v>
      </c>
      <c r="E74" s="24"/>
      <c r="F74" s="24"/>
      <c r="G74" s="15" t="s">
        <v>252</v>
      </c>
      <c r="H74" s="13" t="s">
        <v>1579</v>
      </c>
      <c r="I74" s="24">
        <v>112111</v>
      </c>
      <c r="J74" s="13">
        <v>131</v>
      </c>
      <c r="K74" s="24" t="s">
        <v>21</v>
      </c>
      <c r="L74" s="24">
        <v>1</v>
      </c>
      <c r="M74" s="39">
        <v>2067762</v>
      </c>
      <c r="N74" s="39">
        <f t="shared" ref="N74:N77" si="7">L74*M74</f>
        <v>2067762</v>
      </c>
      <c r="O74" s="38" t="s">
        <v>22</v>
      </c>
      <c r="P74" s="24"/>
    </row>
    <row r="75" spans="1:16" x14ac:dyDescent="0.25">
      <c r="A75" s="46" t="s">
        <v>89</v>
      </c>
      <c r="B75" s="36">
        <v>45926</v>
      </c>
      <c r="C75" s="24">
        <f t="shared" si="5"/>
        <v>72</v>
      </c>
      <c r="D75" s="24">
        <v>1</v>
      </c>
      <c r="E75" s="24"/>
      <c r="F75" s="24"/>
      <c r="G75" s="37" t="s">
        <v>1235</v>
      </c>
      <c r="H75" s="24" t="s">
        <v>686</v>
      </c>
      <c r="I75" s="46">
        <v>3383</v>
      </c>
      <c r="J75" s="24">
        <v>112111</v>
      </c>
      <c r="K75" s="24" t="s">
        <v>21</v>
      </c>
      <c r="L75" s="24">
        <v>1</v>
      </c>
      <c r="M75" s="39">
        <v>690300</v>
      </c>
      <c r="N75" s="39">
        <f t="shared" si="7"/>
        <v>690300</v>
      </c>
      <c r="O75" s="38" t="s">
        <v>22</v>
      </c>
      <c r="P75" s="24"/>
    </row>
    <row r="76" spans="1:16" x14ac:dyDescent="0.25">
      <c r="A76" s="46" t="s">
        <v>89</v>
      </c>
      <c r="B76" s="36">
        <v>45926</v>
      </c>
      <c r="C76" s="24">
        <f t="shared" si="5"/>
        <v>73</v>
      </c>
      <c r="D76" s="24">
        <v>1</v>
      </c>
      <c r="E76" s="24"/>
      <c r="F76" s="24"/>
      <c r="G76" s="37" t="s">
        <v>2878</v>
      </c>
      <c r="H76" s="42" t="s">
        <v>1008</v>
      </c>
      <c r="I76" s="24">
        <v>1111</v>
      </c>
      <c r="J76" s="24">
        <v>112111</v>
      </c>
      <c r="K76" s="24" t="s">
        <v>21</v>
      </c>
      <c r="L76" s="24">
        <v>1</v>
      </c>
      <c r="M76" s="39">
        <v>65000000</v>
      </c>
      <c r="N76" s="39">
        <f t="shared" si="7"/>
        <v>65000000</v>
      </c>
      <c r="O76" s="38" t="s">
        <v>22</v>
      </c>
      <c r="P76" s="24"/>
    </row>
    <row r="77" spans="1:16" x14ac:dyDescent="0.25">
      <c r="A77" s="46" t="s">
        <v>33</v>
      </c>
      <c r="B77" s="36">
        <v>45900</v>
      </c>
      <c r="C77" s="24">
        <f t="shared" ref="C77:C78" si="8">C76+D77</f>
        <v>74</v>
      </c>
      <c r="D77" s="24">
        <v>1</v>
      </c>
      <c r="E77" s="24"/>
      <c r="F77" s="24"/>
      <c r="G77" s="37" t="s">
        <v>2884</v>
      </c>
      <c r="H77" s="42" t="s">
        <v>129</v>
      </c>
      <c r="I77" s="24">
        <v>112111</v>
      </c>
      <c r="J77" s="46">
        <v>5154</v>
      </c>
      <c r="K77" s="24" t="s">
        <v>21</v>
      </c>
      <c r="L77" s="24">
        <v>1</v>
      </c>
      <c r="M77" s="39">
        <v>34262</v>
      </c>
      <c r="N77" s="39">
        <f t="shared" si="7"/>
        <v>34262</v>
      </c>
      <c r="O77" s="38" t="s">
        <v>22</v>
      </c>
      <c r="P77" s="24"/>
    </row>
    <row r="78" spans="1:16" x14ac:dyDescent="0.25">
      <c r="A78" s="46" t="s">
        <v>33</v>
      </c>
      <c r="B78" s="36">
        <v>45924</v>
      </c>
      <c r="C78" s="24">
        <f t="shared" si="8"/>
        <v>75</v>
      </c>
      <c r="D78" s="24">
        <v>1</v>
      </c>
      <c r="E78" s="24"/>
      <c r="F78" s="24"/>
      <c r="G78" s="37" t="s">
        <v>2884</v>
      </c>
      <c r="H78" s="42" t="s">
        <v>129</v>
      </c>
      <c r="I78" s="24">
        <v>112111</v>
      </c>
      <c r="J78" s="46">
        <v>5154</v>
      </c>
      <c r="K78" s="24" t="s">
        <v>21</v>
      </c>
      <c r="L78" s="24">
        <v>1</v>
      </c>
      <c r="M78" s="39">
        <v>84373</v>
      </c>
      <c r="N78" s="39">
        <f t="shared" ref="N78" si="9">L78*M78</f>
        <v>84373</v>
      </c>
      <c r="O78" s="38" t="s">
        <v>22</v>
      </c>
      <c r="P78" s="24"/>
    </row>
    <row r="79" spans="1:16" x14ac:dyDescent="0.25">
      <c r="A79" s="46"/>
      <c r="B79" s="36"/>
      <c r="C79" s="24"/>
      <c r="D79" s="24"/>
      <c r="E79" s="24"/>
      <c r="F79" s="24"/>
      <c r="G79" s="37"/>
      <c r="H79" s="24"/>
      <c r="I79" s="46"/>
      <c r="J79" s="46"/>
      <c r="K79" s="24"/>
      <c r="L79" s="24"/>
      <c r="M79" s="39"/>
      <c r="N79" s="39"/>
      <c r="O79" s="38"/>
      <c r="P79" s="24"/>
    </row>
    <row r="80" spans="1:16" x14ac:dyDescent="0.25">
      <c r="A80" s="46"/>
      <c r="B80" s="36"/>
      <c r="C80" s="24"/>
      <c r="D80" s="24"/>
      <c r="E80" s="24"/>
      <c r="F80" s="24"/>
      <c r="G80" s="37"/>
      <c r="H80" s="24"/>
      <c r="I80" s="46"/>
      <c r="J80" s="46"/>
      <c r="K80" s="24"/>
      <c r="L80" s="24"/>
      <c r="M80" s="39"/>
      <c r="N80" s="39"/>
      <c r="O80" s="38"/>
      <c r="P80" s="24"/>
    </row>
    <row r="81" spans="1:16" x14ac:dyDescent="0.25">
      <c r="A81" s="46"/>
      <c r="B81" s="36"/>
      <c r="C81" s="24"/>
      <c r="D81" s="24"/>
      <c r="E81" s="24"/>
      <c r="F81" s="24"/>
      <c r="G81" s="37"/>
      <c r="H81" s="24"/>
      <c r="I81" s="46"/>
      <c r="J81" s="46"/>
      <c r="K81" s="24"/>
      <c r="L81" s="24"/>
      <c r="M81" s="39"/>
      <c r="N81" s="39"/>
      <c r="O81" s="38"/>
      <c r="P81" s="24"/>
    </row>
    <row r="82" spans="1:16" x14ac:dyDescent="0.25">
      <c r="A82" s="46"/>
      <c r="B82" s="36"/>
      <c r="C82" s="24"/>
      <c r="D82" s="24"/>
      <c r="E82" s="24"/>
      <c r="F82" s="24"/>
      <c r="G82" s="37"/>
      <c r="H82" s="24"/>
      <c r="I82" s="46"/>
      <c r="J82" s="46"/>
      <c r="K82" s="24"/>
      <c r="L82" s="24"/>
      <c r="M82" s="39"/>
      <c r="N82" s="39"/>
      <c r="O82" s="38"/>
      <c r="P82" s="24"/>
    </row>
    <row r="83" spans="1:16" x14ac:dyDescent="0.25">
      <c r="A83" s="46"/>
      <c r="B83" s="36"/>
      <c r="C83" s="24"/>
      <c r="D83" s="24"/>
      <c r="E83" s="24"/>
      <c r="F83" s="24"/>
      <c r="G83" s="37"/>
      <c r="H83" s="24"/>
      <c r="I83" s="46"/>
      <c r="J83" s="46"/>
      <c r="K83" s="24"/>
      <c r="L83" s="24"/>
      <c r="M83" s="39"/>
      <c r="N83" s="39"/>
      <c r="O83" s="38"/>
      <c r="P83" s="24"/>
    </row>
    <row r="84" spans="1:16" x14ac:dyDescent="0.25">
      <c r="A84" s="46"/>
      <c r="B84" s="36"/>
      <c r="C84" s="24"/>
      <c r="D84" s="24"/>
      <c r="E84" s="24"/>
      <c r="F84" s="24"/>
      <c r="G84" s="37"/>
      <c r="H84" s="24"/>
      <c r="I84" s="46"/>
      <c r="J84" s="46"/>
      <c r="K84" s="24"/>
      <c r="L84" s="24"/>
      <c r="M84" s="39"/>
      <c r="N84" s="39"/>
      <c r="O84" s="38"/>
      <c r="P84" s="24"/>
    </row>
    <row r="85" spans="1:16" x14ac:dyDescent="0.25">
      <c r="A85" s="46"/>
      <c r="B85" s="36"/>
      <c r="C85" s="24"/>
      <c r="D85" s="24"/>
      <c r="E85" s="24"/>
      <c r="F85" s="24"/>
      <c r="G85" s="37"/>
      <c r="H85" s="24"/>
      <c r="I85" s="46"/>
      <c r="J85" s="46"/>
      <c r="K85" s="24"/>
      <c r="L85" s="24"/>
      <c r="M85" s="39"/>
      <c r="N85" s="39"/>
      <c r="O85" s="38"/>
      <c r="P85" s="24"/>
    </row>
    <row r="86" spans="1:16" x14ac:dyDescent="0.25">
      <c r="A86" s="46"/>
      <c r="B86" s="36"/>
      <c r="C86" s="24"/>
      <c r="D86" s="24"/>
      <c r="E86" s="24"/>
      <c r="F86" s="24"/>
      <c r="G86" s="37"/>
      <c r="H86" s="24"/>
      <c r="I86" s="46"/>
      <c r="J86" s="46"/>
      <c r="K86" s="24"/>
      <c r="L86" s="24"/>
      <c r="M86" s="39"/>
      <c r="N86" s="39"/>
      <c r="O86" s="38"/>
      <c r="P86" s="24"/>
    </row>
    <row r="87" spans="1:16" x14ac:dyDescent="0.25">
      <c r="A87" s="46"/>
      <c r="B87" s="36"/>
      <c r="C87" s="24"/>
      <c r="D87" s="24"/>
      <c r="E87" s="24"/>
      <c r="F87" s="24"/>
      <c r="G87" s="37"/>
      <c r="H87" s="24"/>
      <c r="I87" s="46"/>
      <c r="J87" s="46"/>
      <c r="K87" s="24"/>
      <c r="L87" s="24"/>
      <c r="M87" s="39"/>
      <c r="N87" s="39"/>
      <c r="O87" s="38"/>
      <c r="P87" s="24"/>
    </row>
    <row r="88" spans="1:16" x14ac:dyDescent="0.25">
      <c r="A88" s="46"/>
      <c r="B88" s="36"/>
      <c r="C88" s="24"/>
      <c r="D88" s="24"/>
      <c r="E88" s="24"/>
      <c r="F88" s="24"/>
      <c r="G88" s="37"/>
      <c r="H88" s="24"/>
      <c r="I88" s="46"/>
      <c r="J88" s="46"/>
      <c r="K88" s="24"/>
      <c r="L88" s="24"/>
      <c r="M88" s="39"/>
      <c r="N88" s="39"/>
      <c r="O88" s="38"/>
      <c r="P88" s="24"/>
    </row>
    <row r="89" spans="1:16" x14ac:dyDescent="0.25">
      <c r="A89" s="46"/>
      <c r="B89" s="36"/>
      <c r="C89" s="24"/>
      <c r="D89" s="24"/>
      <c r="E89" s="24"/>
      <c r="F89" s="24"/>
      <c r="G89" s="37"/>
      <c r="H89" s="24"/>
      <c r="I89" s="46"/>
      <c r="J89" s="46"/>
      <c r="K89" s="24"/>
      <c r="L89" s="24"/>
      <c r="M89" s="39"/>
      <c r="N89" s="39"/>
      <c r="O89" s="38"/>
      <c r="P89" s="24"/>
    </row>
    <row r="90" spans="1:16" x14ac:dyDescent="0.25">
      <c r="A90" s="46"/>
      <c r="B90" s="36"/>
      <c r="C90" s="24"/>
      <c r="D90" s="24"/>
      <c r="E90" s="24"/>
      <c r="F90" s="24"/>
      <c r="G90" s="37"/>
      <c r="H90" s="42"/>
      <c r="I90" s="46"/>
      <c r="J90" s="46"/>
      <c r="K90" s="24"/>
      <c r="L90" s="24"/>
      <c r="M90" s="39"/>
      <c r="N90" s="39"/>
      <c r="O90" s="38"/>
      <c r="P90" s="24"/>
    </row>
    <row r="91" spans="1:16" x14ac:dyDescent="0.25">
      <c r="A91" s="46"/>
      <c r="B91" s="36"/>
      <c r="C91" s="24"/>
      <c r="D91" s="24"/>
      <c r="E91" s="24"/>
      <c r="F91" s="24"/>
      <c r="G91" s="37"/>
      <c r="H91" s="42"/>
      <c r="I91" s="46"/>
      <c r="J91" s="46"/>
      <c r="K91" s="24"/>
      <c r="L91" s="24"/>
      <c r="M91" s="39"/>
      <c r="N91" s="39"/>
      <c r="O91" s="38"/>
      <c r="P91" s="24"/>
    </row>
    <row r="92" spans="1:16" x14ac:dyDescent="0.25">
      <c r="A92" s="46"/>
      <c r="B92" s="36"/>
      <c r="C92" s="24"/>
      <c r="D92" s="24"/>
      <c r="E92" s="24"/>
      <c r="F92" s="24"/>
      <c r="G92" s="37"/>
      <c r="H92" s="42"/>
      <c r="I92" s="46"/>
      <c r="J92" s="46"/>
      <c r="K92" s="24"/>
      <c r="L92" s="24"/>
      <c r="M92" s="39"/>
      <c r="N92" s="39"/>
      <c r="O92" s="38"/>
      <c r="P92" s="24"/>
    </row>
    <row r="93" spans="1:16" x14ac:dyDescent="0.25">
      <c r="A93" s="46"/>
      <c r="B93" s="36"/>
      <c r="C93" s="24"/>
      <c r="D93" s="24"/>
      <c r="E93" s="24"/>
      <c r="F93" s="24"/>
      <c r="G93" s="37"/>
      <c r="H93" s="42"/>
      <c r="I93" s="46"/>
      <c r="J93" s="46"/>
      <c r="K93" s="24"/>
      <c r="L93" s="24"/>
      <c r="M93" s="39"/>
      <c r="N93" s="39"/>
      <c r="O93" s="38"/>
      <c r="P93" s="24"/>
    </row>
    <row r="94" spans="1:16" x14ac:dyDescent="0.25">
      <c r="A94" s="46"/>
      <c r="B94" s="36"/>
      <c r="C94" s="24"/>
      <c r="D94" s="24"/>
      <c r="E94" s="24"/>
      <c r="F94" s="24"/>
      <c r="G94" s="37"/>
      <c r="H94" s="42"/>
      <c r="I94" s="46"/>
      <c r="J94" s="46"/>
      <c r="K94" s="24"/>
      <c r="L94" s="24"/>
      <c r="M94" s="39"/>
      <c r="N94" s="39"/>
      <c r="O94" s="38"/>
      <c r="P94" s="24"/>
    </row>
    <row r="95" spans="1:16" x14ac:dyDescent="0.25">
      <c r="A95" s="46"/>
      <c r="B95" s="36"/>
      <c r="C95" s="24"/>
      <c r="D95" s="24"/>
      <c r="E95" s="24"/>
      <c r="F95" s="24"/>
      <c r="G95" s="37"/>
      <c r="H95" s="42"/>
      <c r="I95" s="46"/>
      <c r="J95" s="46"/>
      <c r="K95" s="24"/>
      <c r="L95" s="24"/>
      <c r="M95" s="39"/>
      <c r="N95" s="39"/>
      <c r="O95" s="38"/>
      <c r="P95" s="24"/>
    </row>
    <row r="96" spans="1:16" x14ac:dyDescent="0.25">
      <c r="A96" s="46"/>
      <c r="B96" s="36"/>
      <c r="C96" s="24"/>
      <c r="D96" s="24"/>
      <c r="E96" s="24"/>
      <c r="F96" s="24"/>
      <c r="G96" s="37"/>
      <c r="H96" s="42"/>
      <c r="I96" s="46"/>
      <c r="J96" s="46"/>
      <c r="K96" s="24"/>
      <c r="L96" s="24"/>
      <c r="M96" s="39"/>
      <c r="N96" s="39"/>
      <c r="O96" s="38"/>
      <c r="P96" s="24"/>
    </row>
    <row r="97" spans="1:16" x14ac:dyDescent="0.25">
      <c r="A97" s="46"/>
      <c r="B97" s="36"/>
      <c r="C97" s="24"/>
      <c r="D97" s="24"/>
      <c r="E97" s="24"/>
      <c r="F97" s="24"/>
      <c r="G97" s="37"/>
      <c r="H97" s="42"/>
      <c r="I97" s="46"/>
      <c r="J97" s="46"/>
      <c r="K97" s="24"/>
      <c r="L97" s="24"/>
      <c r="M97" s="39"/>
      <c r="N97" s="39"/>
      <c r="O97" s="38"/>
      <c r="P97" s="24"/>
    </row>
    <row r="98" spans="1:16" x14ac:dyDescent="0.25">
      <c r="A98" s="46"/>
      <c r="B98" s="36"/>
      <c r="C98" s="24"/>
      <c r="D98" s="24"/>
      <c r="E98" s="24"/>
      <c r="F98" s="24"/>
      <c r="G98" s="37"/>
      <c r="H98" s="42"/>
      <c r="I98" s="46"/>
      <c r="J98" s="46"/>
      <c r="K98" s="24"/>
      <c r="L98" s="24"/>
      <c r="M98" s="39"/>
      <c r="N98" s="39"/>
      <c r="O98" s="38"/>
      <c r="P98" s="24"/>
    </row>
    <row r="99" spans="1:16" x14ac:dyDescent="0.25">
      <c r="A99" s="46"/>
      <c r="B99" s="36"/>
      <c r="C99" s="24"/>
      <c r="D99" s="24"/>
      <c r="E99" s="24"/>
      <c r="F99" s="24"/>
      <c r="G99" s="37"/>
      <c r="H99" s="42"/>
      <c r="I99" s="46"/>
      <c r="J99" s="46"/>
      <c r="K99" s="24"/>
      <c r="L99" s="24"/>
      <c r="M99" s="39"/>
      <c r="N99" s="39"/>
      <c r="O99" s="38"/>
      <c r="P99" s="24"/>
    </row>
    <row r="100" spans="1:16" x14ac:dyDescent="0.25">
      <c r="A100" s="46"/>
      <c r="B100" s="36"/>
      <c r="C100" s="24"/>
      <c r="D100" s="24"/>
      <c r="E100" s="24"/>
      <c r="F100" s="24"/>
      <c r="G100" s="37"/>
      <c r="H100" s="42"/>
      <c r="I100" s="46"/>
      <c r="J100" s="46"/>
      <c r="K100" s="24"/>
      <c r="L100" s="24"/>
      <c r="M100" s="39"/>
      <c r="N100" s="39"/>
      <c r="O100" s="38"/>
      <c r="P100" s="24"/>
    </row>
    <row r="101" spans="1:16" x14ac:dyDescent="0.25">
      <c r="A101" s="46"/>
      <c r="B101" s="36"/>
      <c r="C101" s="24"/>
      <c r="D101" s="24"/>
      <c r="E101" s="24"/>
      <c r="F101" s="24"/>
      <c r="G101" s="37"/>
      <c r="H101" s="42"/>
      <c r="I101" s="46"/>
      <c r="J101" s="46"/>
      <c r="K101" s="24"/>
      <c r="L101" s="24"/>
      <c r="M101" s="39"/>
      <c r="N101" s="39"/>
      <c r="O101" s="38"/>
      <c r="P101" s="24"/>
    </row>
    <row r="102" spans="1:16" x14ac:dyDescent="0.25">
      <c r="A102" s="46"/>
      <c r="B102" s="36"/>
      <c r="C102" s="24"/>
      <c r="D102" s="24"/>
      <c r="E102" s="24"/>
      <c r="F102" s="24"/>
      <c r="G102" s="37"/>
      <c r="H102" s="42"/>
      <c r="I102" s="46"/>
      <c r="J102" s="46"/>
      <c r="K102" s="24"/>
      <c r="L102" s="24"/>
      <c r="M102" s="39"/>
      <c r="N102" s="39"/>
      <c r="O102" s="38"/>
      <c r="P102" s="24"/>
    </row>
    <row r="103" spans="1:16" x14ac:dyDescent="0.25">
      <c r="A103" s="46"/>
      <c r="B103" s="36"/>
      <c r="C103" s="24"/>
      <c r="D103" s="24"/>
      <c r="E103" s="24"/>
      <c r="F103" s="24"/>
      <c r="G103" s="37"/>
      <c r="H103" s="42"/>
      <c r="I103" s="46"/>
      <c r="J103" s="46"/>
      <c r="K103" s="24"/>
      <c r="L103" s="24"/>
      <c r="M103" s="39"/>
      <c r="N103" s="39"/>
      <c r="O103" s="38"/>
      <c r="P103" s="24"/>
    </row>
    <row r="104" spans="1:16" x14ac:dyDescent="0.25">
      <c r="A104" s="46"/>
      <c r="B104" s="36"/>
      <c r="C104" s="24"/>
      <c r="D104" s="24"/>
      <c r="E104" s="24"/>
      <c r="F104" s="24"/>
      <c r="G104" s="37"/>
      <c r="H104" s="42"/>
      <c r="I104" s="46"/>
      <c r="J104" s="46"/>
      <c r="K104" s="24"/>
      <c r="L104" s="24"/>
      <c r="M104" s="39"/>
      <c r="N104" s="39"/>
      <c r="O104" s="38"/>
      <c r="P104" s="24"/>
    </row>
    <row r="105" spans="1:16" x14ac:dyDescent="0.25">
      <c r="A105" s="46"/>
      <c r="B105" s="36"/>
      <c r="C105" s="24"/>
      <c r="D105" s="24"/>
      <c r="E105" s="24"/>
      <c r="F105" s="24"/>
      <c r="G105" s="37"/>
      <c r="H105" s="42"/>
      <c r="I105" s="46"/>
      <c r="J105" s="46"/>
      <c r="K105" s="24"/>
      <c r="L105" s="24"/>
      <c r="M105" s="39"/>
      <c r="N105" s="39"/>
      <c r="O105" s="38"/>
      <c r="P105" s="24"/>
    </row>
    <row r="106" spans="1:16" x14ac:dyDescent="0.25">
      <c r="A106" s="46"/>
      <c r="B106" s="36"/>
      <c r="C106" s="24"/>
      <c r="D106" s="24"/>
      <c r="E106" s="24"/>
      <c r="F106" s="24"/>
      <c r="G106" s="37"/>
      <c r="H106" s="42"/>
      <c r="I106" s="46"/>
      <c r="J106" s="46"/>
      <c r="K106" s="24"/>
      <c r="L106" s="24"/>
      <c r="M106" s="39"/>
      <c r="N106" s="39"/>
      <c r="O106" s="38"/>
      <c r="P106" s="24"/>
    </row>
    <row r="107" spans="1:16" x14ac:dyDescent="0.25">
      <c r="A107" s="46"/>
      <c r="B107" s="36"/>
      <c r="C107" s="24"/>
      <c r="D107" s="24"/>
      <c r="E107" s="24"/>
      <c r="F107" s="24"/>
      <c r="G107" s="37"/>
      <c r="H107" s="42"/>
      <c r="I107" s="46"/>
      <c r="J107" s="46"/>
      <c r="K107" s="24"/>
      <c r="L107" s="24"/>
      <c r="M107" s="39"/>
      <c r="N107" s="39"/>
      <c r="O107" s="38"/>
      <c r="P107" s="24"/>
    </row>
    <row r="108" spans="1:16" x14ac:dyDescent="0.25">
      <c r="A108" s="46"/>
      <c r="B108" s="36"/>
      <c r="C108" s="24"/>
      <c r="D108" s="24"/>
      <c r="E108" s="24"/>
      <c r="F108" s="24"/>
      <c r="G108" s="37"/>
      <c r="H108" s="42"/>
      <c r="I108" s="46"/>
      <c r="J108" s="46"/>
      <c r="K108" s="24"/>
      <c r="L108" s="24"/>
      <c r="M108" s="39"/>
      <c r="N108" s="39"/>
      <c r="O108" s="38"/>
      <c r="P108" s="24"/>
    </row>
    <row r="109" spans="1:16" x14ac:dyDescent="0.25">
      <c r="A109" s="46"/>
      <c r="B109" s="36"/>
      <c r="C109" s="24"/>
      <c r="D109" s="24"/>
      <c r="E109" s="24"/>
      <c r="F109" s="24"/>
      <c r="G109" s="37"/>
      <c r="H109" s="42"/>
      <c r="I109" s="46"/>
      <c r="J109" s="46"/>
      <c r="K109" s="24"/>
      <c r="L109" s="24"/>
      <c r="M109" s="39"/>
      <c r="N109" s="39"/>
      <c r="O109" s="38"/>
      <c r="P109" s="24"/>
    </row>
    <row r="110" spans="1:16" x14ac:dyDescent="0.25">
      <c r="A110" s="46"/>
      <c r="B110" s="36"/>
      <c r="C110" s="24"/>
      <c r="D110" s="24"/>
      <c r="E110" s="24"/>
      <c r="F110" s="24"/>
      <c r="G110" s="37"/>
      <c r="H110" s="42"/>
      <c r="I110" s="46"/>
      <c r="J110" s="46"/>
      <c r="K110" s="24"/>
      <c r="L110" s="24"/>
      <c r="M110" s="39"/>
      <c r="N110" s="39"/>
      <c r="O110" s="38"/>
      <c r="P110" s="24"/>
    </row>
    <row r="111" spans="1:16" x14ac:dyDescent="0.25">
      <c r="A111" s="46"/>
      <c r="B111" s="36"/>
      <c r="C111" s="24"/>
      <c r="D111" s="24"/>
      <c r="E111" s="24"/>
      <c r="F111" s="24"/>
      <c r="G111" s="37"/>
      <c r="H111" s="42"/>
      <c r="I111" s="46"/>
      <c r="J111" s="46"/>
      <c r="K111" s="24"/>
      <c r="L111" s="24"/>
      <c r="M111" s="39"/>
      <c r="N111" s="39"/>
      <c r="O111" s="38"/>
      <c r="P111" s="24"/>
    </row>
    <row r="112" spans="1:16" x14ac:dyDescent="0.25">
      <c r="A112" s="46"/>
      <c r="B112" s="36"/>
      <c r="C112" s="24"/>
      <c r="D112" s="24"/>
      <c r="E112" s="24"/>
      <c r="F112" s="24"/>
      <c r="G112" s="37"/>
      <c r="H112" s="42"/>
      <c r="I112" s="46"/>
      <c r="J112" s="46"/>
      <c r="K112" s="24"/>
      <c r="L112" s="24"/>
      <c r="M112" s="39"/>
      <c r="N112" s="39"/>
      <c r="O112" s="38"/>
      <c r="P112" s="24"/>
    </row>
    <row r="113" spans="1:16" x14ac:dyDescent="0.25">
      <c r="A113" s="46"/>
      <c r="B113" s="36"/>
      <c r="C113" s="24"/>
      <c r="D113" s="24"/>
      <c r="E113" s="24"/>
      <c r="F113" s="24"/>
      <c r="G113" s="37"/>
      <c r="H113" s="42"/>
      <c r="I113" s="46"/>
      <c r="J113" s="46"/>
      <c r="K113" s="24"/>
      <c r="L113" s="24"/>
      <c r="M113" s="39"/>
      <c r="N113" s="39"/>
      <c r="O113" s="38"/>
      <c r="P113" s="24"/>
    </row>
    <row r="114" spans="1:16" x14ac:dyDescent="0.25">
      <c r="A114" s="46"/>
      <c r="B114" s="36"/>
      <c r="C114" s="24"/>
      <c r="D114" s="24"/>
      <c r="E114" s="24"/>
      <c r="F114" s="24"/>
      <c r="G114" s="37"/>
      <c r="H114" s="42"/>
      <c r="I114" s="46"/>
      <c r="J114" s="46"/>
      <c r="K114" s="24"/>
      <c r="L114" s="24"/>
      <c r="M114" s="39"/>
      <c r="N114" s="39"/>
      <c r="O114" s="38"/>
      <c r="P114" s="24"/>
    </row>
    <row r="115" spans="1:16" x14ac:dyDescent="0.25">
      <c r="A115" s="46"/>
      <c r="B115" s="36"/>
      <c r="C115" s="24"/>
      <c r="D115" s="24"/>
      <c r="E115" s="24"/>
      <c r="F115" s="24"/>
      <c r="G115" s="37"/>
      <c r="H115" s="42"/>
      <c r="I115" s="46"/>
      <c r="J115" s="46"/>
      <c r="K115" s="24"/>
      <c r="L115" s="24"/>
      <c r="M115" s="39"/>
      <c r="N115" s="39"/>
      <c r="O115" s="38"/>
      <c r="P115" s="24"/>
    </row>
    <row r="116" spans="1:16" x14ac:dyDescent="0.25">
      <c r="A116" s="46"/>
      <c r="B116" s="36"/>
      <c r="C116" s="24"/>
      <c r="D116" s="24"/>
      <c r="E116" s="24"/>
      <c r="F116" s="24"/>
      <c r="G116" s="37"/>
      <c r="H116" s="42"/>
      <c r="I116" s="46"/>
      <c r="J116" s="46"/>
      <c r="K116" s="24"/>
      <c r="L116" s="24"/>
      <c r="M116" s="39"/>
      <c r="N116" s="39"/>
      <c r="O116" s="38"/>
      <c r="P116" s="24"/>
    </row>
    <row r="117" spans="1:16" x14ac:dyDescent="0.25">
      <c r="A117" s="46"/>
      <c r="B117" s="36"/>
      <c r="C117" s="24"/>
      <c r="D117" s="24"/>
      <c r="E117" s="24"/>
      <c r="F117" s="24"/>
      <c r="G117" s="37"/>
      <c r="H117" s="42"/>
      <c r="I117" s="46"/>
      <c r="J117" s="46"/>
      <c r="K117" s="24"/>
      <c r="L117" s="24"/>
      <c r="M117" s="39"/>
      <c r="N117" s="39"/>
      <c r="O117" s="38"/>
      <c r="P117" s="24"/>
    </row>
    <row r="118" spans="1:16" x14ac:dyDescent="0.25">
      <c r="A118" s="46"/>
      <c r="B118" s="36"/>
      <c r="C118" s="24"/>
      <c r="D118" s="24"/>
      <c r="E118" s="24"/>
      <c r="F118" s="24"/>
      <c r="G118" s="37"/>
      <c r="H118" s="42"/>
      <c r="I118" s="46"/>
      <c r="J118" s="46"/>
      <c r="K118" s="24"/>
      <c r="L118" s="24"/>
      <c r="M118" s="39"/>
      <c r="N118" s="39"/>
      <c r="O118" s="38"/>
      <c r="P118" s="24"/>
    </row>
    <row r="119" spans="1:16" x14ac:dyDescent="0.25">
      <c r="A119" s="46"/>
      <c r="B119" s="36"/>
      <c r="C119" s="24"/>
      <c r="D119" s="24"/>
      <c r="E119" s="24"/>
      <c r="F119" s="24"/>
      <c r="G119" s="37"/>
      <c r="H119" s="42"/>
      <c r="I119" s="46"/>
      <c r="J119" s="46"/>
      <c r="K119" s="24"/>
      <c r="L119" s="24"/>
      <c r="M119" s="39"/>
      <c r="N119" s="39"/>
      <c r="O119" s="38"/>
      <c r="P119" s="24"/>
    </row>
    <row r="120" spans="1:16" x14ac:dyDescent="0.25">
      <c r="A120" s="46"/>
      <c r="B120" s="36"/>
      <c r="C120" s="24"/>
      <c r="D120" s="24"/>
      <c r="E120" s="24"/>
      <c r="F120" s="24"/>
      <c r="G120" s="37"/>
      <c r="H120" s="42"/>
      <c r="I120" s="46"/>
      <c r="J120" s="46"/>
      <c r="K120" s="24"/>
      <c r="L120" s="24"/>
      <c r="M120" s="39"/>
      <c r="N120" s="39"/>
      <c r="O120" s="38"/>
      <c r="P120" s="24"/>
    </row>
    <row r="121" spans="1:16" x14ac:dyDescent="0.25">
      <c r="A121" s="46"/>
      <c r="B121" s="36"/>
      <c r="C121" s="24"/>
      <c r="D121" s="24"/>
      <c r="E121" s="24"/>
      <c r="F121" s="24"/>
      <c r="G121" s="37"/>
      <c r="H121" s="42"/>
      <c r="I121" s="46"/>
      <c r="J121" s="46"/>
      <c r="K121" s="24"/>
      <c r="L121" s="24"/>
      <c r="M121" s="39"/>
      <c r="N121" s="39"/>
      <c r="O121" s="38"/>
      <c r="P121" s="24"/>
    </row>
    <row r="122" spans="1:16" x14ac:dyDescent="0.25">
      <c r="A122" s="46"/>
      <c r="B122" s="36"/>
      <c r="C122" s="24"/>
      <c r="D122" s="24"/>
      <c r="E122" s="24"/>
      <c r="F122" s="24"/>
      <c r="G122" s="37"/>
      <c r="H122" s="42"/>
      <c r="I122" s="46"/>
      <c r="J122" s="46"/>
      <c r="K122" s="24"/>
      <c r="L122" s="24"/>
      <c r="M122" s="39"/>
      <c r="N122" s="39"/>
      <c r="O122" s="38"/>
      <c r="P122" s="24"/>
    </row>
    <row r="123" spans="1:16" x14ac:dyDescent="0.25">
      <c r="A123" s="46"/>
      <c r="B123" s="36"/>
      <c r="C123" s="24"/>
      <c r="D123" s="24"/>
      <c r="E123" s="24"/>
      <c r="F123" s="24"/>
      <c r="G123" s="37"/>
      <c r="H123" s="42"/>
      <c r="I123" s="46"/>
      <c r="J123" s="46"/>
      <c r="K123" s="24"/>
      <c r="L123" s="24"/>
      <c r="M123" s="39"/>
      <c r="N123" s="39"/>
      <c r="O123" s="38"/>
      <c r="P123" s="24"/>
    </row>
    <row r="124" spans="1:16" x14ac:dyDescent="0.25">
      <c r="A124" s="46"/>
      <c r="B124" s="36"/>
      <c r="C124" s="24"/>
      <c r="D124" s="24"/>
      <c r="E124" s="24"/>
      <c r="F124" s="24"/>
      <c r="G124" s="37"/>
      <c r="H124" s="42"/>
      <c r="I124" s="46"/>
      <c r="J124" s="46"/>
      <c r="K124" s="24"/>
      <c r="L124" s="24"/>
      <c r="M124" s="39"/>
      <c r="N124" s="39"/>
      <c r="O124" s="38"/>
      <c r="P124" s="24"/>
    </row>
    <row r="125" spans="1:16" x14ac:dyDescent="0.25">
      <c r="A125" s="46"/>
      <c r="B125" s="36"/>
      <c r="C125" s="24"/>
      <c r="D125" s="24"/>
      <c r="E125" s="24"/>
      <c r="F125" s="24"/>
      <c r="G125" s="37"/>
      <c r="H125" s="42"/>
      <c r="I125" s="46"/>
      <c r="J125" s="46"/>
      <c r="K125" s="24"/>
      <c r="L125" s="24"/>
      <c r="M125" s="39"/>
      <c r="N125" s="39"/>
      <c r="O125" s="38"/>
      <c r="P125" s="24"/>
    </row>
    <row r="126" spans="1:16" x14ac:dyDescent="0.25">
      <c r="A126" s="46"/>
      <c r="B126" s="36"/>
      <c r="C126" s="24"/>
      <c r="D126" s="24"/>
      <c r="E126" s="24"/>
      <c r="F126" s="24"/>
      <c r="G126" s="37"/>
      <c r="H126" s="42"/>
      <c r="I126" s="46"/>
      <c r="J126" s="46"/>
      <c r="K126" s="24"/>
      <c r="L126" s="24"/>
      <c r="M126" s="39"/>
      <c r="N126" s="39"/>
      <c r="O126" s="38"/>
      <c r="P126" s="24"/>
    </row>
    <row r="127" spans="1:16" x14ac:dyDescent="0.25">
      <c r="A127" s="46"/>
      <c r="B127" s="36"/>
      <c r="C127" s="24"/>
      <c r="D127" s="24"/>
      <c r="E127" s="24"/>
      <c r="F127" s="24"/>
      <c r="G127" s="37"/>
      <c r="H127" s="42"/>
      <c r="I127" s="46"/>
      <c r="J127" s="46"/>
      <c r="K127" s="24"/>
      <c r="L127" s="24"/>
      <c r="M127" s="39"/>
      <c r="N127" s="39"/>
      <c r="O127" s="38"/>
      <c r="P127" s="24"/>
    </row>
    <row r="128" spans="1:16" x14ac:dyDescent="0.25">
      <c r="A128" s="46"/>
      <c r="B128" s="36"/>
      <c r="C128" s="24"/>
      <c r="D128" s="24"/>
      <c r="E128" s="24"/>
      <c r="F128" s="24"/>
      <c r="G128" s="37"/>
      <c r="H128" s="42"/>
      <c r="I128" s="46"/>
      <c r="J128" s="46"/>
      <c r="K128" s="24"/>
      <c r="L128" s="24"/>
      <c r="M128" s="39"/>
      <c r="N128" s="39"/>
      <c r="O128" s="38"/>
      <c r="P128" s="24"/>
    </row>
    <row r="129" spans="1:16" x14ac:dyDescent="0.25">
      <c r="A129" s="46"/>
      <c r="B129" s="36"/>
      <c r="C129" s="24"/>
      <c r="D129" s="24"/>
      <c r="E129" s="24"/>
      <c r="F129" s="24"/>
      <c r="G129" s="37"/>
      <c r="H129" s="42"/>
      <c r="I129" s="46"/>
      <c r="J129" s="46"/>
      <c r="K129" s="24"/>
      <c r="L129" s="24"/>
      <c r="M129" s="39"/>
      <c r="N129" s="39"/>
      <c r="O129" s="38"/>
      <c r="P129" s="24"/>
    </row>
    <row r="130" spans="1:16" x14ac:dyDescent="0.25">
      <c r="A130" s="46"/>
      <c r="B130" s="36"/>
      <c r="C130" s="24"/>
      <c r="D130" s="24"/>
      <c r="E130" s="24"/>
      <c r="F130" s="24"/>
      <c r="G130" s="37"/>
      <c r="H130" s="42"/>
      <c r="I130" s="46"/>
      <c r="J130" s="46"/>
      <c r="K130" s="24"/>
      <c r="L130" s="24"/>
      <c r="M130" s="39"/>
      <c r="N130" s="39"/>
      <c r="O130" s="38"/>
      <c r="P130" s="24"/>
    </row>
    <row r="131" spans="1:16" x14ac:dyDescent="0.25">
      <c r="A131" s="46"/>
      <c r="B131" s="36"/>
      <c r="C131" s="24"/>
      <c r="D131" s="24"/>
      <c r="E131" s="24"/>
      <c r="F131" s="24"/>
      <c r="G131" s="37"/>
      <c r="H131" s="42"/>
      <c r="I131" s="46"/>
      <c r="J131" s="46"/>
      <c r="K131" s="24"/>
      <c r="L131" s="24"/>
      <c r="M131" s="39"/>
      <c r="N131" s="39"/>
      <c r="O131" s="38"/>
      <c r="P131" s="24"/>
    </row>
    <row r="132" spans="1:16" x14ac:dyDescent="0.25">
      <c r="A132" s="46"/>
      <c r="B132" s="36"/>
      <c r="C132" s="24"/>
      <c r="D132" s="24"/>
      <c r="E132" s="24"/>
      <c r="F132" s="24"/>
      <c r="G132" s="37"/>
      <c r="H132" s="42"/>
      <c r="I132" s="46"/>
      <c r="J132" s="46"/>
      <c r="K132" s="24"/>
      <c r="L132" s="24"/>
      <c r="M132" s="39"/>
      <c r="N132" s="39"/>
      <c r="O132" s="38"/>
      <c r="P132" s="24"/>
    </row>
    <row r="133" spans="1:16" x14ac:dyDescent="0.25">
      <c r="A133" s="46"/>
      <c r="B133" s="36"/>
      <c r="C133" s="24"/>
      <c r="D133" s="24"/>
      <c r="E133" s="24"/>
      <c r="F133" s="24"/>
      <c r="G133" s="37"/>
      <c r="H133" s="42"/>
      <c r="I133" s="46"/>
      <c r="J133" s="46"/>
      <c r="K133" s="24"/>
      <c r="L133" s="24"/>
      <c r="M133" s="39"/>
      <c r="N133" s="39"/>
      <c r="O133" s="38"/>
      <c r="P133" s="24"/>
    </row>
    <row r="134" spans="1:16" x14ac:dyDescent="0.25">
      <c r="A134" s="46"/>
      <c r="B134" s="36"/>
      <c r="C134" s="24"/>
      <c r="D134" s="24"/>
      <c r="E134" s="24"/>
      <c r="F134" s="24"/>
      <c r="G134" s="37"/>
      <c r="H134" s="42"/>
      <c r="I134" s="46"/>
      <c r="J134" s="46"/>
      <c r="K134" s="24"/>
      <c r="L134" s="24"/>
      <c r="M134" s="39"/>
      <c r="N134" s="39"/>
      <c r="O134" s="38"/>
      <c r="P134" s="24"/>
    </row>
    <row r="135" spans="1:16" x14ac:dyDescent="0.25">
      <c r="A135" s="46"/>
      <c r="B135" s="36"/>
      <c r="C135" s="24"/>
      <c r="D135" s="24"/>
      <c r="E135" s="24"/>
      <c r="F135" s="24"/>
      <c r="G135" s="37"/>
      <c r="H135" s="42"/>
      <c r="I135" s="46"/>
      <c r="J135" s="46"/>
      <c r="K135" s="24"/>
      <c r="L135" s="24"/>
      <c r="M135" s="39"/>
      <c r="N135" s="39"/>
      <c r="O135" s="38"/>
      <c r="P135" s="24"/>
    </row>
    <row r="136" spans="1:16" x14ac:dyDescent="0.25">
      <c r="A136" s="46"/>
      <c r="B136" s="36"/>
      <c r="C136" s="24"/>
      <c r="D136" s="24"/>
      <c r="E136" s="24"/>
      <c r="F136" s="24"/>
      <c r="G136" s="37"/>
      <c r="H136" s="42"/>
      <c r="I136" s="46"/>
      <c r="J136" s="46"/>
      <c r="K136" s="24"/>
      <c r="L136" s="24"/>
      <c r="M136" s="39"/>
      <c r="N136" s="39"/>
      <c r="O136" s="38"/>
      <c r="P136" s="24"/>
    </row>
    <row r="137" spans="1:16" x14ac:dyDescent="0.25">
      <c r="A137" s="46"/>
      <c r="B137" s="36"/>
      <c r="C137" s="24"/>
      <c r="D137" s="24"/>
      <c r="E137" s="24"/>
      <c r="F137" s="24"/>
      <c r="G137" s="37"/>
      <c r="H137" s="42"/>
      <c r="I137" s="46"/>
      <c r="J137" s="46"/>
      <c r="K137" s="24"/>
      <c r="L137" s="24"/>
      <c r="M137" s="39"/>
      <c r="N137" s="39"/>
      <c r="O137" s="38"/>
      <c r="P137" s="24"/>
    </row>
    <row r="138" spans="1:16" x14ac:dyDescent="0.25">
      <c r="A138" s="46"/>
      <c r="B138" s="36"/>
      <c r="C138" s="24"/>
      <c r="D138" s="24"/>
      <c r="E138" s="24"/>
      <c r="F138" s="24"/>
      <c r="G138" s="37"/>
      <c r="H138" s="42"/>
      <c r="I138" s="46"/>
      <c r="J138" s="46"/>
      <c r="K138" s="24"/>
      <c r="L138" s="24"/>
      <c r="M138" s="39"/>
      <c r="N138" s="39"/>
      <c r="O138" s="38"/>
      <c r="P138" s="24"/>
    </row>
    <row r="139" spans="1:16" x14ac:dyDescent="0.25">
      <c r="A139" s="46"/>
      <c r="B139" s="36"/>
      <c r="C139" s="24"/>
      <c r="D139" s="24"/>
      <c r="E139" s="24"/>
      <c r="F139" s="24"/>
      <c r="G139" s="37"/>
      <c r="H139" s="42"/>
      <c r="I139" s="46"/>
      <c r="J139" s="46"/>
      <c r="K139" s="24"/>
      <c r="L139" s="24"/>
      <c r="M139" s="39"/>
      <c r="N139" s="39"/>
      <c r="O139" s="38"/>
      <c r="P139" s="24"/>
    </row>
    <row r="140" spans="1:16" x14ac:dyDescent="0.25">
      <c r="A140" s="46"/>
      <c r="B140" s="36"/>
      <c r="C140" s="24"/>
      <c r="D140" s="24"/>
      <c r="E140" s="24"/>
      <c r="F140" s="24"/>
      <c r="G140" s="37"/>
      <c r="H140" s="24"/>
      <c r="I140" s="46"/>
      <c r="J140" s="46"/>
      <c r="K140" s="24"/>
      <c r="L140" s="24"/>
      <c r="M140" s="39"/>
      <c r="N140" s="39"/>
      <c r="O140" s="38"/>
      <c r="P140" s="24"/>
    </row>
    <row r="141" spans="1:16" x14ac:dyDescent="0.25">
      <c r="A141" s="46"/>
      <c r="B141" s="36"/>
      <c r="C141" s="24"/>
      <c r="D141" s="24"/>
      <c r="E141" s="24"/>
      <c r="F141" s="24"/>
      <c r="G141" s="37"/>
      <c r="H141" s="24"/>
      <c r="I141" s="46"/>
      <c r="J141" s="46"/>
      <c r="K141" s="24"/>
      <c r="L141" s="24"/>
      <c r="M141" s="39"/>
      <c r="N141" s="39"/>
      <c r="O141" s="38"/>
      <c r="P141" s="24"/>
    </row>
    <row r="142" spans="1:16" x14ac:dyDescent="0.25">
      <c r="A142" s="46"/>
      <c r="B142" s="36"/>
      <c r="C142" s="24"/>
      <c r="D142" s="24"/>
      <c r="E142" s="24"/>
      <c r="F142" s="24"/>
      <c r="G142" s="37"/>
      <c r="H142" s="24"/>
      <c r="I142" s="46"/>
      <c r="J142" s="46"/>
      <c r="K142" s="24"/>
      <c r="L142" s="24"/>
      <c r="M142" s="39"/>
      <c r="N142" s="39"/>
      <c r="O142" s="38"/>
      <c r="P142" s="24"/>
    </row>
    <row r="143" spans="1:16" x14ac:dyDescent="0.25">
      <c r="A143" s="46"/>
      <c r="B143" s="36"/>
      <c r="C143" s="24"/>
      <c r="D143" s="24"/>
      <c r="E143" s="24"/>
      <c r="F143" s="24"/>
      <c r="G143" s="37"/>
      <c r="H143" s="24"/>
      <c r="I143" s="46"/>
      <c r="J143" s="46"/>
      <c r="K143" s="24"/>
      <c r="L143" s="24"/>
      <c r="M143" s="39"/>
      <c r="N143" s="39"/>
      <c r="O143" s="38"/>
      <c r="P143" s="24"/>
    </row>
    <row r="144" spans="1:16" x14ac:dyDescent="0.25">
      <c r="A144" s="46"/>
      <c r="B144" s="36"/>
      <c r="C144" s="24"/>
      <c r="D144" s="24"/>
      <c r="E144" s="24"/>
      <c r="F144" s="24"/>
      <c r="G144" s="37"/>
      <c r="H144" s="24"/>
      <c r="I144" s="46"/>
      <c r="J144" s="46"/>
      <c r="K144" s="24"/>
      <c r="L144" s="24"/>
      <c r="M144" s="39"/>
      <c r="N144" s="39"/>
      <c r="O144" s="38"/>
      <c r="P144" s="24"/>
    </row>
    <row r="145" spans="1:16" x14ac:dyDescent="0.25">
      <c r="A145" s="46"/>
      <c r="B145" s="36"/>
      <c r="C145" s="24"/>
      <c r="D145" s="24"/>
      <c r="E145" s="24"/>
      <c r="F145" s="24"/>
      <c r="G145" s="37"/>
      <c r="H145" s="24"/>
      <c r="I145" s="46"/>
      <c r="J145" s="46"/>
      <c r="K145" s="24"/>
      <c r="L145" s="24"/>
      <c r="M145" s="39"/>
      <c r="N145" s="39"/>
      <c r="O145" s="38"/>
      <c r="P145" s="24"/>
    </row>
    <row r="146" spans="1:16" x14ac:dyDescent="0.25">
      <c r="A146" s="46"/>
      <c r="B146" s="36"/>
      <c r="C146" s="24"/>
      <c r="D146" s="24"/>
      <c r="E146" s="24"/>
      <c r="F146" s="24"/>
      <c r="G146" s="37"/>
      <c r="H146" s="24"/>
      <c r="I146" s="46"/>
      <c r="J146" s="46"/>
      <c r="K146" s="24"/>
      <c r="L146" s="24"/>
      <c r="M146" s="39"/>
      <c r="N146" s="39"/>
      <c r="O146" s="38"/>
      <c r="P146" s="24"/>
    </row>
    <row r="147" spans="1:16" x14ac:dyDescent="0.25">
      <c r="A147" s="46"/>
      <c r="B147" s="36"/>
      <c r="C147" s="24"/>
      <c r="D147" s="24"/>
      <c r="E147" s="24"/>
      <c r="F147" s="24"/>
      <c r="G147" s="37"/>
      <c r="H147" s="42"/>
      <c r="I147" s="46"/>
      <c r="J147" s="46"/>
      <c r="K147" s="24"/>
      <c r="L147" s="24"/>
      <c r="M147" s="39"/>
      <c r="N147" s="39"/>
      <c r="O147" s="38"/>
      <c r="P147" s="24"/>
    </row>
    <row r="148" spans="1:16" x14ac:dyDescent="0.25">
      <c r="A148" s="46"/>
      <c r="B148" s="36"/>
      <c r="C148" s="24"/>
      <c r="D148" s="24"/>
      <c r="E148" s="24"/>
      <c r="F148" s="24"/>
      <c r="G148" s="37"/>
      <c r="H148" s="42"/>
      <c r="I148" s="46"/>
      <c r="J148" s="46"/>
      <c r="K148" s="24"/>
      <c r="L148" s="24"/>
      <c r="M148" s="39"/>
      <c r="N148" s="39"/>
      <c r="O148" s="38"/>
      <c r="P148" s="24"/>
    </row>
    <row r="149" spans="1:16" x14ac:dyDescent="0.25">
      <c r="A149" s="46"/>
      <c r="B149" s="36"/>
      <c r="C149" s="24"/>
      <c r="D149" s="24"/>
      <c r="E149" s="24"/>
      <c r="F149" s="24"/>
      <c r="G149" s="37"/>
      <c r="H149" s="42"/>
      <c r="I149" s="46"/>
      <c r="J149" s="46"/>
      <c r="K149" s="24"/>
      <c r="L149" s="24"/>
      <c r="M149" s="39"/>
      <c r="N149" s="39"/>
      <c r="O149" s="38"/>
      <c r="P149" s="24"/>
    </row>
    <row r="150" spans="1:16" x14ac:dyDescent="0.25">
      <c r="A150" s="46"/>
      <c r="B150" s="36"/>
      <c r="C150" s="24"/>
      <c r="D150" s="24"/>
      <c r="E150" s="24"/>
      <c r="F150" s="24"/>
      <c r="G150" s="37"/>
      <c r="H150" s="42"/>
      <c r="I150" s="46"/>
      <c r="J150" s="46"/>
      <c r="K150" s="24"/>
      <c r="L150" s="24"/>
      <c r="M150" s="39"/>
      <c r="N150" s="39"/>
      <c r="O150" s="38"/>
      <c r="P150" s="24"/>
    </row>
    <row r="151" spans="1:16" x14ac:dyDescent="0.25">
      <c r="A151" s="46"/>
      <c r="B151" s="36"/>
      <c r="C151" s="24"/>
      <c r="D151" s="24"/>
      <c r="E151" s="24"/>
      <c r="F151" s="24"/>
      <c r="G151" s="37"/>
      <c r="H151" s="42"/>
      <c r="I151" s="46"/>
      <c r="J151" s="46"/>
      <c r="K151" s="24"/>
      <c r="L151" s="24"/>
      <c r="M151" s="39"/>
      <c r="N151" s="39"/>
      <c r="O151" s="38"/>
      <c r="P151" s="24"/>
    </row>
    <row r="152" spans="1:16" x14ac:dyDescent="0.25">
      <c r="A152" s="46"/>
      <c r="B152" s="36"/>
      <c r="C152" s="24"/>
      <c r="D152" s="24"/>
      <c r="E152" s="24"/>
      <c r="F152" s="24"/>
      <c r="G152" s="37"/>
      <c r="H152" s="42"/>
      <c r="I152" s="46"/>
      <c r="J152" s="46"/>
      <c r="K152" s="24"/>
      <c r="L152" s="24"/>
      <c r="M152" s="39"/>
      <c r="N152" s="39"/>
      <c r="O152" s="38"/>
      <c r="P152" s="24"/>
    </row>
    <row r="153" spans="1:16" x14ac:dyDescent="0.25">
      <c r="A153" s="46"/>
      <c r="B153" s="36"/>
      <c r="C153" s="24"/>
      <c r="D153" s="24"/>
      <c r="E153" s="24"/>
      <c r="F153" s="24"/>
      <c r="G153" s="37"/>
      <c r="H153" s="42"/>
      <c r="I153" s="46"/>
      <c r="J153" s="46"/>
      <c r="K153" s="24"/>
      <c r="L153" s="24"/>
      <c r="M153" s="39"/>
      <c r="N153" s="39"/>
      <c r="O153" s="38"/>
      <c r="P153" s="24"/>
    </row>
    <row r="154" spans="1:16" x14ac:dyDescent="0.25">
      <c r="A154" s="46"/>
      <c r="B154" s="36"/>
      <c r="C154" s="24"/>
      <c r="D154" s="24"/>
      <c r="E154" s="24"/>
      <c r="F154" s="24"/>
      <c r="G154" s="37"/>
      <c r="H154" s="42"/>
      <c r="I154" s="46"/>
      <c r="J154" s="46"/>
      <c r="K154" s="24"/>
      <c r="L154" s="24"/>
      <c r="M154" s="39"/>
      <c r="N154" s="39"/>
      <c r="O154" s="38"/>
      <c r="P154" s="24"/>
    </row>
    <row r="155" spans="1:16" x14ac:dyDescent="0.25">
      <c r="A155" s="46"/>
      <c r="B155" s="36"/>
      <c r="C155" s="24"/>
      <c r="D155" s="24"/>
      <c r="E155" s="24"/>
      <c r="F155" s="24"/>
      <c r="G155" s="37"/>
      <c r="H155" s="42"/>
      <c r="I155" s="46"/>
      <c r="J155" s="46"/>
      <c r="K155" s="24"/>
      <c r="L155" s="24"/>
      <c r="M155" s="39"/>
      <c r="N155" s="39"/>
      <c r="O155" s="38"/>
      <c r="P155" s="24"/>
    </row>
    <row r="156" spans="1:16" x14ac:dyDescent="0.25">
      <c r="A156" s="46"/>
      <c r="B156" s="36"/>
      <c r="C156" s="24"/>
      <c r="D156" s="24"/>
      <c r="E156" s="24"/>
      <c r="F156" s="24"/>
      <c r="G156" s="37"/>
      <c r="H156" s="42"/>
      <c r="I156" s="46"/>
      <c r="J156" s="46"/>
      <c r="K156" s="24"/>
      <c r="L156" s="24"/>
      <c r="M156" s="39"/>
      <c r="N156" s="39"/>
      <c r="O156" s="38"/>
      <c r="P156" s="24"/>
    </row>
    <row r="157" spans="1:16" x14ac:dyDescent="0.25">
      <c r="A157" s="46"/>
      <c r="B157" s="36"/>
      <c r="C157" s="24"/>
      <c r="D157" s="24"/>
      <c r="E157" s="24"/>
      <c r="F157" s="24"/>
      <c r="G157" s="37"/>
      <c r="H157" s="42"/>
      <c r="I157" s="46"/>
      <c r="J157" s="46"/>
      <c r="K157" s="24"/>
      <c r="L157" s="24"/>
      <c r="M157" s="39"/>
      <c r="N157" s="39"/>
      <c r="O157" s="38"/>
      <c r="P157" s="24"/>
    </row>
    <row r="158" spans="1:16" x14ac:dyDescent="0.25">
      <c r="A158" s="46"/>
      <c r="B158" s="36"/>
      <c r="C158" s="24"/>
      <c r="D158" s="24"/>
      <c r="E158" s="24"/>
      <c r="F158" s="24"/>
      <c r="G158" s="37"/>
      <c r="H158" s="42"/>
      <c r="I158" s="46"/>
      <c r="J158" s="46"/>
      <c r="K158" s="24"/>
      <c r="L158" s="24"/>
      <c r="M158" s="39"/>
      <c r="N158" s="39"/>
      <c r="O158" s="38"/>
      <c r="P158" s="24"/>
    </row>
    <row r="159" spans="1:16" x14ac:dyDescent="0.25">
      <c r="A159" s="46"/>
      <c r="B159" s="36"/>
      <c r="C159" s="24"/>
      <c r="D159" s="24"/>
      <c r="E159" s="24"/>
      <c r="F159" s="24"/>
      <c r="G159" s="37"/>
      <c r="H159" s="42"/>
      <c r="I159" s="46"/>
      <c r="J159" s="46"/>
      <c r="K159" s="24"/>
      <c r="L159" s="24"/>
      <c r="M159" s="39"/>
      <c r="N159" s="39"/>
      <c r="O159" s="38"/>
      <c r="P159" s="24"/>
    </row>
    <row r="160" spans="1:16" x14ac:dyDescent="0.25">
      <c r="A160" s="46"/>
      <c r="B160" s="36"/>
      <c r="C160" s="24"/>
      <c r="D160" s="24"/>
      <c r="E160" s="24"/>
      <c r="F160" s="24"/>
      <c r="G160" s="37"/>
      <c r="H160" s="42"/>
      <c r="I160" s="46"/>
      <c r="J160" s="46"/>
      <c r="K160" s="24"/>
      <c r="L160" s="24"/>
      <c r="M160" s="39"/>
      <c r="N160" s="39"/>
      <c r="O160" s="38"/>
      <c r="P160" s="24"/>
    </row>
    <row r="161" spans="1:16" x14ac:dyDescent="0.25">
      <c r="A161" s="46"/>
      <c r="B161" s="36"/>
      <c r="C161" s="24"/>
      <c r="D161" s="24"/>
      <c r="E161" s="24"/>
      <c r="F161" s="24"/>
      <c r="G161" s="37"/>
      <c r="H161" s="42"/>
      <c r="I161" s="46"/>
      <c r="J161" s="46"/>
      <c r="K161" s="24"/>
      <c r="L161" s="24"/>
      <c r="M161" s="39"/>
      <c r="N161" s="39"/>
      <c r="O161" s="38"/>
      <c r="P161" s="24"/>
    </row>
    <row r="162" spans="1:16" x14ac:dyDescent="0.25">
      <c r="A162" s="46"/>
      <c r="B162" s="36"/>
      <c r="C162" s="24"/>
      <c r="D162" s="24"/>
      <c r="E162" s="24"/>
      <c r="F162" s="24"/>
      <c r="G162" s="37"/>
      <c r="H162" s="42"/>
      <c r="I162" s="46"/>
      <c r="J162" s="46"/>
      <c r="K162" s="24"/>
      <c r="L162" s="24"/>
      <c r="M162" s="39"/>
      <c r="N162" s="39"/>
      <c r="O162" s="38"/>
      <c r="P162" s="24"/>
    </row>
    <row r="163" spans="1:16" x14ac:dyDescent="0.25">
      <c r="A163" s="46"/>
      <c r="B163" s="36"/>
      <c r="C163" s="24"/>
      <c r="D163" s="24"/>
      <c r="E163" s="24"/>
      <c r="F163" s="24"/>
      <c r="G163" s="37"/>
      <c r="H163" s="42"/>
      <c r="I163" s="46"/>
      <c r="J163" s="46"/>
      <c r="K163" s="24"/>
      <c r="L163" s="24"/>
      <c r="M163" s="39"/>
      <c r="N163" s="39"/>
      <c r="O163" s="38"/>
      <c r="P163" s="24"/>
    </row>
    <row r="164" spans="1:16" x14ac:dyDescent="0.25">
      <c r="A164" s="46"/>
      <c r="B164" s="36"/>
      <c r="C164" s="24"/>
      <c r="D164" s="24"/>
      <c r="E164" s="24"/>
      <c r="F164" s="24"/>
      <c r="G164" s="37"/>
      <c r="H164" s="42"/>
      <c r="I164" s="46"/>
      <c r="J164" s="46"/>
      <c r="K164" s="24"/>
      <c r="L164" s="24"/>
      <c r="M164" s="39"/>
      <c r="N164" s="39"/>
      <c r="O164" s="38"/>
      <c r="P164" s="24"/>
    </row>
    <row r="165" spans="1:16" x14ac:dyDescent="0.25">
      <c r="A165" s="46"/>
      <c r="B165" s="36"/>
      <c r="C165" s="24"/>
      <c r="D165" s="24"/>
      <c r="E165" s="24"/>
      <c r="F165" s="24"/>
      <c r="G165" s="37"/>
      <c r="H165" s="42"/>
      <c r="I165" s="46"/>
      <c r="J165" s="46"/>
      <c r="K165" s="24"/>
      <c r="L165" s="24"/>
      <c r="M165" s="39"/>
      <c r="N165" s="39"/>
      <c r="O165" s="38"/>
      <c r="P165" s="24"/>
    </row>
    <row r="166" spans="1:16" x14ac:dyDescent="0.25">
      <c r="A166" s="46"/>
      <c r="B166" s="36"/>
      <c r="C166" s="24"/>
      <c r="D166" s="24"/>
      <c r="E166" s="24"/>
      <c r="F166" s="24"/>
      <c r="G166" s="37"/>
      <c r="H166" s="42"/>
      <c r="I166" s="46"/>
      <c r="J166" s="46"/>
      <c r="K166" s="24"/>
      <c r="L166" s="24"/>
      <c r="M166" s="39"/>
      <c r="N166" s="39"/>
      <c r="O166" s="38"/>
      <c r="P166" s="24"/>
    </row>
    <row r="167" spans="1:16" x14ac:dyDescent="0.25">
      <c r="A167" s="46"/>
      <c r="B167" s="36"/>
      <c r="C167" s="24"/>
      <c r="D167" s="24"/>
      <c r="E167" s="24"/>
      <c r="F167" s="24"/>
      <c r="G167" s="37"/>
      <c r="H167" s="42"/>
      <c r="I167" s="46"/>
      <c r="J167" s="46"/>
      <c r="K167" s="24"/>
      <c r="L167" s="24"/>
      <c r="M167" s="39"/>
      <c r="N167" s="39"/>
      <c r="O167" s="38"/>
      <c r="P167" s="24"/>
    </row>
    <row r="168" spans="1:16" x14ac:dyDescent="0.25">
      <c r="A168" s="46"/>
      <c r="B168" s="36"/>
      <c r="C168" s="24"/>
      <c r="D168" s="24"/>
      <c r="E168" s="24"/>
      <c r="F168" s="24"/>
      <c r="G168" s="37"/>
      <c r="H168" s="42"/>
      <c r="I168" s="46"/>
      <c r="J168" s="46"/>
      <c r="K168" s="24"/>
      <c r="L168" s="24"/>
      <c r="M168" s="39"/>
      <c r="N168" s="39"/>
      <c r="O168" s="38"/>
      <c r="P168" s="24"/>
    </row>
    <row r="169" spans="1:16" x14ac:dyDescent="0.25">
      <c r="A169" s="46"/>
      <c r="B169" s="36"/>
      <c r="C169" s="24"/>
      <c r="D169" s="24"/>
      <c r="E169" s="24"/>
      <c r="F169" s="24"/>
      <c r="G169" s="37"/>
      <c r="H169" s="42"/>
      <c r="I169" s="46"/>
      <c r="J169" s="46"/>
      <c r="K169" s="24"/>
      <c r="L169" s="24"/>
      <c r="M169" s="39"/>
      <c r="N169" s="39"/>
      <c r="O169" s="38"/>
      <c r="P169" s="24"/>
    </row>
    <row r="170" spans="1:16" x14ac:dyDescent="0.25">
      <c r="A170" s="46"/>
      <c r="B170" s="36"/>
      <c r="C170" s="24"/>
      <c r="D170" s="24"/>
      <c r="E170" s="24"/>
      <c r="F170" s="24"/>
      <c r="G170" s="37"/>
      <c r="H170" s="42"/>
      <c r="I170" s="46"/>
      <c r="J170" s="46"/>
      <c r="K170" s="24"/>
      <c r="L170" s="24"/>
      <c r="M170" s="39"/>
      <c r="N170" s="39"/>
      <c r="O170" s="38"/>
      <c r="P170" s="24"/>
    </row>
    <row r="171" spans="1:16" x14ac:dyDescent="0.25">
      <c r="A171" s="46"/>
      <c r="B171" s="36"/>
      <c r="C171" s="24"/>
      <c r="D171" s="24"/>
      <c r="E171" s="24"/>
      <c r="F171" s="24"/>
      <c r="G171" s="37"/>
      <c r="H171" s="42"/>
      <c r="I171" s="46"/>
      <c r="J171" s="46"/>
      <c r="K171" s="24"/>
      <c r="L171" s="24"/>
      <c r="M171" s="39"/>
      <c r="N171" s="39"/>
      <c r="O171" s="38"/>
      <c r="P171" s="24"/>
    </row>
    <row r="172" spans="1:16" x14ac:dyDescent="0.25">
      <c r="A172" s="46"/>
      <c r="B172" s="36"/>
      <c r="C172" s="24"/>
      <c r="D172" s="24"/>
      <c r="E172" s="24"/>
      <c r="F172" s="24"/>
      <c r="G172" s="37"/>
      <c r="H172" s="42"/>
      <c r="I172" s="46"/>
      <c r="J172" s="46"/>
      <c r="K172" s="24"/>
      <c r="L172" s="24"/>
      <c r="M172" s="39"/>
      <c r="N172" s="39"/>
      <c r="O172" s="38"/>
      <c r="P172" s="24"/>
    </row>
    <row r="173" spans="1:16" x14ac:dyDescent="0.25">
      <c r="A173" s="46"/>
      <c r="B173" s="36"/>
      <c r="C173" s="24"/>
      <c r="D173" s="24"/>
      <c r="E173" s="24"/>
      <c r="F173" s="24"/>
      <c r="G173" s="37"/>
      <c r="H173" s="42"/>
      <c r="I173" s="46"/>
      <c r="J173" s="46"/>
      <c r="K173" s="24"/>
      <c r="L173" s="24"/>
      <c r="M173" s="39"/>
      <c r="N173" s="39"/>
      <c r="O173" s="38"/>
      <c r="P173" s="24"/>
    </row>
    <row r="174" spans="1:16" x14ac:dyDescent="0.25">
      <c r="A174" s="46"/>
      <c r="B174" s="36"/>
      <c r="C174" s="24"/>
      <c r="D174" s="24"/>
      <c r="E174" s="24"/>
      <c r="F174" s="24"/>
      <c r="G174" s="37"/>
      <c r="H174" s="42"/>
      <c r="I174" s="46"/>
      <c r="J174" s="46"/>
      <c r="K174" s="24"/>
      <c r="L174" s="24"/>
      <c r="M174" s="39"/>
      <c r="N174" s="39"/>
      <c r="O174" s="38"/>
      <c r="P174" s="24"/>
    </row>
    <row r="175" spans="1:16" x14ac:dyDescent="0.25">
      <c r="A175" s="46"/>
      <c r="B175" s="36"/>
      <c r="C175" s="24"/>
      <c r="D175" s="24"/>
      <c r="E175" s="24"/>
      <c r="F175" s="24"/>
      <c r="G175" s="37"/>
      <c r="H175" s="42"/>
      <c r="I175" s="46"/>
      <c r="J175" s="46"/>
      <c r="K175" s="24"/>
      <c r="L175" s="24"/>
      <c r="M175" s="39"/>
      <c r="N175" s="39"/>
      <c r="O175" s="38"/>
      <c r="P175" s="24"/>
    </row>
    <row r="176" spans="1:16" x14ac:dyDescent="0.25">
      <c r="A176" s="46"/>
      <c r="B176" s="36"/>
      <c r="C176" s="24"/>
      <c r="D176" s="24"/>
      <c r="E176" s="24"/>
      <c r="F176" s="24"/>
      <c r="G176" s="37"/>
      <c r="H176" s="42"/>
      <c r="I176" s="46"/>
      <c r="J176" s="46"/>
      <c r="K176" s="24"/>
      <c r="L176" s="24"/>
      <c r="M176" s="39"/>
      <c r="N176" s="39"/>
      <c r="O176" s="38"/>
      <c r="P176" s="24"/>
    </row>
    <row r="177" spans="1:16" x14ac:dyDescent="0.25">
      <c r="A177" s="46"/>
      <c r="B177" s="36"/>
      <c r="C177" s="24"/>
      <c r="D177" s="24"/>
      <c r="E177" s="24"/>
      <c r="F177" s="24"/>
      <c r="G177" s="37"/>
      <c r="H177" s="42"/>
      <c r="I177" s="46"/>
      <c r="J177" s="46"/>
      <c r="K177" s="24"/>
      <c r="L177" s="24"/>
      <c r="M177" s="39"/>
      <c r="N177" s="39"/>
      <c r="O177" s="38"/>
      <c r="P177" s="24"/>
    </row>
    <row r="178" spans="1:16" x14ac:dyDescent="0.25">
      <c r="A178" s="46"/>
      <c r="B178" s="36"/>
      <c r="C178" s="24"/>
      <c r="D178" s="24"/>
      <c r="E178" s="24"/>
      <c r="F178" s="24"/>
      <c r="G178" s="37"/>
      <c r="H178" s="42"/>
      <c r="I178" s="46"/>
      <c r="J178" s="46"/>
      <c r="K178" s="24"/>
      <c r="L178" s="24"/>
      <c r="M178" s="39"/>
      <c r="N178" s="39"/>
      <c r="O178" s="38"/>
      <c r="P178" s="24"/>
    </row>
    <row r="179" spans="1:16" x14ac:dyDescent="0.25">
      <c r="A179" s="46"/>
      <c r="B179" s="36"/>
      <c r="C179" s="24"/>
      <c r="D179" s="24"/>
      <c r="E179" s="24"/>
      <c r="F179" s="24"/>
      <c r="G179" s="37"/>
      <c r="H179" s="42"/>
      <c r="I179" s="46"/>
      <c r="J179" s="46"/>
      <c r="K179" s="24"/>
      <c r="L179" s="24"/>
      <c r="M179" s="39"/>
      <c r="N179" s="39"/>
      <c r="O179" s="38"/>
      <c r="P179" s="24"/>
    </row>
    <row r="180" spans="1:16" x14ac:dyDescent="0.25">
      <c r="A180" s="46"/>
      <c r="B180" s="36"/>
      <c r="C180" s="24"/>
      <c r="D180" s="24"/>
      <c r="E180" s="24"/>
      <c r="F180" s="24"/>
      <c r="G180" s="37"/>
      <c r="H180" s="42"/>
      <c r="I180" s="46"/>
      <c r="J180" s="46"/>
      <c r="K180" s="24"/>
      <c r="L180" s="24"/>
      <c r="M180" s="39"/>
      <c r="N180" s="39"/>
      <c r="O180" s="38"/>
      <c r="P180" s="24"/>
    </row>
    <row r="181" spans="1:16" x14ac:dyDescent="0.25">
      <c r="A181" s="46"/>
      <c r="B181" s="36"/>
      <c r="C181" s="24"/>
      <c r="D181" s="24"/>
      <c r="E181" s="24"/>
      <c r="F181" s="24"/>
      <c r="G181" s="37"/>
      <c r="H181" s="42"/>
      <c r="I181" s="46"/>
      <c r="J181" s="46"/>
      <c r="K181" s="24"/>
      <c r="L181" s="24"/>
      <c r="M181" s="39"/>
      <c r="N181" s="39"/>
      <c r="O181" s="38"/>
      <c r="P181" s="24"/>
    </row>
    <row r="182" spans="1:16" x14ac:dyDescent="0.25">
      <c r="A182" s="46"/>
      <c r="B182" s="36"/>
      <c r="C182" s="24"/>
      <c r="D182" s="24"/>
      <c r="E182" s="24"/>
      <c r="F182" s="24"/>
      <c r="G182" s="37"/>
      <c r="H182" s="42"/>
      <c r="I182" s="46"/>
      <c r="J182" s="46"/>
      <c r="K182" s="24"/>
      <c r="L182" s="24"/>
      <c r="M182" s="39"/>
      <c r="N182" s="39"/>
      <c r="O182" s="38"/>
      <c r="P182" s="24"/>
    </row>
    <row r="183" spans="1:16" x14ac:dyDescent="0.25">
      <c r="A183" s="46"/>
      <c r="B183" s="36"/>
      <c r="C183" s="24"/>
      <c r="D183" s="24"/>
      <c r="E183" s="24"/>
      <c r="F183" s="24"/>
      <c r="G183" s="37"/>
      <c r="H183" s="42"/>
      <c r="I183" s="46"/>
      <c r="J183" s="46"/>
      <c r="K183" s="24"/>
      <c r="L183" s="24"/>
      <c r="M183" s="39"/>
      <c r="N183" s="39"/>
      <c r="O183" s="38"/>
      <c r="P183" s="24"/>
    </row>
    <row r="184" spans="1:16" x14ac:dyDescent="0.25">
      <c r="A184" s="46"/>
      <c r="B184" s="36"/>
      <c r="C184" s="24"/>
      <c r="D184" s="24"/>
      <c r="E184" s="24"/>
      <c r="F184" s="24"/>
      <c r="G184" s="37"/>
      <c r="H184" s="42"/>
      <c r="I184" s="46"/>
      <c r="J184" s="46"/>
      <c r="K184" s="24"/>
      <c r="L184" s="24"/>
      <c r="M184" s="39"/>
      <c r="N184" s="39"/>
      <c r="O184" s="38"/>
      <c r="P184" s="24"/>
    </row>
    <row r="185" spans="1:16" x14ac:dyDescent="0.25">
      <c r="A185" s="46"/>
      <c r="B185" s="36"/>
      <c r="C185" s="24"/>
      <c r="D185" s="24"/>
      <c r="E185" s="24"/>
      <c r="F185" s="24"/>
      <c r="G185" s="37"/>
      <c r="H185" s="42"/>
      <c r="I185" s="46"/>
      <c r="J185" s="46"/>
      <c r="K185" s="24"/>
      <c r="L185" s="24"/>
      <c r="M185" s="39"/>
      <c r="N185" s="39"/>
      <c r="O185" s="38"/>
      <c r="P185" s="24"/>
    </row>
    <row r="186" spans="1:16" x14ac:dyDescent="0.25">
      <c r="A186" s="46"/>
      <c r="B186" s="36"/>
      <c r="C186" s="24"/>
      <c r="D186" s="24"/>
      <c r="E186" s="24"/>
      <c r="F186" s="24"/>
      <c r="G186" s="37"/>
      <c r="H186" s="42"/>
      <c r="I186" s="46"/>
      <c r="J186" s="46"/>
      <c r="K186" s="24"/>
      <c r="L186" s="24"/>
      <c r="M186" s="39"/>
      <c r="N186" s="39"/>
      <c r="O186" s="38"/>
      <c r="P186" s="24"/>
    </row>
    <row r="187" spans="1:16" x14ac:dyDescent="0.25">
      <c r="A187" s="46"/>
      <c r="B187" s="36"/>
      <c r="C187" s="24"/>
      <c r="D187" s="24"/>
      <c r="E187" s="24"/>
      <c r="F187" s="24"/>
      <c r="G187" s="37"/>
      <c r="H187" s="42"/>
      <c r="I187" s="46"/>
      <c r="J187" s="46"/>
      <c r="K187" s="24"/>
      <c r="L187" s="24"/>
      <c r="M187" s="39"/>
      <c r="N187" s="39"/>
      <c r="O187" s="38"/>
      <c r="P187" s="24"/>
    </row>
    <row r="188" spans="1:16" x14ac:dyDescent="0.25">
      <c r="A188" s="46"/>
      <c r="B188" s="36"/>
      <c r="C188" s="24"/>
      <c r="D188" s="24"/>
      <c r="E188" s="24"/>
      <c r="F188" s="24"/>
      <c r="G188" s="37"/>
      <c r="H188" s="42"/>
      <c r="I188" s="46"/>
      <c r="J188" s="46"/>
      <c r="K188" s="24"/>
      <c r="L188" s="24"/>
      <c r="M188" s="39"/>
      <c r="N188" s="39"/>
      <c r="O188" s="38"/>
      <c r="P188" s="24"/>
    </row>
    <row r="189" spans="1:16" x14ac:dyDescent="0.25">
      <c r="A189" s="46"/>
      <c r="B189" s="36"/>
      <c r="C189" s="24"/>
      <c r="D189" s="24"/>
      <c r="E189" s="24"/>
      <c r="F189" s="24"/>
      <c r="G189" s="37"/>
      <c r="H189" s="42"/>
      <c r="I189" s="46"/>
      <c r="J189" s="46"/>
      <c r="K189" s="24"/>
      <c r="L189" s="24"/>
      <c r="M189" s="39"/>
      <c r="N189" s="39"/>
      <c r="O189" s="38"/>
      <c r="P189" s="24"/>
    </row>
    <row r="190" spans="1:16" x14ac:dyDescent="0.25">
      <c r="A190" s="46"/>
      <c r="B190" s="36"/>
      <c r="C190" s="24"/>
      <c r="D190" s="24"/>
      <c r="E190" s="24"/>
      <c r="F190" s="24"/>
      <c r="G190" s="37"/>
      <c r="H190" s="42"/>
      <c r="I190" s="46"/>
      <c r="J190" s="46"/>
      <c r="K190" s="24"/>
      <c r="L190" s="24"/>
      <c r="M190" s="39"/>
      <c r="N190" s="39"/>
      <c r="O190" s="38"/>
      <c r="P190" s="24"/>
    </row>
    <row r="191" spans="1:16" x14ac:dyDescent="0.25">
      <c r="A191" s="46"/>
      <c r="B191" s="36"/>
      <c r="C191" s="24"/>
      <c r="D191" s="24"/>
      <c r="E191" s="24"/>
      <c r="F191" s="24"/>
      <c r="G191" s="37"/>
      <c r="H191" s="42"/>
      <c r="I191" s="46"/>
      <c r="J191" s="46"/>
      <c r="K191" s="24"/>
      <c r="L191" s="24"/>
      <c r="M191" s="39"/>
      <c r="N191" s="39"/>
      <c r="O191" s="38"/>
      <c r="P191" s="24"/>
    </row>
    <row r="192" spans="1:16" x14ac:dyDescent="0.25">
      <c r="A192" s="46"/>
      <c r="B192" s="36"/>
      <c r="C192" s="24"/>
      <c r="D192" s="24"/>
      <c r="E192" s="24"/>
      <c r="F192" s="24"/>
      <c r="G192" s="37"/>
      <c r="H192" s="42"/>
      <c r="I192" s="46"/>
      <c r="J192" s="46"/>
      <c r="K192" s="24"/>
      <c r="L192" s="24"/>
      <c r="M192" s="39"/>
      <c r="N192" s="39"/>
      <c r="O192" s="38"/>
      <c r="P192" s="24"/>
    </row>
    <row r="193" spans="1:16" x14ac:dyDescent="0.25">
      <c r="A193" s="46"/>
      <c r="B193" s="36"/>
      <c r="C193" s="24"/>
      <c r="D193" s="24"/>
      <c r="E193" s="24"/>
      <c r="F193" s="24"/>
      <c r="G193" s="37"/>
      <c r="H193" s="42"/>
      <c r="I193" s="46"/>
      <c r="J193" s="46"/>
      <c r="K193" s="24"/>
      <c r="L193" s="24"/>
      <c r="M193" s="39"/>
      <c r="N193" s="39"/>
      <c r="O193" s="38"/>
      <c r="P193" s="24"/>
    </row>
    <row r="194" spans="1:16" x14ac:dyDescent="0.25">
      <c r="A194" s="46"/>
      <c r="B194" s="36"/>
      <c r="C194" s="24"/>
      <c r="D194" s="24"/>
      <c r="E194" s="24"/>
      <c r="F194" s="24"/>
      <c r="G194" s="37"/>
      <c r="H194" s="42"/>
      <c r="I194" s="46"/>
      <c r="J194" s="46"/>
      <c r="K194" s="24"/>
      <c r="L194" s="24"/>
      <c r="M194" s="39"/>
      <c r="N194" s="39"/>
      <c r="O194" s="38"/>
      <c r="P194" s="24"/>
    </row>
    <row r="195" spans="1:16" x14ac:dyDescent="0.25">
      <c r="A195" s="46"/>
      <c r="B195" s="36"/>
      <c r="C195" s="24"/>
      <c r="D195" s="24"/>
      <c r="E195" s="24"/>
      <c r="F195" s="24"/>
      <c r="G195" s="37"/>
      <c r="H195" s="42"/>
      <c r="I195" s="46"/>
      <c r="J195" s="46"/>
      <c r="K195" s="24"/>
      <c r="L195" s="24"/>
      <c r="M195" s="39"/>
      <c r="N195" s="39"/>
      <c r="O195" s="38"/>
      <c r="P195" s="24"/>
    </row>
    <row r="196" spans="1:16" x14ac:dyDescent="0.25">
      <c r="A196" s="46"/>
      <c r="B196" s="36"/>
      <c r="C196" s="24"/>
      <c r="D196" s="24"/>
      <c r="E196" s="24"/>
      <c r="F196" s="24"/>
      <c r="G196" s="37"/>
      <c r="H196" s="42"/>
      <c r="I196" s="46"/>
      <c r="J196" s="46"/>
      <c r="K196" s="24"/>
      <c r="L196" s="24"/>
      <c r="M196" s="39"/>
      <c r="N196" s="39"/>
      <c r="O196" s="38"/>
      <c r="P196" s="24"/>
    </row>
    <row r="197" spans="1:16" x14ac:dyDescent="0.25">
      <c r="A197" s="46"/>
      <c r="B197" s="36"/>
      <c r="C197" s="24"/>
      <c r="D197" s="24"/>
      <c r="E197" s="24"/>
      <c r="F197" s="24"/>
      <c r="G197" s="37"/>
      <c r="H197" s="24"/>
      <c r="I197" s="46"/>
      <c r="J197" s="46"/>
      <c r="K197" s="24"/>
      <c r="L197" s="24"/>
      <c r="M197" s="39"/>
      <c r="N197" s="39"/>
      <c r="O197" s="38"/>
      <c r="P197" s="24"/>
    </row>
    <row r="198" spans="1:16" x14ac:dyDescent="0.25">
      <c r="A198" s="46"/>
      <c r="B198" s="36"/>
      <c r="C198" s="24"/>
      <c r="D198" s="24"/>
      <c r="E198" s="24"/>
      <c r="F198" s="24"/>
      <c r="G198" s="37"/>
      <c r="H198" s="24"/>
      <c r="I198" s="46"/>
      <c r="J198" s="46"/>
      <c r="K198" s="24"/>
      <c r="L198" s="24"/>
      <c r="M198" s="39"/>
      <c r="N198" s="39"/>
      <c r="O198" s="38"/>
      <c r="P198" s="24"/>
    </row>
    <row r="199" spans="1:16" x14ac:dyDescent="0.25">
      <c r="A199" s="46"/>
      <c r="B199" s="36"/>
      <c r="C199" s="24"/>
      <c r="D199" s="24"/>
      <c r="E199" s="24"/>
      <c r="F199" s="24"/>
      <c r="G199" s="37"/>
      <c r="H199" s="24"/>
      <c r="I199" s="46"/>
      <c r="J199" s="46"/>
      <c r="K199" s="24"/>
      <c r="L199" s="24"/>
      <c r="M199" s="39"/>
      <c r="N199" s="39"/>
      <c r="O199" s="38"/>
      <c r="P199" s="24"/>
    </row>
    <row r="200" spans="1:16" x14ac:dyDescent="0.25">
      <c r="A200" s="46"/>
      <c r="B200" s="36"/>
      <c r="C200" s="24"/>
      <c r="D200" s="24"/>
      <c r="E200" s="24"/>
      <c r="F200" s="24"/>
      <c r="G200" s="37"/>
      <c r="H200" s="24"/>
      <c r="I200" s="46"/>
      <c r="J200" s="46"/>
      <c r="K200" s="24"/>
      <c r="L200" s="24"/>
      <c r="M200" s="39"/>
      <c r="N200" s="39"/>
      <c r="O200" s="38"/>
      <c r="P200" s="24"/>
    </row>
    <row r="201" spans="1:16" x14ac:dyDescent="0.25">
      <c r="A201" s="46"/>
      <c r="B201" s="36"/>
      <c r="C201" s="24"/>
      <c r="D201" s="24"/>
      <c r="E201" s="24"/>
      <c r="F201" s="24"/>
      <c r="G201" s="37"/>
      <c r="H201" s="24"/>
      <c r="I201" s="46"/>
      <c r="J201" s="46"/>
      <c r="K201" s="24"/>
      <c r="L201" s="24"/>
      <c r="M201" s="39"/>
      <c r="N201" s="39"/>
      <c r="O201" s="38"/>
      <c r="P201" s="24"/>
    </row>
    <row r="202" spans="1:16" x14ac:dyDescent="0.25">
      <c r="A202" s="46"/>
      <c r="B202" s="36"/>
      <c r="C202" s="24"/>
      <c r="D202" s="24"/>
      <c r="E202" s="24"/>
      <c r="F202" s="24"/>
      <c r="G202" s="37"/>
      <c r="H202" s="24"/>
      <c r="I202" s="46"/>
      <c r="J202" s="46"/>
      <c r="K202" s="24"/>
      <c r="L202" s="24"/>
      <c r="M202" s="39"/>
      <c r="N202" s="39"/>
      <c r="O202" s="38"/>
      <c r="P202" s="24"/>
    </row>
    <row r="203" spans="1:16" x14ac:dyDescent="0.25">
      <c r="A203" s="24"/>
      <c r="B203" s="93"/>
      <c r="C203" s="24"/>
      <c r="D203" s="24"/>
      <c r="E203" s="24"/>
      <c r="F203" s="24"/>
      <c r="G203" s="79"/>
      <c r="H203" s="42"/>
      <c r="I203" s="46"/>
      <c r="J203" s="46"/>
      <c r="K203" s="24"/>
      <c r="L203" s="24"/>
      <c r="M203" s="90"/>
      <c r="N203" s="39"/>
      <c r="O203" s="38"/>
      <c r="P203" s="24"/>
    </row>
    <row r="204" spans="1:16" x14ac:dyDescent="0.25">
      <c r="A204" s="24"/>
      <c r="B204" s="93"/>
      <c r="C204" s="24"/>
      <c r="D204" s="24"/>
      <c r="E204" s="24"/>
      <c r="F204" s="24"/>
      <c r="G204" s="79"/>
      <c r="H204" s="42"/>
      <c r="I204" s="46"/>
      <c r="J204" s="46"/>
      <c r="K204" s="24"/>
      <c r="L204" s="24"/>
      <c r="M204" s="90"/>
      <c r="N204" s="39"/>
      <c r="O204" s="38"/>
      <c r="P204" s="24"/>
    </row>
    <row r="205" spans="1:16" x14ac:dyDescent="0.25">
      <c r="A205" s="24"/>
      <c r="B205" s="93"/>
      <c r="C205" s="24"/>
      <c r="D205" s="24"/>
      <c r="E205" s="24"/>
      <c r="F205" s="24"/>
      <c r="G205" s="79"/>
      <c r="H205" s="42"/>
      <c r="I205" s="46"/>
      <c r="J205" s="46"/>
      <c r="K205" s="24"/>
      <c r="L205" s="24"/>
      <c r="M205" s="90"/>
      <c r="N205" s="39"/>
      <c r="O205" s="38"/>
      <c r="P205" s="24"/>
    </row>
    <row r="206" spans="1:16" x14ac:dyDescent="0.25">
      <c r="A206" s="24"/>
      <c r="B206" s="36"/>
      <c r="C206" s="24"/>
      <c r="D206" s="24"/>
      <c r="E206" s="24"/>
      <c r="F206" s="24"/>
      <c r="G206" s="37"/>
      <c r="H206" s="42"/>
      <c r="I206" s="46"/>
      <c r="J206" s="46"/>
      <c r="K206" s="24"/>
      <c r="L206" s="24"/>
      <c r="M206" s="39"/>
      <c r="N206" s="39"/>
      <c r="O206" s="38"/>
      <c r="P206" s="24"/>
    </row>
    <row r="207" spans="1:16" x14ac:dyDescent="0.25">
      <c r="A207" s="24"/>
      <c r="B207" s="36"/>
      <c r="C207" s="24"/>
      <c r="D207" s="24"/>
      <c r="E207" s="24"/>
      <c r="F207" s="24"/>
      <c r="G207" s="37"/>
      <c r="H207" s="42"/>
      <c r="I207" s="46"/>
      <c r="J207" s="46"/>
      <c r="K207" s="24"/>
      <c r="L207" s="24"/>
      <c r="M207" s="39"/>
      <c r="N207" s="39"/>
      <c r="O207" s="38"/>
      <c r="P207" s="24"/>
    </row>
    <row r="208" spans="1:16" x14ac:dyDescent="0.25">
      <c r="A208" s="24"/>
      <c r="B208" s="36"/>
      <c r="C208" s="24"/>
      <c r="D208" s="24"/>
      <c r="E208" s="24"/>
      <c r="F208" s="24"/>
      <c r="G208" s="37"/>
      <c r="H208" s="42"/>
      <c r="I208" s="46"/>
      <c r="J208" s="46"/>
      <c r="K208" s="24"/>
      <c r="L208" s="24"/>
      <c r="M208" s="39"/>
      <c r="N208" s="39"/>
      <c r="O208" s="38"/>
      <c r="P208" s="24"/>
    </row>
    <row r="209" spans="1:16" x14ac:dyDescent="0.25">
      <c r="A209" s="24"/>
      <c r="B209" s="36"/>
      <c r="C209" s="24"/>
      <c r="D209" s="24"/>
      <c r="E209" s="24"/>
      <c r="F209" s="24"/>
      <c r="G209" s="37"/>
      <c r="H209" s="42"/>
      <c r="I209" s="46"/>
      <c r="J209" s="46"/>
      <c r="K209" s="24"/>
      <c r="L209" s="24"/>
      <c r="M209" s="39"/>
      <c r="N209" s="39"/>
      <c r="O209" s="38"/>
      <c r="P209" s="24"/>
    </row>
    <row r="210" spans="1:16" x14ac:dyDescent="0.25">
      <c r="A210" s="24"/>
      <c r="B210" s="36"/>
      <c r="C210" s="24"/>
      <c r="D210" s="24"/>
      <c r="E210" s="24"/>
      <c r="F210" s="24"/>
      <c r="G210" s="37"/>
      <c r="H210" s="42"/>
      <c r="I210" s="46"/>
      <c r="J210" s="46"/>
      <c r="K210" s="24"/>
      <c r="L210" s="24"/>
      <c r="M210" s="39"/>
      <c r="N210" s="39"/>
      <c r="O210" s="38"/>
      <c r="P210" s="24"/>
    </row>
    <row r="211" spans="1:16" x14ac:dyDescent="0.25">
      <c r="A211" s="24"/>
      <c r="B211" s="36"/>
      <c r="C211" s="24"/>
      <c r="D211" s="24"/>
      <c r="E211" s="24"/>
      <c r="F211" s="24"/>
      <c r="G211" s="37"/>
      <c r="H211" s="42"/>
      <c r="I211" s="46"/>
      <c r="J211" s="46"/>
      <c r="K211" s="24"/>
      <c r="L211" s="24"/>
      <c r="M211" s="39"/>
      <c r="N211" s="39"/>
      <c r="O211" s="38"/>
      <c r="P211" s="24"/>
    </row>
    <row r="212" spans="1:16" x14ac:dyDescent="0.25">
      <c r="A212" s="24"/>
      <c r="B212" s="36"/>
      <c r="C212" s="24"/>
      <c r="D212" s="24"/>
      <c r="E212" s="24"/>
      <c r="F212" s="24"/>
      <c r="G212" s="37"/>
      <c r="H212" s="42"/>
      <c r="I212" s="46"/>
      <c r="J212" s="46"/>
      <c r="K212" s="24"/>
      <c r="L212" s="24"/>
      <c r="M212" s="39"/>
      <c r="N212" s="39"/>
      <c r="O212" s="38"/>
      <c r="P212" s="24"/>
    </row>
    <row r="213" spans="1:16" x14ac:dyDescent="0.25">
      <c r="A213" s="24"/>
      <c r="B213" s="36"/>
      <c r="C213" s="24"/>
      <c r="D213" s="24"/>
      <c r="E213" s="24"/>
      <c r="F213" s="24"/>
      <c r="G213" s="37"/>
      <c r="H213" s="42"/>
      <c r="I213" s="46"/>
      <c r="J213" s="46"/>
      <c r="K213" s="24"/>
      <c r="L213" s="24"/>
      <c r="M213" s="39"/>
      <c r="N213" s="39"/>
      <c r="O213" s="38"/>
      <c r="P213" s="24"/>
    </row>
    <row r="214" spans="1:16" x14ac:dyDescent="0.25">
      <c r="A214" s="24"/>
      <c r="B214" s="36"/>
      <c r="C214" s="24"/>
      <c r="D214" s="24"/>
      <c r="E214" s="24"/>
      <c r="F214" s="24"/>
      <c r="G214" s="37"/>
      <c r="H214" s="42"/>
      <c r="I214" s="46"/>
      <c r="J214" s="46"/>
      <c r="K214" s="24"/>
      <c r="L214" s="24"/>
      <c r="M214" s="39"/>
      <c r="N214" s="39"/>
      <c r="O214" s="38"/>
      <c r="P214" s="24"/>
    </row>
    <row r="215" spans="1:16" x14ac:dyDescent="0.25">
      <c r="A215" s="24"/>
      <c r="B215" s="36"/>
      <c r="C215" s="24"/>
      <c r="D215" s="24"/>
      <c r="E215" s="24"/>
      <c r="F215" s="24"/>
      <c r="G215" s="37"/>
      <c r="H215" s="42"/>
      <c r="I215" s="46"/>
      <c r="J215" s="46"/>
      <c r="K215" s="24"/>
      <c r="L215" s="24"/>
      <c r="M215" s="39"/>
      <c r="N215" s="39"/>
      <c r="O215" s="38"/>
      <c r="P215" s="24"/>
    </row>
    <row r="216" spans="1:16" x14ac:dyDescent="0.25">
      <c r="A216" s="24"/>
      <c r="B216" s="36"/>
      <c r="C216" s="24"/>
      <c r="D216" s="24"/>
      <c r="E216" s="24"/>
      <c r="F216" s="24"/>
      <c r="G216" s="37"/>
      <c r="H216" s="42"/>
      <c r="I216" s="46"/>
      <c r="J216" s="46"/>
      <c r="K216" s="24"/>
      <c r="L216" s="24"/>
      <c r="M216" s="39"/>
      <c r="N216" s="39"/>
      <c r="O216" s="38"/>
      <c r="P216" s="24"/>
    </row>
    <row r="217" spans="1:16" x14ac:dyDescent="0.25">
      <c r="A217" s="24"/>
      <c r="B217" s="36"/>
      <c r="C217" s="24"/>
      <c r="D217" s="24"/>
      <c r="E217" s="24"/>
      <c r="F217" s="24"/>
      <c r="G217" s="37"/>
      <c r="H217" s="42"/>
      <c r="I217" s="46"/>
      <c r="J217" s="46"/>
      <c r="K217" s="24"/>
      <c r="L217" s="24"/>
      <c r="M217" s="39"/>
      <c r="N217" s="39"/>
      <c r="O217" s="38"/>
      <c r="P217" s="24"/>
    </row>
    <row r="218" spans="1:16" x14ac:dyDescent="0.25">
      <c r="A218" s="24"/>
      <c r="B218" s="36"/>
      <c r="C218" s="24"/>
      <c r="D218" s="24"/>
      <c r="E218" s="24"/>
      <c r="F218" s="24"/>
      <c r="G218" s="37"/>
      <c r="H218" s="42"/>
      <c r="I218" s="46"/>
      <c r="J218" s="46"/>
      <c r="K218" s="24"/>
      <c r="L218" s="24"/>
      <c r="M218" s="39"/>
      <c r="N218" s="39"/>
      <c r="O218" s="38"/>
      <c r="P218" s="24"/>
    </row>
    <row r="219" spans="1:16" x14ac:dyDescent="0.25">
      <c r="A219" s="24"/>
      <c r="B219" s="36"/>
      <c r="C219" s="24"/>
      <c r="D219" s="24"/>
      <c r="E219" s="24"/>
      <c r="F219" s="24"/>
      <c r="G219" s="37"/>
      <c r="H219" s="42"/>
      <c r="I219" s="46"/>
      <c r="J219" s="46"/>
      <c r="K219" s="24"/>
      <c r="L219" s="24"/>
      <c r="M219" s="39"/>
      <c r="N219" s="39"/>
      <c r="O219" s="38"/>
      <c r="P219" s="24"/>
    </row>
    <row r="220" spans="1:16" x14ac:dyDescent="0.25">
      <c r="A220" s="24"/>
      <c r="B220" s="36"/>
      <c r="C220" s="24"/>
      <c r="D220" s="24"/>
      <c r="E220" s="24"/>
      <c r="F220" s="24"/>
      <c r="G220" s="37"/>
      <c r="H220" s="42"/>
      <c r="I220" s="46"/>
      <c r="J220" s="46"/>
      <c r="K220" s="24"/>
      <c r="L220" s="24"/>
      <c r="M220" s="39"/>
      <c r="N220" s="39"/>
      <c r="O220" s="38"/>
      <c r="P220" s="24"/>
    </row>
    <row r="221" spans="1:16" x14ac:dyDescent="0.25">
      <c r="A221" s="24"/>
      <c r="B221" s="36"/>
      <c r="C221" s="24"/>
      <c r="D221" s="24"/>
      <c r="E221" s="24"/>
      <c r="F221" s="24"/>
      <c r="G221" s="37"/>
      <c r="H221" s="42"/>
      <c r="I221" s="46"/>
      <c r="J221" s="46"/>
      <c r="K221" s="24"/>
      <c r="L221" s="24"/>
      <c r="M221" s="39"/>
      <c r="N221" s="39"/>
      <c r="O221" s="38"/>
      <c r="P221" s="24"/>
    </row>
    <row r="222" spans="1:16" x14ac:dyDescent="0.25">
      <c r="A222" s="24"/>
      <c r="B222" s="36"/>
      <c r="C222" s="24"/>
      <c r="D222" s="24"/>
      <c r="E222" s="24"/>
      <c r="F222" s="24"/>
      <c r="G222" s="37"/>
      <c r="H222" s="42"/>
      <c r="I222" s="46"/>
      <c r="J222" s="46"/>
      <c r="K222" s="24"/>
      <c r="L222" s="24"/>
      <c r="M222" s="39"/>
      <c r="N222" s="39"/>
      <c r="O222" s="38"/>
      <c r="P222" s="24"/>
    </row>
    <row r="223" spans="1:16" x14ac:dyDescent="0.25">
      <c r="A223" s="24"/>
      <c r="B223" s="36"/>
      <c r="C223" s="24"/>
      <c r="D223" s="24"/>
      <c r="E223" s="24"/>
      <c r="F223" s="24"/>
      <c r="G223" s="37"/>
      <c r="H223" s="42"/>
      <c r="I223" s="46"/>
      <c r="J223" s="46"/>
      <c r="K223" s="24"/>
      <c r="L223" s="24"/>
      <c r="M223" s="39"/>
      <c r="N223" s="39"/>
      <c r="O223" s="38"/>
      <c r="P223" s="24"/>
    </row>
    <row r="224" spans="1:16" x14ac:dyDescent="0.25">
      <c r="A224" s="24"/>
      <c r="B224" s="36"/>
      <c r="C224" s="24"/>
      <c r="D224" s="24"/>
      <c r="E224" s="24"/>
      <c r="F224" s="24"/>
      <c r="G224" s="37"/>
      <c r="H224" s="42"/>
      <c r="I224" s="46"/>
      <c r="J224" s="46"/>
      <c r="K224" s="24"/>
      <c r="L224" s="24"/>
      <c r="M224" s="39"/>
      <c r="N224" s="39"/>
      <c r="O224" s="38"/>
      <c r="P224" s="24"/>
    </row>
    <row r="225" spans="1:16" x14ac:dyDescent="0.25">
      <c r="A225" s="24"/>
      <c r="B225" s="36"/>
      <c r="C225" s="24"/>
      <c r="D225" s="24"/>
      <c r="E225" s="24"/>
      <c r="F225" s="24"/>
      <c r="G225" s="37"/>
      <c r="H225" s="42"/>
      <c r="I225" s="46"/>
      <c r="J225" s="46"/>
      <c r="K225" s="24"/>
      <c r="L225" s="24"/>
      <c r="M225" s="39"/>
      <c r="N225" s="39"/>
      <c r="O225" s="38"/>
      <c r="P225" s="24"/>
    </row>
    <row r="226" spans="1:16" x14ac:dyDescent="0.25">
      <c r="A226" s="24"/>
      <c r="B226" s="36"/>
      <c r="C226" s="24"/>
      <c r="D226" s="24"/>
      <c r="E226" s="24"/>
      <c r="F226" s="24"/>
      <c r="G226" s="37"/>
      <c r="H226" s="42"/>
      <c r="I226" s="46"/>
      <c r="J226" s="46"/>
      <c r="K226" s="24"/>
      <c r="L226" s="24"/>
      <c r="M226" s="39"/>
      <c r="N226" s="39"/>
      <c r="O226" s="38"/>
      <c r="P226" s="24"/>
    </row>
    <row r="227" spans="1:16" x14ac:dyDescent="0.25">
      <c r="A227" s="24"/>
      <c r="B227" s="36"/>
      <c r="C227" s="24"/>
      <c r="D227" s="24"/>
      <c r="E227" s="24"/>
      <c r="F227" s="24"/>
      <c r="G227" s="37"/>
      <c r="H227" s="42"/>
      <c r="I227" s="46"/>
      <c r="J227" s="46"/>
      <c r="K227" s="24"/>
      <c r="L227" s="24"/>
      <c r="M227" s="39"/>
      <c r="N227" s="39"/>
      <c r="O227" s="38"/>
      <c r="P227" s="24"/>
    </row>
    <row r="228" spans="1:16" x14ac:dyDescent="0.25">
      <c r="A228" s="24"/>
      <c r="B228" s="36"/>
      <c r="C228" s="24"/>
      <c r="D228" s="24"/>
      <c r="E228" s="24"/>
      <c r="F228" s="24"/>
      <c r="G228" s="37"/>
      <c r="H228" s="42"/>
      <c r="I228" s="46"/>
      <c r="J228" s="46"/>
      <c r="K228" s="24"/>
      <c r="L228" s="24"/>
      <c r="M228" s="39"/>
      <c r="N228" s="39"/>
      <c r="O228" s="38"/>
      <c r="P228" s="24"/>
    </row>
    <row r="229" spans="1:16" x14ac:dyDescent="0.25">
      <c r="A229" s="24"/>
      <c r="B229" s="36"/>
      <c r="C229" s="24"/>
      <c r="D229" s="24"/>
      <c r="E229" s="24"/>
      <c r="F229" s="24"/>
      <c r="G229" s="37"/>
      <c r="H229" s="42"/>
      <c r="I229" s="46"/>
      <c r="J229" s="46"/>
      <c r="K229" s="24"/>
      <c r="L229" s="24"/>
      <c r="M229" s="39"/>
      <c r="N229" s="39"/>
      <c r="O229" s="38"/>
      <c r="P229" s="24"/>
    </row>
    <row r="230" spans="1:16" x14ac:dyDescent="0.25">
      <c r="A230" s="24"/>
      <c r="B230" s="36"/>
      <c r="C230" s="24"/>
      <c r="D230" s="24"/>
      <c r="E230" s="24"/>
      <c r="F230" s="24"/>
      <c r="G230" s="37"/>
      <c r="H230" s="42"/>
      <c r="I230" s="46"/>
      <c r="J230" s="46"/>
      <c r="K230" s="24"/>
      <c r="L230" s="24"/>
      <c r="M230" s="39"/>
      <c r="N230" s="39"/>
      <c r="O230" s="38"/>
      <c r="P230" s="24"/>
    </row>
    <row r="231" spans="1:16" x14ac:dyDescent="0.25">
      <c r="A231" s="24"/>
      <c r="B231" s="36"/>
      <c r="C231" s="24"/>
      <c r="D231" s="24"/>
      <c r="E231" s="24"/>
      <c r="F231" s="24"/>
      <c r="G231" s="37"/>
      <c r="H231" s="42"/>
      <c r="I231" s="46"/>
      <c r="J231" s="46"/>
      <c r="K231" s="24"/>
      <c r="L231" s="24"/>
      <c r="M231" s="39"/>
      <c r="N231" s="39"/>
      <c r="O231" s="38"/>
      <c r="P231" s="24"/>
    </row>
    <row r="232" spans="1:16" x14ac:dyDescent="0.25">
      <c r="A232" s="24"/>
      <c r="B232" s="36"/>
      <c r="C232" s="24"/>
      <c r="D232" s="24"/>
      <c r="E232" s="24"/>
      <c r="F232" s="24"/>
      <c r="G232" s="37"/>
      <c r="H232" s="42"/>
      <c r="I232" s="46"/>
      <c r="J232" s="46"/>
      <c r="K232" s="24"/>
      <c r="L232" s="24"/>
      <c r="M232" s="39"/>
      <c r="N232" s="39"/>
      <c r="O232" s="38"/>
      <c r="P232" s="24"/>
    </row>
    <row r="233" spans="1:16" x14ac:dyDescent="0.25">
      <c r="A233" s="24"/>
      <c r="B233" s="36"/>
      <c r="C233" s="24"/>
      <c r="D233" s="24"/>
      <c r="E233" s="24"/>
      <c r="F233" s="24"/>
      <c r="G233" s="37"/>
      <c r="H233" s="42"/>
      <c r="I233" s="46"/>
      <c r="J233" s="46"/>
      <c r="K233" s="24"/>
      <c r="L233" s="24"/>
      <c r="M233" s="39"/>
      <c r="N233" s="39"/>
      <c r="O233" s="38"/>
      <c r="P233" s="24"/>
    </row>
    <row r="234" spans="1:16" x14ac:dyDescent="0.25">
      <c r="A234" s="24"/>
      <c r="B234" s="36"/>
      <c r="C234" s="24"/>
      <c r="D234" s="24"/>
      <c r="E234" s="24"/>
      <c r="F234" s="24"/>
      <c r="G234" s="37"/>
      <c r="H234" s="42"/>
      <c r="I234" s="46"/>
      <c r="J234" s="46"/>
      <c r="K234" s="24"/>
      <c r="L234" s="24"/>
      <c r="M234" s="39"/>
      <c r="N234" s="39"/>
      <c r="O234" s="38"/>
      <c r="P234" s="24"/>
    </row>
    <row r="235" spans="1:16" x14ac:dyDescent="0.25">
      <c r="A235" s="24"/>
      <c r="B235" s="36"/>
      <c r="C235" s="24"/>
      <c r="D235" s="24"/>
      <c r="E235" s="24"/>
      <c r="F235" s="24"/>
      <c r="G235" s="37"/>
      <c r="H235" s="42"/>
      <c r="I235" s="46"/>
      <c r="J235" s="46"/>
      <c r="K235" s="24"/>
      <c r="L235" s="24"/>
      <c r="M235" s="39"/>
      <c r="N235" s="39"/>
      <c r="O235" s="38"/>
      <c r="P235" s="24"/>
    </row>
    <row r="236" spans="1:16" x14ac:dyDescent="0.25">
      <c r="A236" s="24"/>
      <c r="B236" s="36"/>
      <c r="C236" s="24"/>
      <c r="D236" s="24"/>
      <c r="E236" s="24"/>
      <c r="F236" s="24"/>
      <c r="G236" s="37"/>
      <c r="H236" s="42"/>
      <c r="I236" s="46"/>
      <c r="J236" s="46"/>
      <c r="K236" s="24"/>
      <c r="L236" s="24"/>
      <c r="M236" s="39"/>
      <c r="N236" s="39"/>
      <c r="O236" s="38"/>
      <c r="P236" s="24"/>
    </row>
    <row r="237" spans="1:16" x14ac:dyDescent="0.25">
      <c r="A237" s="24"/>
      <c r="B237" s="36"/>
      <c r="C237" s="24"/>
      <c r="D237" s="24"/>
      <c r="E237" s="24"/>
      <c r="F237" s="24"/>
      <c r="G237" s="37"/>
      <c r="H237" s="42"/>
      <c r="I237" s="46"/>
      <c r="J237" s="46"/>
      <c r="K237" s="24"/>
      <c r="L237" s="24"/>
      <c r="M237" s="39"/>
      <c r="N237" s="39"/>
      <c r="O237" s="38"/>
      <c r="P237" s="24"/>
    </row>
    <row r="238" spans="1:16" x14ac:dyDescent="0.25">
      <c r="A238" s="24"/>
      <c r="B238" s="36"/>
      <c r="C238" s="24"/>
      <c r="D238" s="24"/>
      <c r="E238" s="24"/>
      <c r="F238" s="24"/>
      <c r="G238" s="37"/>
      <c r="H238" s="42"/>
      <c r="I238" s="46"/>
      <c r="J238" s="46"/>
      <c r="K238" s="24"/>
      <c r="L238" s="24"/>
      <c r="M238" s="39"/>
      <c r="N238" s="39"/>
      <c r="O238" s="38"/>
      <c r="P238" s="24"/>
    </row>
    <row r="239" spans="1:16" x14ac:dyDescent="0.25">
      <c r="A239" s="24"/>
      <c r="B239" s="36"/>
      <c r="C239" s="24"/>
      <c r="D239" s="24"/>
      <c r="E239" s="24"/>
      <c r="F239" s="24"/>
      <c r="G239" s="37"/>
      <c r="H239" s="42"/>
      <c r="I239" s="46"/>
      <c r="J239" s="46"/>
      <c r="K239" s="24"/>
      <c r="L239" s="24"/>
      <c r="M239" s="39"/>
      <c r="N239" s="39"/>
      <c r="O239" s="38"/>
      <c r="P239" s="24"/>
    </row>
    <row r="240" spans="1:16" x14ac:dyDescent="0.25">
      <c r="A240" s="24"/>
      <c r="B240" s="36"/>
      <c r="C240" s="24"/>
      <c r="D240" s="24"/>
      <c r="E240" s="24"/>
      <c r="F240" s="24"/>
      <c r="G240" s="37"/>
      <c r="H240" s="42"/>
      <c r="I240" s="46"/>
      <c r="J240" s="46"/>
      <c r="K240" s="24"/>
      <c r="L240" s="24"/>
      <c r="M240" s="39"/>
      <c r="N240" s="39"/>
      <c r="O240" s="38"/>
      <c r="P240" s="24"/>
    </row>
    <row r="241" spans="1:16" x14ac:dyDescent="0.25">
      <c r="A241" s="24"/>
      <c r="B241" s="36"/>
      <c r="C241" s="24"/>
      <c r="D241" s="24"/>
      <c r="E241" s="24"/>
      <c r="F241" s="24"/>
      <c r="G241" s="37"/>
      <c r="H241" s="42"/>
      <c r="I241" s="46"/>
      <c r="J241" s="46"/>
      <c r="K241" s="24"/>
      <c r="L241" s="24"/>
      <c r="M241" s="39"/>
      <c r="N241" s="39"/>
      <c r="O241" s="38"/>
      <c r="P241" s="24"/>
    </row>
    <row r="242" spans="1:16" x14ac:dyDescent="0.25">
      <c r="A242" s="24"/>
      <c r="B242" s="36"/>
      <c r="C242" s="24"/>
      <c r="D242" s="24"/>
      <c r="E242" s="24"/>
      <c r="F242" s="24"/>
      <c r="G242" s="37"/>
      <c r="H242" s="42"/>
      <c r="I242" s="46"/>
      <c r="J242" s="46"/>
      <c r="K242" s="24"/>
      <c r="L242" s="24"/>
      <c r="M242" s="39"/>
      <c r="N242" s="39"/>
      <c r="O242" s="38"/>
      <c r="P242" s="24"/>
    </row>
    <row r="243" spans="1:16" x14ac:dyDescent="0.25">
      <c r="A243" s="24"/>
      <c r="B243" s="36"/>
      <c r="C243" s="24"/>
      <c r="D243" s="24"/>
      <c r="E243" s="24"/>
      <c r="F243" s="24"/>
      <c r="G243" s="37"/>
      <c r="H243" s="42"/>
      <c r="I243" s="46"/>
      <c r="J243" s="46"/>
      <c r="K243" s="24"/>
      <c r="L243" s="24"/>
      <c r="M243" s="39"/>
      <c r="N243" s="39"/>
      <c r="O243" s="38"/>
      <c r="P243" s="24"/>
    </row>
    <row r="244" spans="1:16" x14ac:dyDescent="0.25">
      <c r="A244" s="24"/>
      <c r="B244" s="36"/>
      <c r="C244" s="24"/>
      <c r="D244" s="24"/>
      <c r="E244" s="24"/>
      <c r="F244" s="24"/>
      <c r="G244" s="37"/>
      <c r="H244" s="42"/>
      <c r="I244" s="46"/>
      <c r="J244" s="46"/>
      <c r="K244" s="24"/>
      <c r="L244" s="24"/>
      <c r="M244" s="39"/>
      <c r="N244" s="39"/>
      <c r="O244" s="38"/>
      <c r="P244" s="24"/>
    </row>
    <row r="245" spans="1:16" x14ac:dyDescent="0.25">
      <c r="A245" s="24"/>
      <c r="B245" s="36"/>
      <c r="C245" s="24"/>
      <c r="D245" s="24"/>
      <c r="E245" s="24"/>
      <c r="F245" s="24"/>
      <c r="G245" s="37"/>
      <c r="H245" s="42"/>
      <c r="I245" s="46"/>
      <c r="J245" s="46"/>
      <c r="K245" s="24"/>
      <c r="L245" s="24"/>
      <c r="M245" s="39"/>
      <c r="N245" s="39"/>
      <c r="O245" s="38"/>
      <c r="P245" s="24"/>
    </row>
    <row r="246" spans="1:16" x14ac:dyDescent="0.25">
      <c r="A246" s="24"/>
      <c r="B246" s="36"/>
      <c r="C246" s="24"/>
      <c r="D246" s="24"/>
      <c r="E246" s="24"/>
      <c r="F246" s="24"/>
      <c r="G246" s="37"/>
      <c r="H246" s="42"/>
      <c r="I246" s="46"/>
      <c r="J246" s="46"/>
      <c r="K246" s="24"/>
      <c r="L246" s="24"/>
      <c r="M246" s="39"/>
      <c r="N246" s="39"/>
      <c r="O246" s="38"/>
      <c r="P246" s="24"/>
    </row>
    <row r="247" spans="1:16" x14ac:dyDescent="0.25">
      <c r="A247" s="24"/>
      <c r="B247" s="36"/>
      <c r="C247" s="24"/>
      <c r="D247" s="24"/>
      <c r="E247" s="24"/>
      <c r="F247" s="24"/>
      <c r="G247" s="37"/>
      <c r="H247" s="42"/>
      <c r="I247" s="46"/>
      <c r="J247" s="46"/>
      <c r="K247" s="24"/>
      <c r="L247" s="24"/>
      <c r="M247" s="39"/>
      <c r="N247" s="39"/>
      <c r="O247" s="38"/>
      <c r="P247" s="24"/>
    </row>
    <row r="248" spans="1:16" x14ac:dyDescent="0.25">
      <c r="A248" s="24"/>
      <c r="B248" s="36"/>
      <c r="C248" s="24"/>
      <c r="D248" s="24"/>
      <c r="E248" s="24"/>
      <c r="F248" s="24"/>
      <c r="G248" s="37"/>
      <c r="H248" s="42"/>
      <c r="I248" s="46"/>
      <c r="J248" s="46"/>
      <c r="K248" s="24"/>
      <c r="L248" s="24"/>
      <c r="M248" s="39"/>
      <c r="N248" s="39"/>
      <c r="O248" s="38"/>
      <c r="P248" s="24"/>
    </row>
    <row r="249" spans="1:16" x14ac:dyDescent="0.25">
      <c r="A249" s="24"/>
      <c r="B249" s="36"/>
      <c r="C249" s="24"/>
      <c r="D249" s="24"/>
      <c r="E249" s="24"/>
      <c r="F249" s="24"/>
      <c r="G249" s="37"/>
      <c r="H249" s="42"/>
      <c r="I249" s="46"/>
      <c r="J249" s="46"/>
      <c r="K249" s="24"/>
      <c r="L249" s="24"/>
      <c r="M249" s="39"/>
      <c r="N249" s="39"/>
      <c r="O249" s="38"/>
      <c r="P249" s="24"/>
    </row>
    <row r="250" spans="1:16" x14ac:dyDescent="0.25">
      <c r="A250" s="24"/>
      <c r="B250" s="36"/>
      <c r="C250" s="24"/>
      <c r="D250" s="24"/>
      <c r="E250" s="24"/>
      <c r="F250" s="24"/>
      <c r="G250" s="37"/>
      <c r="H250" s="42"/>
      <c r="I250" s="46"/>
      <c r="J250" s="46"/>
      <c r="K250" s="24"/>
      <c r="L250" s="24"/>
      <c r="M250" s="39"/>
      <c r="N250" s="39"/>
      <c r="O250" s="38"/>
      <c r="P250" s="24"/>
    </row>
    <row r="251" spans="1:16" x14ac:dyDescent="0.25">
      <c r="A251" s="24"/>
      <c r="B251" s="36"/>
      <c r="C251" s="24"/>
      <c r="D251" s="24"/>
      <c r="E251" s="24"/>
      <c r="F251" s="24"/>
      <c r="G251" s="37"/>
      <c r="H251" s="42"/>
      <c r="I251" s="46"/>
      <c r="J251" s="46"/>
      <c r="K251" s="24"/>
      <c r="L251" s="24"/>
      <c r="M251" s="39"/>
      <c r="N251" s="39"/>
      <c r="O251" s="38"/>
      <c r="P251" s="24"/>
    </row>
    <row r="252" spans="1:16" x14ac:dyDescent="0.25">
      <c r="A252" s="24"/>
      <c r="B252" s="36"/>
      <c r="C252" s="24"/>
      <c r="D252" s="24"/>
      <c r="E252" s="24"/>
      <c r="F252" s="24"/>
      <c r="G252" s="37"/>
      <c r="H252" s="42"/>
      <c r="I252" s="46"/>
      <c r="J252" s="46"/>
      <c r="K252" s="24"/>
      <c r="L252" s="24"/>
      <c r="M252" s="39"/>
      <c r="N252" s="39"/>
      <c r="O252" s="38"/>
      <c r="P252" s="24"/>
    </row>
    <row r="253" spans="1:16" x14ac:dyDescent="0.25">
      <c r="A253" s="24"/>
      <c r="B253" s="36"/>
      <c r="C253" s="24"/>
      <c r="D253" s="24"/>
      <c r="E253" s="24"/>
      <c r="F253" s="24"/>
      <c r="G253" s="37"/>
      <c r="H253" s="42"/>
      <c r="I253" s="46"/>
      <c r="J253" s="46"/>
      <c r="K253" s="24"/>
      <c r="L253" s="24"/>
      <c r="M253" s="39"/>
      <c r="N253" s="39"/>
      <c r="O253" s="38"/>
      <c r="P253" s="24"/>
    </row>
    <row r="254" spans="1:16" x14ac:dyDescent="0.25">
      <c r="A254" s="24"/>
      <c r="B254" s="36"/>
      <c r="C254" s="24"/>
      <c r="D254" s="24"/>
      <c r="E254" s="24"/>
      <c r="F254" s="24"/>
      <c r="G254" s="37"/>
      <c r="H254" s="42"/>
      <c r="I254" s="46"/>
      <c r="J254" s="46"/>
      <c r="K254" s="24"/>
      <c r="L254" s="24"/>
      <c r="M254" s="39"/>
      <c r="N254" s="39"/>
      <c r="O254" s="38"/>
      <c r="P254" s="24"/>
    </row>
    <row r="255" spans="1:16" x14ac:dyDescent="0.25">
      <c r="A255" s="24"/>
      <c r="B255" s="36"/>
      <c r="C255" s="24"/>
      <c r="D255" s="24"/>
      <c r="E255" s="24"/>
      <c r="F255" s="24"/>
      <c r="G255" s="37"/>
      <c r="H255" s="42"/>
      <c r="I255" s="46"/>
      <c r="J255" s="46"/>
      <c r="K255" s="24"/>
      <c r="L255" s="24"/>
      <c r="M255" s="39"/>
      <c r="N255" s="39"/>
      <c r="O255" s="38"/>
      <c r="P255" s="24"/>
    </row>
    <row r="256" spans="1:16" x14ac:dyDescent="0.25">
      <c r="A256" s="24"/>
      <c r="B256" s="36"/>
      <c r="C256" s="24"/>
      <c r="D256" s="24"/>
      <c r="E256" s="24"/>
      <c r="F256" s="24"/>
      <c r="G256" s="37"/>
      <c r="H256" s="42"/>
      <c r="I256" s="46"/>
      <c r="J256" s="46"/>
      <c r="K256" s="24"/>
      <c r="L256" s="24"/>
      <c r="M256" s="39"/>
      <c r="N256" s="39"/>
      <c r="O256" s="38"/>
      <c r="P256" s="24"/>
    </row>
    <row r="257" spans="1:16" x14ac:dyDescent="0.25">
      <c r="A257" s="24"/>
      <c r="B257" s="36"/>
      <c r="C257" s="24"/>
      <c r="D257" s="24"/>
      <c r="E257" s="24"/>
      <c r="F257" s="24"/>
      <c r="G257" s="37"/>
      <c r="H257" s="42"/>
      <c r="I257" s="46"/>
      <c r="J257" s="46"/>
      <c r="K257" s="24"/>
      <c r="L257" s="24"/>
      <c r="M257" s="39"/>
      <c r="N257" s="39"/>
      <c r="O257" s="38"/>
      <c r="P257" s="24"/>
    </row>
    <row r="258" spans="1:16" x14ac:dyDescent="0.25">
      <c r="A258" s="24"/>
      <c r="B258" s="36"/>
      <c r="C258" s="24"/>
      <c r="D258" s="24"/>
      <c r="E258" s="24"/>
      <c r="F258" s="24"/>
      <c r="G258" s="37"/>
      <c r="H258" s="42"/>
      <c r="I258" s="46"/>
      <c r="J258" s="46"/>
      <c r="K258" s="24"/>
      <c r="L258" s="24"/>
      <c r="M258" s="39"/>
      <c r="N258" s="39"/>
      <c r="O258" s="38"/>
      <c r="P258" s="24"/>
    </row>
    <row r="259" spans="1:16" x14ac:dyDescent="0.25">
      <c r="A259" s="24"/>
      <c r="B259" s="36"/>
      <c r="C259" s="24"/>
      <c r="D259" s="24"/>
      <c r="E259" s="24"/>
      <c r="F259" s="24"/>
      <c r="G259" s="37"/>
      <c r="H259" s="42"/>
      <c r="I259" s="46"/>
      <c r="J259" s="46"/>
      <c r="K259" s="24"/>
      <c r="L259" s="24"/>
      <c r="M259" s="39"/>
      <c r="N259" s="39"/>
      <c r="O259" s="38"/>
      <c r="P259" s="24"/>
    </row>
    <row r="260" spans="1:16" x14ac:dyDescent="0.25">
      <c r="A260" s="24"/>
      <c r="B260" s="36"/>
      <c r="C260" s="24"/>
      <c r="D260" s="24"/>
      <c r="E260" s="24"/>
      <c r="F260" s="24"/>
      <c r="G260" s="37"/>
      <c r="H260" s="42"/>
      <c r="I260" s="46"/>
      <c r="J260" s="46"/>
      <c r="K260" s="24"/>
      <c r="L260" s="24"/>
      <c r="M260" s="39"/>
      <c r="N260" s="39"/>
      <c r="O260" s="38"/>
      <c r="P260" s="24"/>
    </row>
    <row r="261" spans="1:16" x14ac:dyDescent="0.25">
      <c r="A261" s="24"/>
      <c r="B261" s="36"/>
      <c r="C261" s="24"/>
      <c r="D261" s="24"/>
      <c r="E261" s="24"/>
      <c r="F261" s="24"/>
      <c r="G261" s="37"/>
      <c r="H261" s="42"/>
      <c r="I261" s="46"/>
      <c r="J261" s="46"/>
      <c r="K261" s="24"/>
      <c r="L261" s="24"/>
      <c r="M261" s="39"/>
      <c r="N261" s="39"/>
      <c r="O261" s="38"/>
      <c r="P261" s="24"/>
    </row>
    <row r="262" spans="1:16" x14ac:dyDescent="0.25">
      <c r="A262" s="24"/>
      <c r="B262" s="36"/>
      <c r="C262" s="24"/>
      <c r="D262" s="24"/>
      <c r="E262" s="24"/>
      <c r="F262" s="24"/>
      <c r="G262" s="37"/>
      <c r="H262" s="42"/>
      <c r="I262" s="46"/>
      <c r="J262" s="46"/>
      <c r="K262" s="24"/>
      <c r="L262" s="24"/>
      <c r="M262" s="39"/>
      <c r="N262" s="39"/>
      <c r="O262" s="38"/>
      <c r="P262" s="24"/>
    </row>
    <row r="263" spans="1:16" x14ac:dyDescent="0.25">
      <c r="A263" s="24"/>
      <c r="B263" s="36"/>
      <c r="C263" s="24"/>
      <c r="D263" s="24"/>
      <c r="E263" s="24"/>
      <c r="F263" s="24"/>
      <c r="G263" s="37"/>
      <c r="H263" s="42"/>
      <c r="I263" s="46"/>
      <c r="J263" s="46"/>
      <c r="K263" s="24"/>
      <c r="L263" s="24"/>
      <c r="M263" s="39"/>
      <c r="N263" s="39"/>
      <c r="O263" s="38"/>
      <c r="P263" s="24"/>
    </row>
    <row r="264" spans="1:16" x14ac:dyDescent="0.25">
      <c r="A264" s="24"/>
      <c r="B264" s="36"/>
      <c r="C264" s="24"/>
      <c r="D264" s="24"/>
      <c r="E264" s="24"/>
      <c r="F264" s="24"/>
      <c r="G264" s="37"/>
      <c r="H264" s="42"/>
      <c r="I264" s="46"/>
      <c r="J264" s="46"/>
      <c r="K264" s="24"/>
      <c r="L264" s="24"/>
      <c r="M264" s="39"/>
      <c r="N264" s="39"/>
      <c r="O264" s="38"/>
      <c r="P264" s="24"/>
    </row>
    <row r="265" spans="1:16" x14ac:dyDescent="0.25">
      <c r="A265" s="24"/>
      <c r="B265" s="36"/>
      <c r="C265" s="24"/>
      <c r="D265" s="24"/>
      <c r="E265" s="24"/>
      <c r="F265" s="24"/>
      <c r="G265" s="37"/>
      <c r="H265" s="42"/>
      <c r="I265" s="46"/>
      <c r="J265" s="46"/>
      <c r="K265" s="24"/>
      <c r="L265" s="24"/>
      <c r="M265" s="39"/>
      <c r="N265" s="39"/>
      <c r="O265" s="38"/>
      <c r="P265" s="24"/>
    </row>
    <row r="266" spans="1:16" x14ac:dyDescent="0.25">
      <c r="A266" s="24"/>
      <c r="B266" s="36"/>
      <c r="C266" s="24"/>
      <c r="D266" s="24"/>
      <c r="E266" s="24"/>
      <c r="F266" s="24"/>
      <c r="G266" s="37"/>
      <c r="H266" s="42"/>
      <c r="I266" s="46"/>
      <c r="J266" s="46"/>
      <c r="K266" s="24"/>
      <c r="L266" s="24"/>
      <c r="M266" s="39"/>
      <c r="N266" s="39"/>
      <c r="O266" s="38"/>
      <c r="P266" s="24"/>
    </row>
    <row r="267" spans="1:16" x14ac:dyDescent="0.25">
      <c r="A267" s="24"/>
      <c r="B267" s="36"/>
      <c r="C267" s="24"/>
      <c r="D267" s="24"/>
      <c r="E267" s="24"/>
      <c r="F267" s="24"/>
      <c r="G267" s="37"/>
      <c r="H267" s="42"/>
      <c r="I267" s="46"/>
      <c r="J267" s="46"/>
      <c r="K267" s="24"/>
      <c r="L267" s="24"/>
      <c r="M267" s="39"/>
      <c r="N267" s="39"/>
      <c r="O267" s="38"/>
      <c r="P267" s="24"/>
    </row>
    <row r="268" spans="1:16" x14ac:dyDescent="0.25">
      <c r="A268" s="24"/>
      <c r="B268" s="36"/>
      <c r="C268" s="24"/>
      <c r="D268" s="24"/>
      <c r="E268" s="24"/>
      <c r="F268" s="24"/>
      <c r="G268" s="37"/>
      <c r="H268" s="42"/>
      <c r="I268" s="46"/>
      <c r="J268" s="46"/>
      <c r="K268" s="24"/>
      <c r="L268" s="24"/>
      <c r="M268" s="39"/>
      <c r="N268" s="39"/>
      <c r="O268" s="38"/>
      <c r="P268" s="24"/>
    </row>
    <row r="269" spans="1:16" x14ac:dyDescent="0.25">
      <c r="A269" s="24"/>
      <c r="B269" s="36"/>
      <c r="C269" s="24"/>
      <c r="D269" s="24"/>
      <c r="E269" s="24"/>
      <c r="F269" s="24"/>
      <c r="G269" s="37"/>
      <c r="H269" s="42"/>
      <c r="I269" s="46"/>
      <c r="J269" s="46"/>
      <c r="K269" s="24"/>
      <c r="L269" s="24"/>
      <c r="M269" s="39"/>
      <c r="N269" s="39"/>
      <c r="O269" s="38"/>
      <c r="P269" s="24"/>
    </row>
    <row r="270" spans="1:16" x14ac:dyDescent="0.25">
      <c r="A270" s="24"/>
      <c r="B270" s="36"/>
      <c r="C270" s="24"/>
      <c r="D270" s="24"/>
      <c r="E270" s="24"/>
      <c r="F270" s="24"/>
      <c r="G270" s="37"/>
      <c r="H270" s="42"/>
      <c r="I270" s="46"/>
      <c r="J270" s="46"/>
      <c r="K270" s="24"/>
      <c r="L270" s="24"/>
      <c r="M270" s="39"/>
      <c r="N270" s="39"/>
      <c r="O270" s="38"/>
      <c r="P270" s="24"/>
    </row>
    <row r="271" spans="1:16" x14ac:dyDescent="0.25">
      <c r="A271" s="24"/>
      <c r="B271" s="36"/>
      <c r="C271" s="24"/>
      <c r="D271" s="24"/>
      <c r="E271" s="24"/>
      <c r="F271" s="24"/>
      <c r="G271" s="37"/>
      <c r="H271" s="42"/>
      <c r="I271" s="46"/>
      <c r="J271" s="46"/>
      <c r="K271" s="24"/>
      <c r="L271" s="24"/>
      <c r="M271" s="39"/>
      <c r="N271" s="39"/>
      <c r="O271" s="38"/>
      <c r="P271" s="24"/>
    </row>
    <row r="272" spans="1:16" x14ac:dyDescent="0.25">
      <c r="A272" s="24"/>
      <c r="B272" s="36"/>
      <c r="C272" s="24"/>
      <c r="D272" s="24"/>
      <c r="E272" s="24"/>
      <c r="F272" s="24"/>
      <c r="G272" s="37"/>
      <c r="H272" s="42"/>
      <c r="I272" s="46"/>
      <c r="J272" s="46"/>
      <c r="K272" s="24"/>
      <c r="L272" s="24"/>
      <c r="M272" s="39"/>
      <c r="N272" s="39"/>
      <c r="O272" s="38"/>
      <c r="P272" s="24"/>
    </row>
    <row r="273" spans="1:16" x14ac:dyDescent="0.25">
      <c r="A273" s="24"/>
      <c r="B273" s="36"/>
      <c r="C273" s="24"/>
      <c r="D273" s="24"/>
      <c r="E273" s="24"/>
      <c r="F273" s="24"/>
      <c r="G273" s="37"/>
      <c r="H273" s="42"/>
      <c r="I273" s="46"/>
      <c r="J273" s="46"/>
      <c r="K273" s="24"/>
      <c r="L273" s="24"/>
      <c r="M273" s="39"/>
      <c r="N273" s="39"/>
      <c r="O273" s="38"/>
      <c r="P273" s="24"/>
    </row>
    <row r="274" spans="1:16" x14ac:dyDescent="0.25">
      <c r="A274" s="24"/>
      <c r="B274" s="36"/>
      <c r="C274" s="24"/>
      <c r="D274" s="24"/>
      <c r="E274" s="24"/>
      <c r="F274" s="24"/>
      <c r="G274" s="37"/>
      <c r="H274" s="42"/>
      <c r="I274" s="46"/>
      <c r="J274" s="46"/>
      <c r="K274" s="24"/>
      <c r="L274" s="24"/>
      <c r="M274" s="39"/>
      <c r="N274" s="39"/>
      <c r="O274" s="38"/>
      <c r="P274" s="24"/>
    </row>
    <row r="275" spans="1:16" x14ac:dyDescent="0.25">
      <c r="A275" s="24"/>
      <c r="B275" s="36"/>
      <c r="C275" s="24"/>
      <c r="D275" s="24"/>
      <c r="E275" s="24"/>
      <c r="F275" s="24"/>
      <c r="G275" s="37"/>
      <c r="H275" s="42"/>
      <c r="I275" s="46"/>
      <c r="J275" s="46"/>
      <c r="K275" s="24"/>
      <c r="L275" s="24"/>
      <c r="M275" s="39"/>
      <c r="N275" s="39"/>
      <c r="O275" s="38"/>
      <c r="P275" s="24"/>
    </row>
    <row r="276" spans="1:16" x14ac:dyDescent="0.25">
      <c r="A276" s="24"/>
      <c r="B276" s="36"/>
      <c r="C276" s="24"/>
      <c r="D276" s="24"/>
      <c r="E276" s="24"/>
      <c r="F276" s="24"/>
      <c r="G276" s="37"/>
      <c r="H276" s="42"/>
      <c r="I276" s="46"/>
      <c r="J276" s="46"/>
      <c r="K276" s="24"/>
      <c r="L276" s="24"/>
      <c r="M276" s="39"/>
      <c r="N276" s="39"/>
      <c r="O276" s="38"/>
      <c r="P276" s="24"/>
    </row>
    <row r="277" spans="1:16" x14ac:dyDescent="0.25">
      <c r="A277" s="24"/>
      <c r="B277" s="36"/>
      <c r="C277" s="24"/>
      <c r="D277" s="24"/>
      <c r="E277" s="24"/>
      <c r="F277" s="24"/>
      <c r="G277" s="37"/>
      <c r="H277" s="42"/>
      <c r="I277" s="46"/>
      <c r="J277" s="46"/>
      <c r="K277" s="24"/>
      <c r="L277" s="24"/>
      <c r="M277" s="39"/>
      <c r="N277" s="39"/>
      <c r="O277" s="38"/>
      <c r="P277" s="24"/>
    </row>
    <row r="278" spans="1:16" x14ac:dyDescent="0.25">
      <c r="A278" s="24"/>
      <c r="B278" s="36"/>
      <c r="C278" s="24"/>
      <c r="D278" s="24"/>
      <c r="E278" s="24"/>
      <c r="F278" s="24"/>
      <c r="G278" s="37"/>
      <c r="H278" s="42"/>
      <c r="I278" s="46"/>
      <c r="J278" s="46"/>
      <c r="K278" s="24"/>
      <c r="L278" s="24"/>
      <c r="M278" s="39"/>
      <c r="N278" s="39"/>
      <c r="O278" s="38"/>
      <c r="P278" s="24"/>
    </row>
    <row r="279" spans="1:16" x14ac:dyDescent="0.25">
      <c r="A279" s="24"/>
      <c r="B279" s="36"/>
      <c r="C279" s="24"/>
      <c r="D279" s="24"/>
      <c r="E279" s="24"/>
      <c r="F279" s="24"/>
      <c r="G279" s="37"/>
      <c r="H279" s="42"/>
      <c r="I279" s="46"/>
      <c r="J279" s="46"/>
      <c r="K279" s="24"/>
      <c r="L279" s="24"/>
      <c r="M279" s="39"/>
      <c r="N279" s="39"/>
      <c r="O279" s="38"/>
      <c r="P279" s="24"/>
    </row>
    <row r="280" spans="1:16" x14ac:dyDescent="0.25">
      <c r="A280" s="24"/>
      <c r="B280" s="36"/>
      <c r="C280" s="24"/>
      <c r="D280" s="24"/>
      <c r="E280" s="24"/>
      <c r="F280" s="24"/>
      <c r="G280" s="37"/>
      <c r="H280" s="42"/>
      <c r="I280" s="46"/>
      <c r="J280" s="46"/>
      <c r="K280" s="24"/>
      <c r="L280" s="24"/>
      <c r="M280" s="39"/>
      <c r="N280" s="39"/>
      <c r="O280" s="38"/>
      <c r="P280" s="24"/>
    </row>
    <row r="281" spans="1:16" x14ac:dyDescent="0.25">
      <c r="A281" s="24"/>
      <c r="B281" s="36"/>
      <c r="C281" s="24"/>
      <c r="D281" s="24"/>
      <c r="E281" s="24"/>
      <c r="F281" s="24"/>
      <c r="G281" s="37"/>
      <c r="H281" s="42"/>
      <c r="I281" s="46"/>
      <c r="J281" s="46"/>
      <c r="K281" s="24"/>
      <c r="L281" s="24"/>
      <c r="M281" s="39"/>
      <c r="N281" s="39"/>
      <c r="O281" s="38"/>
      <c r="P281" s="24"/>
    </row>
    <row r="282" spans="1:16" x14ac:dyDescent="0.25">
      <c r="A282" s="24"/>
      <c r="B282" s="36"/>
      <c r="C282" s="24"/>
      <c r="D282" s="24"/>
      <c r="E282" s="24"/>
      <c r="F282" s="24"/>
      <c r="G282" s="37"/>
      <c r="H282" s="42"/>
      <c r="I282" s="46"/>
      <c r="J282" s="46"/>
      <c r="K282" s="24"/>
      <c r="L282" s="24"/>
      <c r="M282" s="39"/>
      <c r="N282" s="39"/>
      <c r="O282" s="38"/>
      <c r="P282" s="24"/>
    </row>
    <row r="283" spans="1:16" x14ac:dyDescent="0.25">
      <c r="A283" s="24"/>
      <c r="B283" s="36"/>
      <c r="C283" s="24"/>
      <c r="D283" s="24"/>
      <c r="E283" s="24"/>
      <c r="F283" s="24"/>
      <c r="G283" s="37"/>
      <c r="H283" s="42"/>
      <c r="I283" s="46"/>
      <c r="J283" s="46"/>
      <c r="K283" s="24"/>
      <c r="L283" s="24"/>
      <c r="M283" s="39"/>
      <c r="N283" s="39"/>
      <c r="O283" s="38"/>
      <c r="P283" s="24"/>
    </row>
    <row r="284" spans="1:16" x14ac:dyDescent="0.25">
      <c r="A284" s="24"/>
      <c r="B284" s="36"/>
      <c r="C284" s="24"/>
      <c r="D284" s="24"/>
      <c r="E284" s="24"/>
      <c r="F284" s="24"/>
      <c r="G284" s="37"/>
      <c r="H284" s="42"/>
      <c r="I284" s="46"/>
      <c r="J284" s="46"/>
      <c r="K284" s="24"/>
      <c r="L284" s="24"/>
      <c r="M284" s="39"/>
      <c r="N284" s="39"/>
      <c r="O284" s="38"/>
      <c r="P284" s="24"/>
    </row>
    <row r="285" spans="1:16" x14ac:dyDescent="0.25">
      <c r="A285" s="24"/>
      <c r="B285" s="36"/>
      <c r="C285" s="24"/>
      <c r="D285" s="24"/>
      <c r="E285" s="24"/>
      <c r="F285" s="24"/>
      <c r="G285" s="37"/>
      <c r="H285" s="42"/>
      <c r="I285" s="46"/>
      <c r="J285" s="46"/>
      <c r="K285" s="24"/>
      <c r="L285" s="24"/>
      <c r="M285" s="39"/>
      <c r="N285" s="39"/>
      <c r="O285" s="38"/>
      <c r="P285" s="24"/>
    </row>
    <row r="286" spans="1:16" x14ac:dyDescent="0.25">
      <c r="A286" s="24"/>
      <c r="B286" s="36"/>
      <c r="C286" s="24"/>
      <c r="D286" s="24"/>
      <c r="E286" s="24"/>
      <c r="F286" s="24"/>
      <c r="G286" s="37"/>
      <c r="H286" s="42"/>
      <c r="I286" s="46"/>
      <c r="J286" s="46"/>
      <c r="K286" s="24"/>
      <c r="L286" s="24"/>
      <c r="M286" s="39"/>
      <c r="N286" s="39"/>
      <c r="O286" s="38"/>
      <c r="P286" s="24"/>
    </row>
    <row r="287" spans="1:16" x14ac:dyDescent="0.25">
      <c r="A287" s="24"/>
      <c r="B287" s="36"/>
      <c r="C287" s="24"/>
      <c r="D287" s="24"/>
      <c r="E287" s="24"/>
      <c r="F287" s="24"/>
      <c r="G287" s="37"/>
      <c r="H287" s="42"/>
      <c r="I287" s="46"/>
      <c r="J287" s="46"/>
      <c r="K287" s="24"/>
      <c r="L287" s="24"/>
      <c r="M287" s="39"/>
      <c r="N287" s="39"/>
      <c r="O287" s="38"/>
      <c r="P287" s="24"/>
    </row>
    <row r="288" spans="1:16" x14ac:dyDescent="0.25">
      <c r="A288" s="24"/>
      <c r="B288" s="36"/>
      <c r="C288" s="24"/>
      <c r="D288" s="24"/>
      <c r="E288" s="24"/>
      <c r="F288" s="24"/>
      <c r="G288" s="37"/>
      <c r="H288" s="42"/>
      <c r="I288" s="46"/>
      <c r="J288" s="46"/>
      <c r="K288" s="24"/>
      <c r="L288" s="24"/>
      <c r="M288" s="39"/>
      <c r="N288" s="39"/>
      <c r="O288" s="38"/>
      <c r="P288" s="24"/>
    </row>
    <row r="289" spans="1:16" x14ac:dyDescent="0.25">
      <c r="A289" s="24"/>
      <c r="B289" s="36"/>
      <c r="C289" s="24"/>
      <c r="D289" s="24"/>
      <c r="E289" s="24"/>
      <c r="F289" s="24"/>
      <c r="G289" s="37"/>
      <c r="H289" s="42"/>
      <c r="I289" s="46"/>
      <c r="J289" s="46"/>
      <c r="K289" s="24"/>
      <c r="L289" s="24"/>
      <c r="M289" s="39"/>
      <c r="N289" s="39"/>
      <c r="O289" s="38"/>
      <c r="P289" s="24"/>
    </row>
    <row r="290" spans="1:16" x14ac:dyDescent="0.25">
      <c r="A290" s="24"/>
      <c r="B290" s="36"/>
      <c r="C290" s="24"/>
      <c r="D290" s="24"/>
      <c r="E290" s="24"/>
      <c r="F290" s="24"/>
      <c r="G290" s="37"/>
      <c r="H290" s="42"/>
      <c r="I290" s="46"/>
      <c r="J290" s="46"/>
      <c r="K290" s="24"/>
      <c r="L290" s="24"/>
      <c r="M290" s="39"/>
      <c r="N290" s="39"/>
      <c r="O290" s="38"/>
      <c r="P290" s="24"/>
    </row>
    <row r="291" spans="1:16" x14ac:dyDescent="0.25">
      <c r="A291" s="24"/>
      <c r="B291" s="36"/>
      <c r="C291" s="24"/>
      <c r="D291" s="24"/>
      <c r="E291" s="24"/>
      <c r="F291" s="24"/>
      <c r="G291" s="37"/>
      <c r="H291" s="42"/>
      <c r="I291" s="46"/>
      <c r="J291" s="46"/>
      <c r="K291" s="24"/>
      <c r="L291" s="24"/>
      <c r="M291" s="39"/>
      <c r="N291" s="39"/>
      <c r="O291" s="38"/>
      <c r="P291" s="24"/>
    </row>
    <row r="292" spans="1:16" x14ac:dyDescent="0.25">
      <c r="A292" s="24"/>
      <c r="B292" s="36"/>
      <c r="C292" s="24"/>
      <c r="D292" s="24"/>
      <c r="E292" s="24"/>
      <c r="F292" s="24"/>
      <c r="G292" s="37"/>
      <c r="H292" s="42"/>
      <c r="I292" s="46"/>
      <c r="J292" s="46"/>
      <c r="K292" s="24"/>
      <c r="L292" s="24"/>
      <c r="M292" s="39"/>
      <c r="N292" s="39"/>
      <c r="O292" s="38"/>
      <c r="P292" s="24"/>
    </row>
    <row r="293" spans="1:16" x14ac:dyDescent="0.25">
      <c r="A293" s="24"/>
      <c r="B293" s="36"/>
      <c r="C293" s="24"/>
      <c r="D293" s="24"/>
      <c r="E293" s="24"/>
      <c r="F293" s="24"/>
      <c r="G293" s="37"/>
      <c r="H293" s="42"/>
      <c r="I293" s="46"/>
      <c r="J293" s="46"/>
      <c r="K293" s="24"/>
      <c r="L293" s="24"/>
      <c r="M293" s="39"/>
      <c r="N293" s="39"/>
      <c r="O293" s="38"/>
      <c r="P293" s="24"/>
    </row>
    <row r="294" spans="1:16" x14ac:dyDescent="0.25">
      <c r="A294" s="24"/>
      <c r="B294" s="36"/>
      <c r="C294" s="24"/>
      <c r="D294" s="24"/>
      <c r="E294" s="24"/>
      <c r="F294" s="24"/>
      <c r="G294" s="37"/>
      <c r="H294" s="42"/>
      <c r="I294" s="46"/>
      <c r="J294" s="46"/>
      <c r="K294" s="24"/>
      <c r="L294" s="24"/>
      <c r="M294" s="39"/>
      <c r="N294" s="39"/>
      <c r="O294" s="38"/>
      <c r="P294" s="24"/>
    </row>
    <row r="295" spans="1:16" x14ac:dyDescent="0.25">
      <c r="A295" s="24"/>
      <c r="B295" s="36"/>
      <c r="C295" s="24"/>
      <c r="D295" s="24"/>
      <c r="E295" s="24"/>
      <c r="F295" s="24"/>
      <c r="G295" s="37"/>
      <c r="H295" s="42"/>
      <c r="I295" s="46"/>
      <c r="J295" s="46"/>
      <c r="K295" s="24"/>
      <c r="L295" s="24"/>
      <c r="M295" s="39"/>
      <c r="N295" s="39"/>
      <c r="O295" s="38"/>
      <c r="P295" s="24"/>
    </row>
    <row r="296" spans="1:16" x14ac:dyDescent="0.25">
      <c r="A296" s="24"/>
      <c r="B296" s="36"/>
      <c r="C296" s="24"/>
      <c r="D296" s="24"/>
      <c r="E296" s="24"/>
      <c r="F296" s="24"/>
      <c r="G296" s="37"/>
      <c r="H296" s="42"/>
      <c r="I296" s="46"/>
      <c r="J296" s="46"/>
      <c r="K296" s="24"/>
      <c r="L296" s="24"/>
      <c r="M296" s="39"/>
      <c r="N296" s="39"/>
      <c r="O296" s="38"/>
      <c r="P296" s="24"/>
    </row>
    <row r="297" spans="1:16" x14ac:dyDescent="0.25">
      <c r="A297" s="24"/>
      <c r="B297" s="36"/>
      <c r="C297" s="24"/>
      <c r="D297" s="24"/>
      <c r="E297" s="24"/>
      <c r="F297" s="24"/>
      <c r="G297" s="37"/>
      <c r="H297" s="42"/>
      <c r="I297" s="46"/>
      <c r="J297" s="46"/>
      <c r="K297" s="24"/>
      <c r="L297" s="24"/>
      <c r="M297" s="39"/>
      <c r="N297" s="39"/>
      <c r="O297" s="38"/>
      <c r="P297" s="24"/>
    </row>
    <row r="298" spans="1:16" x14ac:dyDescent="0.25">
      <c r="A298" s="24"/>
      <c r="B298" s="36"/>
      <c r="C298" s="24"/>
      <c r="D298" s="24"/>
      <c r="E298" s="24"/>
      <c r="F298" s="24"/>
      <c r="G298" s="37"/>
      <c r="H298" s="42"/>
      <c r="I298" s="46"/>
      <c r="J298" s="46"/>
      <c r="K298" s="24"/>
      <c r="L298" s="24"/>
      <c r="M298" s="39"/>
      <c r="N298" s="39"/>
      <c r="O298" s="38"/>
      <c r="P298" s="24"/>
    </row>
    <row r="299" spans="1:16" x14ac:dyDescent="0.25">
      <c r="A299" s="24"/>
      <c r="B299" s="36"/>
      <c r="C299" s="24"/>
      <c r="D299" s="24"/>
      <c r="E299" s="24"/>
      <c r="F299" s="24"/>
      <c r="G299" s="37"/>
      <c r="H299" s="42"/>
      <c r="I299" s="46"/>
      <c r="J299" s="46"/>
      <c r="K299" s="24"/>
      <c r="L299" s="24"/>
      <c r="M299" s="39"/>
      <c r="N299" s="39"/>
      <c r="O299" s="38"/>
      <c r="P299" s="24"/>
    </row>
    <row r="300" spans="1:16" x14ac:dyDescent="0.25">
      <c r="A300" s="24"/>
      <c r="B300" s="36"/>
      <c r="C300" s="24"/>
      <c r="D300" s="24"/>
      <c r="E300" s="24"/>
      <c r="F300" s="24"/>
      <c r="G300" s="37"/>
      <c r="H300" s="42"/>
      <c r="I300" s="46"/>
      <c r="J300" s="46"/>
      <c r="K300" s="24"/>
      <c r="L300" s="24"/>
      <c r="M300" s="39"/>
      <c r="N300" s="39"/>
      <c r="O300" s="38"/>
      <c r="P300" s="24"/>
    </row>
    <row r="301" spans="1:16" x14ac:dyDescent="0.25">
      <c r="A301" s="24"/>
      <c r="B301" s="36"/>
      <c r="C301" s="24"/>
      <c r="D301" s="24"/>
      <c r="E301" s="24"/>
      <c r="F301" s="24"/>
      <c r="G301" s="37"/>
      <c r="H301" s="42"/>
      <c r="I301" s="46"/>
      <c r="J301" s="46"/>
      <c r="K301" s="24"/>
      <c r="L301" s="24"/>
      <c r="M301" s="39"/>
      <c r="N301" s="39"/>
      <c r="O301" s="38"/>
      <c r="P301" s="24"/>
    </row>
    <row r="302" spans="1:16" x14ac:dyDescent="0.25">
      <c r="A302" s="24"/>
      <c r="B302" s="36"/>
      <c r="C302" s="24"/>
      <c r="D302" s="24"/>
      <c r="E302" s="24"/>
      <c r="F302" s="24"/>
      <c r="G302" s="37"/>
      <c r="H302" s="42"/>
      <c r="I302" s="46"/>
      <c r="J302" s="46"/>
      <c r="K302" s="24"/>
      <c r="L302" s="24"/>
      <c r="M302" s="39"/>
      <c r="N302" s="39"/>
      <c r="O302" s="38"/>
      <c r="P302" s="24"/>
    </row>
    <row r="303" spans="1:16" x14ac:dyDescent="0.25">
      <c r="A303" s="24"/>
      <c r="B303" s="36"/>
      <c r="C303" s="24"/>
      <c r="D303" s="24"/>
      <c r="E303" s="24"/>
      <c r="F303" s="24"/>
      <c r="G303" s="37"/>
      <c r="H303" s="42"/>
      <c r="I303" s="46"/>
      <c r="J303" s="46"/>
      <c r="K303" s="24"/>
      <c r="L303" s="24"/>
      <c r="M303" s="39"/>
      <c r="N303" s="39"/>
      <c r="O303" s="38"/>
      <c r="P303" s="24"/>
    </row>
    <row r="304" spans="1:16" x14ac:dyDescent="0.25">
      <c r="A304" s="24"/>
      <c r="B304" s="36"/>
      <c r="C304" s="24"/>
      <c r="D304" s="24"/>
      <c r="E304" s="24"/>
      <c r="F304" s="24"/>
      <c r="G304" s="37"/>
      <c r="H304" s="42"/>
      <c r="I304" s="46"/>
      <c r="J304" s="46"/>
      <c r="K304" s="24"/>
      <c r="L304" s="24"/>
      <c r="M304" s="39"/>
      <c r="N304" s="39"/>
      <c r="O304" s="38"/>
      <c r="P304" s="24"/>
    </row>
    <row r="305" spans="1:16" x14ac:dyDescent="0.25">
      <c r="A305" s="24"/>
      <c r="B305" s="36"/>
      <c r="C305" s="24"/>
      <c r="D305" s="24"/>
      <c r="E305" s="24"/>
      <c r="F305" s="24"/>
      <c r="G305" s="37"/>
      <c r="H305" s="42"/>
      <c r="I305" s="46"/>
      <c r="J305" s="46"/>
      <c r="K305" s="24"/>
      <c r="L305" s="24"/>
      <c r="M305" s="39"/>
      <c r="N305" s="39"/>
      <c r="O305" s="38"/>
      <c r="P305" s="24"/>
    </row>
    <row r="306" spans="1:16" x14ac:dyDescent="0.25">
      <c r="A306" s="24"/>
      <c r="B306" s="36"/>
      <c r="C306" s="24"/>
      <c r="D306" s="24"/>
      <c r="E306" s="24"/>
      <c r="F306" s="24"/>
      <c r="G306" s="37"/>
      <c r="H306" s="42"/>
      <c r="I306" s="46"/>
      <c r="J306" s="46"/>
      <c r="K306" s="24"/>
      <c r="L306" s="24"/>
      <c r="M306" s="39"/>
      <c r="N306" s="39"/>
      <c r="O306" s="38"/>
      <c r="P306" s="24"/>
    </row>
    <row r="307" spans="1:16" x14ac:dyDescent="0.25">
      <c r="A307" s="24"/>
      <c r="B307" s="36"/>
      <c r="C307" s="24"/>
      <c r="D307" s="24"/>
      <c r="E307" s="24"/>
      <c r="F307" s="24"/>
      <c r="G307" s="37"/>
      <c r="H307" s="42"/>
      <c r="I307" s="46"/>
      <c r="J307" s="46"/>
      <c r="K307" s="24"/>
      <c r="L307" s="24"/>
      <c r="M307" s="39"/>
      <c r="N307" s="39"/>
      <c r="O307" s="38"/>
      <c r="P307" s="24"/>
    </row>
    <row r="308" spans="1:16" x14ac:dyDescent="0.25">
      <c r="A308" s="24"/>
      <c r="B308" s="36"/>
      <c r="C308" s="24"/>
      <c r="D308" s="24"/>
      <c r="E308" s="24"/>
      <c r="F308" s="24"/>
      <c r="G308" s="37"/>
      <c r="H308" s="42"/>
      <c r="I308" s="46"/>
      <c r="J308" s="46"/>
      <c r="K308" s="24"/>
      <c r="L308" s="24"/>
      <c r="M308" s="39"/>
      <c r="N308" s="39"/>
      <c r="O308" s="38"/>
      <c r="P308" s="24"/>
    </row>
    <row r="309" spans="1:16" x14ac:dyDescent="0.25">
      <c r="A309" s="24"/>
      <c r="B309" s="36"/>
      <c r="C309" s="24"/>
      <c r="D309" s="24"/>
      <c r="E309" s="24"/>
      <c r="F309" s="24"/>
      <c r="G309" s="37"/>
      <c r="H309" s="42"/>
      <c r="I309" s="46"/>
      <c r="J309" s="46"/>
      <c r="K309" s="24"/>
      <c r="L309" s="24"/>
      <c r="M309" s="39"/>
      <c r="N309" s="39"/>
      <c r="O309" s="38"/>
      <c r="P309" s="24"/>
    </row>
    <row r="310" spans="1:16" x14ac:dyDescent="0.25">
      <c r="A310" s="24"/>
      <c r="B310" s="36"/>
      <c r="C310" s="24"/>
      <c r="D310" s="24"/>
      <c r="E310" s="24"/>
      <c r="F310" s="24"/>
      <c r="G310" s="37"/>
      <c r="H310" s="42"/>
      <c r="I310" s="46"/>
      <c r="J310" s="46"/>
      <c r="K310" s="24"/>
      <c r="L310" s="24"/>
      <c r="M310" s="39"/>
      <c r="N310" s="39"/>
      <c r="O310" s="38"/>
      <c r="P310" s="24"/>
    </row>
    <row r="311" spans="1:16" x14ac:dyDescent="0.25">
      <c r="A311" s="24"/>
      <c r="B311" s="36"/>
      <c r="C311" s="24"/>
      <c r="D311" s="24"/>
      <c r="E311" s="24"/>
      <c r="F311" s="24"/>
      <c r="G311" s="37"/>
      <c r="H311" s="42"/>
      <c r="I311" s="46"/>
      <c r="J311" s="46"/>
      <c r="K311" s="24"/>
      <c r="L311" s="24"/>
      <c r="M311" s="39"/>
      <c r="N311" s="39"/>
      <c r="O311" s="38"/>
      <c r="P311" s="24"/>
    </row>
    <row r="312" spans="1:16" x14ac:dyDescent="0.25">
      <c r="A312" s="24"/>
      <c r="B312" s="36"/>
      <c r="C312" s="24"/>
      <c r="D312" s="24"/>
      <c r="E312" s="24"/>
      <c r="F312" s="24"/>
      <c r="G312" s="37"/>
      <c r="H312" s="42"/>
      <c r="I312" s="46"/>
      <c r="J312" s="46"/>
      <c r="K312" s="24"/>
      <c r="L312" s="24"/>
      <c r="M312" s="39"/>
      <c r="N312" s="39"/>
      <c r="O312" s="38"/>
      <c r="P312" s="24"/>
    </row>
    <row r="313" spans="1:16" x14ac:dyDescent="0.25">
      <c r="A313" s="24"/>
      <c r="B313" s="36"/>
      <c r="C313" s="24"/>
      <c r="D313" s="24"/>
      <c r="E313" s="24"/>
      <c r="F313" s="24"/>
      <c r="G313" s="37"/>
      <c r="H313" s="42"/>
      <c r="I313" s="46"/>
      <c r="J313" s="46"/>
      <c r="K313" s="24"/>
      <c r="L313" s="24"/>
      <c r="M313" s="39"/>
      <c r="N313" s="39"/>
      <c r="O313" s="38"/>
      <c r="P313" s="24"/>
    </row>
    <row r="314" spans="1:16" x14ac:dyDescent="0.25">
      <c r="A314" s="24"/>
      <c r="B314" s="36"/>
      <c r="C314" s="24"/>
      <c r="D314" s="24"/>
      <c r="E314" s="24"/>
      <c r="F314" s="24"/>
      <c r="G314" s="37"/>
      <c r="H314" s="42"/>
      <c r="I314" s="46"/>
      <c r="J314" s="46"/>
      <c r="K314" s="24"/>
      <c r="L314" s="24"/>
      <c r="M314" s="39"/>
      <c r="N314" s="39"/>
      <c r="O314" s="38"/>
      <c r="P314" s="24"/>
    </row>
    <row r="315" spans="1:16" x14ac:dyDescent="0.25">
      <c r="A315" s="24"/>
      <c r="B315" s="36"/>
      <c r="C315" s="24"/>
      <c r="D315" s="24"/>
      <c r="E315" s="24"/>
      <c r="F315" s="24"/>
      <c r="G315" s="37"/>
      <c r="H315" s="42"/>
      <c r="I315" s="46"/>
      <c r="J315" s="46"/>
      <c r="K315" s="24"/>
      <c r="L315" s="24"/>
      <c r="M315" s="39"/>
      <c r="N315" s="39"/>
      <c r="O315" s="38"/>
      <c r="P315" s="24"/>
    </row>
    <row r="316" spans="1:16" x14ac:dyDescent="0.25">
      <c r="A316" s="24"/>
      <c r="B316" s="36"/>
      <c r="C316" s="24"/>
      <c r="D316" s="24"/>
      <c r="E316" s="24"/>
      <c r="F316" s="24"/>
      <c r="G316" s="37"/>
      <c r="H316" s="42"/>
      <c r="I316" s="46"/>
      <c r="J316" s="46"/>
      <c r="K316" s="24"/>
      <c r="L316" s="24"/>
      <c r="M316" s="39"/>
      <c r="N316" s="39"/>
      <c r="O316" s="38"/>
      <c r="P316" s="24"/>
    </row>
    <row r="317" spans="1:16" x14ac:dyDescent="0.25">
      <c r="A317" s="24"/>
      <c r="B317" s="36"/>
      <c r="C317" s="24"/>
      <c r="D317" s="24"/>
      <c r="E317" s="24"/>
      <c r="F317" s="24"/>
      <c r="G317" s="37"/>
      <c r="H317" s="42"/>
      <c r="I317" s="46"/>
      <c r="J317" s="46"/>
      <c r="K317" s="24"/>
      <c r="L317" s="24"/>
      <c r="M317" s="39"/>
      <c r="N317" s="39"/>
      <c r="O317" s="38"/>
      <c r="P317" s="24"/>
    </row>
    <row r="318" spans="1:16" x14ac:dyDescent="0.25">
      <c r="A318" s="24"/>
      <c r="B318" s="36"/>
      <c r="C318" s="24"/>
      <c r="D318" s="24"/>
      <c r="E318" s="24"/>
      <c r="F318" s="24"/>
      <c r="G318" s="37"/>
      <c r="H318" s="42"/>
      <c r="I318" s="46"/>
      <c r="J318" s="46"/>
      <c r="K318" s="24"/>
      <c r="L318" s="24"/>
      <c r="M318" s="39"/>
      <c r="N318" s="39"/>
      <c r="O318" s="38"/>
      <c r="P318" s="24"/>
    </row>
    <row r="319" spans="1:16" x14ac:dyDescent="0.25">
      <c r="A319" s="24"/>
      <c r="B319" s="36"/>
      <c r="C319" s="24"/>
      <c r="D319" s="24"/>
      <c r="E319" s="24"/>
      <c r="F319" s="24"/>
      <c r="G319" s="37"/>
      <c r="H319" s="42"/>
      <c r="I319" s="46"/>
      <c r="J319" s="46"/>
      <c r="K319" s="24"/>
      <c r="L319" s="24"/>
      <c r="M319" s="39"/>
      <c r="N319" s="39"/>
      <c r="O319" s="38"/>
      <c r="P319" s="24"/>
    </row>
    <row r="320" spans="1:16" x14ac:dyDescent="0.25">
      <c r="A320" s="24"/>
      <c r="B320" s="36"/>
      <c r="C320" s="24"/>
      <c r="D320" s="24"/>
      <c r="E320" s="24"/>
      <c r="F320" s="24"/>
      <c r="G320" s="37"/>
      <c r="H320" s="42"/>
      <c r="I320" s="46"/>
      <c r="J320" s="46"/>
      <c r="K320" s="24"/>
      <c r="L320" s="24"/>
      <c r="M320" s="39"/>
      <c r="N320" s="39"/>
      <c r="O320" s="38"/>
      <c r="P320" s="24"/>
    </row>
    <row r="321" spans="1:16" x14ac:dyDescent="0.25">
      <c r="A321" s="24"/>
      <c r="B321" s="36"/>
      <c r="C321" s="24"/>
      <c r="D321" s="24"/>
      <c r="E321" s="24"/>
      <c r="F321" s="24"/>
      <c r="G321" s="37"/>
      <c r="H321" s="42"/>
      <c r="I321" s="46"/>
      <c r="J321" s="46"/>
      <c r="K321" s="24"/>
      <c r="L321" s="24"/>
      <c r="M321" s="39"/>
      <c r="N321" s="39"/>
      <c r="O321" s="38"/>
      <c r="P321" s="24"/>
    </row>
    <row r="322" spans="1:16" x14ac:dyDescent="0.25">
      <c r="A322" s="24"/>
      <c r="B322" s="36"/>
      <c r="C322" s="24"/>
      <c r="D322" s="24"/>
      <c r="E322" s="24"/>
      <c r="F322" s="24"/>
      <c r="G322" s="37"/>
      <c r="H322" s="42"/>
      <c r="I322" s="46"/>
      <c r="J322" s="46"/>
      <c r="K322" s="24"/>
      <c r="L322" s="24"/>
      <c r="M322" s="39"/>
      <c r="N322" s="39"/>
      <c r="O322" s="38"/>
      <c r="P322" s="24"/>
    </row>
    <row r="323" spans="1:16" x14ac:dyDescent="0.25">
      <c r="A323" s="24"/>
      <c r="B323" s="36"/>
      <c r="C323" s="24"/>
      <c r="D323" s="24"/>
      <c r="E323" s="24"/>
      <c r="F323" s="24"/>
      <c r="G323" s="37"/>
      <c r="H323" s="42"/>
      <c r="I323" s="46"/>
      <c r="J323" s="46"/>
      <c r="K323" s="24"/>
      <c r="L323" s="24"/>
      <c r="M323" s="39"/>
      <c r="N323" s="39"/>
      <c r="O323" s="38"/>
      <c r="P323" s="24"/>
    </row>
    <row r="324" spans="1:16" x14ac:dyDescent="0.25">
      <c r="A324" s="24"/>
      <c r="B324" s="36"/>
      <c r="C324" s="24"/>
      <c r="D324" s="24"/>
      <c r="E324" s="24"/>
      <c r="F324" s="24"/>
      <c r="G324" s="37"/>
      <c r="H324" s="42"/>
      <c r="I324" s="46"/>
      <c r="J324" s="46"/>
      <c r="K324" s="24"/>
      <c r="L324" s="24"/>
      <c r="M324" s="39"/>
      <c r="N324" s="39"/>
      <c r="O324" s="38"/>
      <c r="P324" s="24"/>
    </row>
    <row r="325" spans="1:16" x14ac:dyDescent="0.25">
      <c r="A325" s="24"/>
      <c r="B325" s="36"/>
      <c r="C325" s="24"/>
      <c r="D325" s="24"/>
      <c r="E325" s="24"/>
      <c r="F325" s="24"/>
      <c r="G325" s="37"/>
      <c r="H325" s="42"/>
      <c r="I325" s="46"/>
      <c r="J325" s="46"/>
      <c r="K325" s="24"/>
      <c r="L325" s="24"/>
      <c r="M325" s="39"/>
      <c r="N325" s="39"/>
      <c r="O325" s="38"/>
      <c r="P325" s="24"/>
    </row>
    <row r="326" spans="1:16" x14ac:dyDescent="0.25">
      <c r="A326" s="24"/>
      <c r="B326" s="36"/>
      <c r="C326" s="24"/>
      <c r="D326" s="24"/>
      <c r="E326" s="24"/>
      <c r="F326" s="24"/>
      <c r="G326" s="37"/>
      <c r="H326" s="42"/>
      <c r="I326" s="46"/>
      <c r="J326" s="46"/>
      <c r="K326" s="24"/>
      <c r="L326" s="24"/>
      <c r="M326" s="39"/>
      <c r="N326" s="39"/>
      <c r="O326" s="38"/>
      <c r="P326" s="24"/>
    </row>
    <row r="327" spans="1:16" x14ac:dyDescent="0.25">
      <c r="A327" s="24"/>
      <c r="B327" s="36"/>
      <c r="C327" s="24"/>
      <c r="D327" s="24"/>
      <c r="E327" s="24"/>
      <c r="F327" s="24"/>
      <c r="G327" s="37"/>
      <c r="H327" s="42"/>
      <c r="I327" s="46"/>
      <c r="J327" s="46"/>
      <c r="K327" s="24"/>
      <c r="L327" s="24"/>
      <c r="M327" s="39"/>
      <c r="N327" s="39"/>
      <c r="O327" s="38"/>
      <c r="P327" s="24"/>
    </row>
    <row r="328" spans="1:16" x14ac:dyDescent="0.25">
      <c r="A328" s="24"/>
      <c r="B328" s="36"/>
      <c r="C328" s="24"/>
      <c r="D328" s="24"/>
      <c r="E328" s="24"/>
      <c r="F328" s="24"/>
      <c r="G328" s="37"/>
      <c r="H328" s="42"/>
      <c r="I328" s="46"/>
      <c r="J328" s="46"/>
      <c r="K328" s="24"/>
      <c r="L328" s="24"/>
      <c r="M328" s="39"/>
      <c r="N328" s="39"/>
      <c r="O328" s="38"/>
      <c r="P328" s="24"/>
    </row>
    <row r="329" spans="1:16" x14ac:dyDescent="0.25">
      <c r="A329" s="24"/>
      <c r="B329" s="36"/>
      <c r="C329" s="24"/>
      <c r="D329" s="24"/>
      <c r="E329" s="24"/>
      <c r="F329" s="24"/>
      <c r="G329" s="37"/>
      <c r="H329" s="42"/>
      <c r="I329" s="46"/>
      <c r="J329" s="46"/>
      <c r="K329" s="24"/>
      <c r="L329" s="24"/>
      <c r="M329" s="39"/>
      <c r="N329" s="39"/>
      <c r="O329" s="38"/>
      <c r="P329" s="24"/>
    </row>
    <row r="330" spans="1:16" x14ac:dyDescent="0.25">
      <c r="A330" s="24"/>
      <c r="B330" s="36"/>
      <c r="C330" s="24"/>
      <c r="D330" s="24"/>
      <c r="E330" s="24"/>
      <c r="F330" s="24"/>
      <c r="G330" s="37"/>
      <c r="H330" s="42"/>
      <c r="I330" s="46"/>
      <c r="J330" s="46"/>
      <c r="K330" s="24"/>
      <c r="L330" s="24"/>
      <c r="M330" s="39"/>
      <c r="N330" s="39"/>
      <c r="O330" s="38"/>
      <c r="P330" s="24"/>
    </row>
    <row r="331" spans="1:16" x14ac:dyDescent="0.25">
      <c r="A331" s="24"/>
      <c r="B331" s="36"/>
      <c r="C331" s="24"/>
      <c r="D331" s="24"/>
      <c r="E331" s="24"/>
      <c r="F331" s="24"/>
      <c r="G331" s="37"/>
      <c r="H331" s="42"/>
      <c r="I331" s="46"/>
      <c r="J331" s="46"/>
      <c r="K331" s="24"/>
      <c r="L331" s="24"/>
      <c r="M331" s="39"/>
      <c r="N331" s="39"/>
      <c r="O331" s="38"/>
      <c r="P331" s="24"/>
    </row>
    <row r="332" spans="1:16" x14ac:dyDescent="0.25">
      <c r="A332" s="24"/>
      <c r="B332" s="36"/>
      <c r="C332" s="24"/>
      <c r="D332" s="24"/>
      <c r="E332" s="24"/>
      <c r="F332" s="24"/>
      <c r="G332" s="37"/>
      <c r="H332" s="42"/>
      <c r="I332" s="46"/>
      <c r="J332" s="46"/>
      <c r="K332" s="24"/>
      <c r="L332" s="24"/>
      <c r="M332" s="39"/>
      <c r="N332" s="39"/>
      <c r="O332" s="38"/>
      <c r="P332" s="24"/>
    </row>
    <row r="333" spans="1:16" x14ac:dyDescent="0.25">
      <c r="A333" s="24"/>
      <c r="B333" s="36"/>
      <c r="C333" s="24"/>
      <c r="D333" s="24"/>
      <c r="E333" s="24"/>
      <c r="F333" s="24"/>
      <c r="G333" s="37"/>
      <c r="H333" s="42"/>
      <c r="I333" s="46"/>
      <c r="J333" s="46"/>
      <c r="K333" s="24"/>
      <c r="L333" s="24"/>
      <c r="M333" s="39"/>
      <c r="N333" s="39"/>
      <c r="O333" s="38"/>
      <c r="P333" s="24"/>
    </row>
    <row r="334" spans="1:16" x14ac:dyDescent="0.25">
      <c r="A334" s="24"/>
      <c r="B334" s="36"/>
      <c r="C334" s="24"/>
      <c r="D334" s="24"/>
      <c r="E334" s="24"/>
      <c r="F334" s="24"/>
      <c r="G334" s="37"/>
      <c r="H334" s="42"/>
      <c r="I334" s="46"/>
      <c r="J334" s="46"/>
      <c r="K334" s="24"/>
      <c r="L334" s="24"/>
      <c r="M334" s="39"/>
      <c r="N334" s="39"/>
      <c r="O334" s="38"/>
      <c r="P334" s="24"/>
    </row>
    <row r="335" spans="1:16" x14ac:dyDescent="0.25">
      <c r="A335" s="24"/>
      <c r="B335" s="36"/>
      <c r="C335" s="24"/>
      <c r="D335" s="24"/>
      <c r="E335" s="24"/>
      <c r="F335" s="24"/>
      <c r="G335" s="37"/>
      <c r="H335" s="42"/>
      <c r="I335" s="46"/>
      <c r="J335" s="46"/>
      <c r="K335" s="24"/>
      <c r="L335" s="24"/>
      <c r="M335" s="39"/>
      <c r="N335" s="39"/>
      <c r="O335" s="38"/>
      <c r="P335" s="24"/>
    </row>
    <row r="336" spans="1:16" x14ac:dyDescent="0.25">
      <c r="A336" s="24"/>
      <c r="B336" s="36"/>
      <c r="C336" s="24"/>
      <c r="D336" s="24"/>
      <c r="E336" s="24"/>
      <c r="F336" s="24"/>
      <c r="G336" s="37"/>
      <c r="H336" s="42"/>
      <c r="I336" s="46"/>
      <c r="J336" s="46"/>
      <c r="K336" s="24"/>
      <c r="L336" s="24"/>
      <c r="M336" s="39"/>
      <c r="N336" s="39"/>
      <c r="O336" s="38"/>
      <c r="P336" s="24"/>
    </row>
    <row r="337" spans="1:16" x14ac:dyDescent="0.25">
      <c r="A337" s="24"/>
      <c r="B337" s="36"/>
      <c r="C337" s="24"/>
      <c r="D337" s="24"/>
      <c r="E337" s="24"/>
      <c r="F337" s="24"/>
      <c r="G337" s="37"/>
      <c r="H337" s="42"/>
      <c r="I337" s="46"/>
      <c r="J337" s="46"/>
      <c r="K337" s="24"/>
      <c r="L337" s="24"/>
      <c r="M337" s="39"/>
      <c r="N337" s="39"/>
      <c r="O337" s="38"/>
      <c r="P337" s="24"/>
    </row>
    <row r="338" spans="1:16" x14ac:dyDescent="0.25">
      <c r="A338" s="24"/>
      <c r="B338" s="36"/>
      <c r="C338" s="24"/>
      <c r="D338" s="24"/>
      <c r="E338" s="24"/>
      <c r="F338" s="24"/>
      <c r="G338" s="37"/>
      <c r="H338" s="42"/>
      <c r="I338" s="46"/>
      <c r="J338" s="46"/>
      <c r="K338" s="24"/>
      <c r="L338" s="24"/>
      <c r="M338" s="39"/>
      <c r="N338" s="39"/>
      <c r="O338" s="38"/>
      <c r="P338" s="24"/>
    </row>
    <row r="339" spans="1:16" x14ac:dyDescent="0.25">
      <c r="A339" s="24"/>
      <c r="B339" s="36"/>
      <c r="C339" s="24"/>
      <c r="D339" s="24"/>
      <c r="E339" s="24"/>
      <c r="F339" s="24"/>
      <c r="G339" s="37"/>
      <c r="H339" s="42"/>
      <c r="I339" s="46"/>
      <c r="J339" s="46"/>
      <c r="K339" s="24"/>
      <c r="L339" s="24"/>
      <c r="M339" s="39"/>
      <c r="N339" s="39"/>
      <c r="O339" s="38"/>
      <c r="P339" s="24"/>
    </row>
    <row r="340" spans="1:16" x14ac:dyDescent="0.25">
      <c r="A340" s="24"/>
      <c r="B340" s="36"/>
      <c r="C340" s="24"/>
      <c r="D340" s="24"/>
      <c r="E340" s="24"/>
      <c r="F340" s="24"/>
      <c r="G340" s="37"/>
      <c r="H340" s="42"/>
      <c r="I340" s="46"/>
      <c r="J340" s="46"/>
      <c r="K340" s="24"/>
      <c r="L340" s="24"/>
      <c r="M340" s="39"/>
      <c r="N340" s="39"/>
      <c r="O340" s="38"/>
      <c r="P340" s="24"/>
    </row>
    <row r="341" spans="1:16" x14ac:dyDescent="0.25">
      <c r="A341" s="24"/>
      <c r="B341" s="36"/>
      <c r="C341" s="24"/>
      <c r="D341" s="24"/>
      <c r="E341" s="24"/>
      <c r="F341" s="24"/>
      <c r="G341" s="37"/>
      <c r="H341" s="42"/>
      <c r="I341" s="46"/>
      <c r="J341" s="46"/>
      <c r="K341" s="24"/>
      <c r="L341" s="24"/>
      <c r="M341" s="39"/>
      <c r="N341" s="39"/>
      <c r="O341" s="38"/>
      <c r="P341" s="24"/>
    </row>
    <row r="342" spans="1:16" x14ac:dyDescent="0.25">
      <c r="A342" s="24"/>
      <c r="B342" s="36"/>
      <c r="C342" s="24"/>
      <c r="D342" s="24"/>
      <c r="E342" s="24"/>
      <c r="F342" s="24"/>
      <c r="G342" s="37"/>
      <c r="H342" s="42"/>
      <c r="I342" s="46"/>
      <c r="J342" s="46"/>
      <c r="K342" s="24"/>
      <c r="L342" s="24"/>
      <c r="M342" s="39"/>
      <c r="N342" s="39"/>
      <c r="O342" s="38"/>
      <c r="P342" s="24"/>
    </row>
    <row r="343" spans="1:16" x14ac:dyDescent="0.25">
      <c r="A343" s="24"/>
      <c r="B343" s="36"/>
      <c r="C343" s="24"/>
      <c r="D343" s="24"/>
      <c r="E343" s="24"/>
      <c r="F343" s="24"/>
      <c r="G343" s="37"/>
      <c r="H343" s="42"/>
      <c r="I343" s="46"/>
      <c r="J343" s="46"/>
      <c r="K343" s="24"/>
      <c r="L343" s="24"/>
      <c r="M343" s="39"/>
      <c r="N343" s="39"/>
      <c r="O343" s="38"/>
      <c r="P343" s="24"/>
    </row>
    <row r="344" spans="1:16" x14ac:dyDescent="0.25">
      <c r="A344" s="24"/>
      <c r="B344" s="36"/>
      <c r="C344" s="24"/>
      <c r="D344" s="24"/>
      <c r="E344" s="24"/>
      <c r="F344" s="24"/>
      <c r="G344" s="37"/>
      <c r="H344" s="42"/>
      <c r="I344" s="46"/>
      <c r="J344" s="46"/>
      <c r="K344" s="24"/>
      <c r="L344" s="24"/>
      <c r="M344" s="39"/>
      <c r="N344" s="39"/>
      <c r="O344" s="38"/>
      <c r="P344" s="24"/>
    </row>
    <row r="345" spans="1:16" x14ac:dyDescent="0.25">
      <c r="A345" s="24"/>
      <c r="B345" s="36"/>
      <c r="C345" s="24"/>
      <c r="D345" s="24"/>
      <c r="E345" s="24"/>
      <c r="F345" s="24"/>
      <c r="G345" s="37"/>
      <c r="H345" s="42"/>
      <c r="I345" s="46"/>
      <c r="J345" s="46"/>
      <c r="K345" s="24"/>
      <c r="L345" s="24"/>
      <c r="M345" s="39"/>
      <c r="N345" s="39"/>
      <c r="O345" s="38"/>
      <c r="P345" s="24"/>
    </row>
    <row r="346" spans="1:16" x14ac:dyDescent="0.25">
      <c r="A346" s="24"/>
      <c r="B346" s="36"/>
      <c r="C346" s="24"/>
      <c r="D346" s="24"/>
      <c r="E346" s="24"/>
      <c r="F346" s="24"/>
      <c r="G346" s="37"/>
      <c r="H346" s="42"/>
      <c r="I346" s="46"/>
      <c r="J346" s="46"/>
      <c r="K346" s="24"/>
      <c r="L346" s="24"/>
      <c r="M346" s="39"/>
      <c r="N346" s="39"/>
      <c r="O346" s="38"/>
      <c r="P346" s="24"/>
    </row>
    <row r="347" spans="1:16" x14ac:dyDescent="0.25">
      <c r="A347" s="24"/>
      <c r="B347" s="36"/>
      <c r="C347" s="24"/>
      <c r="D347" s="24"/>
      <c r="E347" s="24"/>
      <c r="F347" s="24"/>
      <c r="G347" s="37"/>
      <c r="H347" s="42"/>
      <c r="I347" s="46"/>
      <c r="J347" s="46"/>
      <c r="K347" s="24"/>
      <c r="L347" s="24"/>
      <c r="M347" s="39"/>
      <c r="N347" s="39"/>
      <c r="O347" s="38"/>
      <c r="P347" s="24"/>
    </row>
    <row r="348" spans="1:16" x14ac:dyDescent="0.25">
      <c r="A348" s="24"/>
      <c r="B348" s="36"/>
      <c r="C348" s="24"/>
      <c r="D348" s="24"/>
      <c r="E348" s="24"/>
      <c r="F348" s="24"/>
      <c r="G348" s="37"/>
      <c r="H348" s="42"/>
      <c r="I348" s="46"/>
      <c r="J348" s="46"/>
      <c r="K348" s="24"/>
      <c r="L348" s="24"/>
      <c r="M348" s="39"/>
      <c r="N348" s="39"/>
      <c r="O348" s="38"/>
      <c r="P348" s="24"/>
    </row>
    <row r="349" spans="1:16" x14ac:dyDescent="0.25">
      <c r="A349" s="24"/>
      <c r="B349" s="36"/>
      <c r="C349" s="24"/>
      <c r="D349" s="24"/>
      <c r="E349" s="24"/>
      <c r="F349" s="24"/>
      <c r="G349" s="37"/>
      <c r="H349" s="42"/>
      <c r="I349" s="46"/>
      <c r="J349" s="46"/>
      <c r="K349" s="24"/>
      <c r="L349" s="24"/>
      <c r="M349" s="39"/>
      <c r="N349" s="39"/>
      <c r="O349" s="38"/>
      <c r="P349" s="24"/>
    </row>
    <row r="350" spans="1:16" x14ac:dyDescent="0.25">
      <c r="A350" s="24"/>
      <c r="B350" s="36"/>
      <c r="C350" s="24"/>
      <c r="D350" s="24"/>
      <c r="E350" s="24"/>
      <c r="F350" s="24"/>
      <c r="G350" s="37"/>
      <c r="H350" s="42"/>
      <c r="I350" s="46"/>
      <c r="J350" s="46"/>
      <c r="K350" s="24"/>
      <c r="L350" s="24"/>
      <c r="M350" s="39"/>
      <c r="N350" s="39"/>
      <c r="O350" s="38"/>
      <c r="P350" s="24"/>
    </row>
    <row r="351" spans="1:16" x14ac:dyDescent="0.25">
      <c r="A351" s="24"/>
      <c r="B351" s="36"/>
      <c r="C351" s="24"/>
      <c r="D351" s="24"/>
      <c r="E351" s="24"/>
      <c r="F351" s="24"/>
      <c r="G351" s="37"/>
      <c r="H351" s="42"/>
      <c r="I351" s="46"/>
      <c r="J351" s="46"/>
      <c r="K351" s="24"/>
      <c r="L351" s="24"/>
      <c r="M351" s="39"/>
      <c r="N351" s="39"/>
      <c r="O351" s="38"/>
      <c r="P351" s="24"/>
    </row>
    <row r="352" spans="1:16" x14ac:dyDescent="0.25">
      <c r="A352" s="24"/>
      <c r="B352" s="36"/>
      <c r="C352" s="24"/>
      <c r="D352" s="24"/>
      <c r="E352" s="24"/>
      <c r="F352" s="24"/>
      <c r="G352" s="37"/>
      <c r="H352" s="42"/>
      <c r="I352" s="46"/>
      <c r="J352" s="46"/>
      <c r="K352" s="24"/>
      <c r="L352" s="24"/>
      <c r="M352" s="39"/>
      <c r="N352" s="39"/>
      <c r="O352" s="38"/>
      <c r="P352" s="24"/>
    </row>
    <row r="353" spans="1:16" x14ac:dyDescent="0.25">
      <c r="A353" s="24"/>
      <c r="B353" s="36"/>
      <c r="C353" s="24"/>
      <c r="D353" s="24"/>
      <c r="E353" s="24"/>
      <c r="F353" s="24"/>
      <c r="G353" s="37"/>
      <c r="H353" s="42"/>
      <c r="I353" s="46"/>
      <c r="J353" s="46"/>
      <c r="K353" s="24"/>
      <c r="L353" s="24"/>
      <c r="M353" s="39"/>
      <c r="N353" s="39"/>
      <c r="O353" s="38"/>
      <c r="P353" s="24"/>
    </row>
    <row r="354" spans="1:16" x14ac:dyDescent="0.25">
      <c r="A354" s="24"/>
      <c r="B354" s="36"/>
      <c r="C354" s="24"/>
      <c r="D354" s="24"/>
      <c r="E354" s="24"/>
      <c r="F354" s="24"/>
      <c r="G354" s="37"/>
      <c r="H354" s="42"/>
      <c r="I354" s="46"/>
      <c r="J354" s="46"/>
      <c r="K354" s="24"/>
      <c r="L354" s="24"/>
      <c r="M354" s="39"/>
      <c r="N354" s="39"/>
      <c r="O354" s="38"/>
      <c r="P354" s="24"/>
    </row>
    <row r="355" spans="1:16" x14ac:dyDescent="0.25">
      <c r="A355" s="24"/>
      <c r="B355" s="36"/>
      <c r="C355" s="24"/>
      <c r="D355" s="24"/>
      <c r="E355" s="24"/>
      <c r="F355" s="24"/>
      <c r="G355" s="37"/>
      <c r="H355" s="42"/>
      <c r="I355" s="46"/>
      <c r="J355" s="46"/>
      <c r="K355" s="24"/>
      <c r="L355" s="24"/>
      <c r="M355" s="39"/>
      <c r="N355" s="39"/>
      <c r="O355" s="38"/>
      <c r="P355" s="24"/>
    </row>
    <row r="356" spans="1:16" x14ac:dyDescent="0.25">
      <c r="A356" s="24"/>
      <c r="B356" s="36"/>
      <c r="C356" s="24"/>
      <c r="D356" s="24"/>
      <c r="E356" s="24"/>
      <c r="F356" s="24"/>
      <c r="G356" s="37"/>
      <c r="H356" s="42"/>
      <c r="I356" s="46"/>
      <c r="J356" s="46"/>
      <c r="K356" s="24"/>
      <c r="L356" s="24"/>
      <c r="M356" s="39"/>
      <c r="N356" s="39"/>
      <c r="O356" s="38"/>
      <c r="P356" s="24"/>
    </row>
    <row r="357" spans="1:16" x14ac:dyDescent="0.25">
      <c r="A357" s="24"/>
      <c r="B357" s="36"/>
      <c r="C357" s="24"/>
      <c r="D357" s="24"/>
      <c r="E357" s="24"/>
      <c r="F357" s="24"/>
      <c r="G357" s="37"/>
      <c r="H357" s="42"/>
      <c r="I357" s="46"/>
      <c r="J357" s="46"/>
      <c r="K357" s="24"/>
      <c r="L357" s="24"/>
      <c r="M357" s="39"/>
      <c r="N357" s="39"/>
      <c r="O357" s="38"/>
      <c r="P357" s="24"/>
    </row>
    <row r="358" spans="1:16" x14ac:dyDescent="0.25">
      <c r="A358" s="24"/>
      <c r="B358" s="36"/>
      <c r="C358" s="24"/>
      <c r="D358" s="24"/>
      <c r="E358" s="24"/>
      <c r="F358" s="24"/>
      <c r="G358" s="37"/>
      <c r="H358" s="42"/>
      <c r="I358" s="46"/>
      <c r="J358" s="46"/>
      <c r="K358" s="24"/>
      <c r="L358" s="24"/>
      <c r="M358" s="39"/>
      <c r="N358" s="39"/>
      <c r="O358" s="38"/>
      <c r="P358" s="24"/>
    </row>
    <row r="359" spans="1:16" x14ac:dyDescent="0.25">
      <c r="A359" s="24"/>
      <c r="B359" s="36"/>
      <c r="C359" s="24"/>
      <c r="D359" s="24"/>
      <c r="E359" s="24"/>
      <c r="F359" s="24"/>
      <c r="G359" s="37"/>
      <c r="H359" s="42"/>
      <c r="I359" s="46"/>
      <c r="J359" s="46"/>
      <c r="K359" s="24"/>
      <c r="L359" s="24"/>
      <c r="M359" s="39"/>
      <c r="N359" s="39"/>
      <c r="O359" s="38"/>
      <c r="P359" s="24"/>
    </row>
    <row r="360" spans="1:16" x14ac:dyDescent="0.25">
      <c r="A360" s="24"/>
      <c r="B360" s="36"/>
      <c r="C360" s="24"/>
      <c r="D360" s="24"/>
      <c r="E360" s="24"/>
      <c r="F360" s="24"/>
      <c r="G360" s="37"/>
      <c r="H360" s="42"/>
      <c r="I360" s="46"/>
      <c r="J360" s="46"/>
      <c r="K360" s="24"/>
      <c r="L360" s="24"/>
      <c r="M360" s="39"/>
      <c r="N360" s="39"/>
      <c r="O360" s="38"/>
      <c r="P360" s="24"/>
    </row>
    <row r="361" spans="1:16" x14ac:dyDescent="0.25">
      <c r="A361" s="24"/>
      <c r="B361" s="36"/>
      <c r="C361" s="24"/>
      <c r="D361" s="24"/>
      <c r="E361" s="24"/>
      <c r="F361" s="24"/>
      <c r="G361" s="37"/>
      <c r="H361" s="42"/>
      <c r="I361" s="46"/>
      <c r="J361" s="46"/>
      <c r="K361" s="24"/>
      <c r="L361" s="24"/>
      <c r="M361" s="39"/>
      <c r="N361" s="39"/>
      <c r="O361" s="38"/>
      <c r="P361" s="24"/>
    </row>
    <row r="362" spans="1:16" x14ac:dyDescent="0.25">
      <c r="A362" s="24"/>
      <c r="B362" s="36"/>
      <c r="C362" s="24"/>
      <c r="D362" s="24"/>
      <c r="E362" s="24"/>
      <c r="F362" s="24"/>
      <c r="G362" s="37"/>
      <c r="H362" s="42"/>
      <c r="I362" s="46"/>
      <c r="J362" s="46"/>
      <c r="K362" s="24"/>
      <c r="L362" s="24"/>
      <c r="M362" s="39"/>
      <c r="N362" s="39"/>
      <c r="O362" s="38"/>
      <c r="P362" s="24"/>
    </row>
    <row r="363" spans="1:16" x14ac:dyDescent="0.25">
      <c r="A363" s="24"/>
      <c r="B363" s="36"/>
      <c r="C363" s="24"/>
      <c r="D363" s="24"/>
      <c r="E363" s="24"/>
      <c r="F363" s="24"/>
      <c r="G363" s="37"/>
      <c r="H363" s="42"/>
      <c r="I363" s="46"/>
      <c r="J363" s="46"/>
      <c r="K363" s="24"/>
      <c r="L363" s="24"/>
      <c r="M363" s="39"/>
      <c r="N363" s="39"/>
      <c r="O363" s="38"/>
      <c r="P363" s="24"/>
    </row>
    <row r="364" spans="1:16" x14ac:dyDescent="0.25">
      <c r="A364" s="24"/>
      <c r="B364" s="36"/>
      <c r="C364" s="24"/>
      <c r="D364" s="24"/>
      <c r="E364" s="24"/>
      <c r="F364" s="24"/>
      <c r="G364" s="37"/>
      <c r="H364" s="42"/>
      <c r="I364" s="46"/>
      <c r="J364" s="46"/>
      <c r="K364" s="24"/>
      <c r="L364" s="24"/>
      <c r="M364" s="39"/>
      <c r="N364" s="39"/>
      <c r="O364" s="38"/>
      <c r="P364" s="24"/>
    </row>
    <row r="365" spans="1:16" x14ac:dyDescent="0.25">
      <c r="A365" s="24"/>
      <c r="B365" s="36"/>
      <c r="C365" s="24"/>
      <c r="D365" s="24"/>
      <c r="E365" s="24"/>
      <c r="F365" s="24"/>
      <c r="G365" s="37"/>
      <c r="H365" s="42"/>
      <c r="I365" s="46"/>
      <c r="J365" s="46"/>
      <c r="K365" s="24"/>
      <c r="L365" s="24"/>
      <c r="M365" s="39"/>
      <c r="N365" s="39"/>
      <c r="O365" s="38"/>
      <c r="P365" s="24"/>
    </row>
    <row r="366" spans="1:16" x14ac:dyDescent="0.25">
      <c r="A366" s="24"/>
      <c r="B366" s="36"/>
      <c r="C366" s="24"/>
      <c r="D366" s="24"/>
      <c r="E366" s="24"/>
      <c r="F366" s="24"/>
      <c r="G366" s="37"/>
      <c r="H366" s="42"/>
      <c r="I366" s="46"/>
      <c r="J366" s="46"/>
      <c r="K366" s="24"/>
      <c r="L366" s="24"/>
      <c r="M366" s="39"/>
      <c r="N366" s="39"/>
      <c r="O366" s="38"/>
      <c r="P366" s="24"/>
    </row>
    <row r="367" spans="1:16" x14ac:dyDescent="0.25">
      <c r="A367" s="24"/>
      <c r="B367" s="36"/>
      <c r="C367" s="24"/>
      <c r="D367" s="24"/>
      <c r="E367" s="24"/>
      <c r="F367" s="24"/>
      <c r="G367" s="37"/>
      <c r="H367" s="42"/>
      <c r="I367" s="46"/>
      <c r="J367" s="46"/>
      <c r="K367" s="24"/>
      <c r="L367" s="24"/>
      <c r="M367" s="39"/>
      <c r="N367" s="39"/>
      <c r="O367" s="38"/>
      <c r="P367" s="24"/>
    </row>
    <row r="368" spans="1:16" x14ac:dyDescent="0.25">
      <c r="A368" s="24"/>
      <c r="B368" s="36"/>
      <c r="C368" s="24"/>
      <c r="D368" s="24"/>
      <c r="E368" s="24"/>
      <c r="F368" s="24"/>
      <c r="G368" s="37"/>
      <c r="H368" s="42"/>
      <c r="I368" s="46"/>
      <c r="J368" s="46"/>
      <c r="K368" s="24"/>
      <c r="L368" s="24"/>
      <c r="M368" s="39"/>
      <c r="N368" s="39"/>
      <c r="O368" s="38"/>
      <c r="P368" s="24"/>
    </row>
    <row r="369" spans="1:16" x14ac:dyDescent="0.25">
      <c r="A369" s="24"/>
      <c r="B369" s="36"/>
      <c r="C369" s="24"/>
      <c r="D369" s="24"/>
      <c r="E369" s="24"/>
      <c r="F369" s="24"/>
      <c r="G369" s="37"/>
      <c r="H369" s="24"/>
      <c r="I369" s="24"/>
      <c r="J369" s="24"/>
      <c r="K369" s="24"/>
      <c r="L369" s="24"/>
      <c r="M369" s="39"/>
      <c r="N369" s="39"/>
      <c r="O369" s="38"/>
      <c r="P369" s="24"/>
    </row>
    <row r="370" spans="1:16" x14ac:dyDescent="0.25">
      <c r="A370" s="24"/>
      <c r="B370" s="36"/>
      <c r="C370" s="24"/>
      <c r="D370" s="24"/>
      <c r="E370" s="24"/>
      <c r="F370" s="24"/>
      <c r="G370" s="37"/>
      <c r="H370" s="24"/>
      <c r="I370" s="24"/>
      <c r="J370" s="24"/>
      <c r="K370" s="24"/>
      <c r="L370" s="24"/>
      <c r="M370" s="39"/>
      <c r="N370" s="39"/>
      <c r="O370" s="38"/>
      <c r="P370" s="24"/>
    </row>
    <row r="371" spans="1:16" x14ac:dyDescent="0.25">
      <c r="A371" s="24"/>
      <c r="B371" s="36"/>
      <c r="C371" s="24"/>
      <c r="D371" s="24"/>
      <c r="E371" s="24"/>
      <c r="F371" s="24"/>
      <c r="G371" s="37"/>
      <c r="H371" s="42"/>
      <c r="I371" s="24"/>
      <c r="J371" s="24"/>
      <c r="K371" s="24"/>
      <c r="L371" s="24"/>
      <c r="M371" s="39"/>
      <c r="N371" s="39"/>
      <c r="O371" s="24"/>
      <c r="P371" s="24"/>
    </row>
    <row r="372" spans="1:16" x14ac:dyDescent="0.25">
      <c r="A372" s="24"/>
      <c r="B372" s="36"/>
      <c r="C372" s="24"/>
      <c r="D372" s="24"/>
      <c r="E372" s="24"/>
      <c r="F372" s="24"/>
      <c r="G372" s="37"/>
      <c r="H372" s="24"/>
      <c r="I372" s="24"/>
      <c r="J372" s="24"/>
      <c r="K372" s="24"/>
      <c r="L372" s="24"/>
      <c r="M372" s="39"/>
      <c r="N372" s="39"/>
      <c r="O372" s="24"/>
      <c r="P372" s="24"/>
    </row>
    <row r="373" spans="1:16" x14ac:dyDescent="0.25">
      <c r="A373" s="24"/>
      <c r="B373" s="36"/>
      <c r="C373" s="24"/>
      <c r="D373" s="24"/>
      <c r="E373" s="24"/>
      <c r="F373" s="24"/>
      <c r="G373" s="37"/>
      <c r="H373" s="24"/>
      <c r="I373" s="24"/>
      <c r="J373" s="24"/>
      <c r="K373" s="24"/>
      <c r="L373" s="24"/>
      <c r="M373" s="39"/>
      <c r="N373" s="39"/>
      <c r="O373" s="24"/>
      <c r="P373" s="24"/>
    </row>
    <row r="374" spans="1:16" x14ac:dyDescent="0.25">
      <c r="A374" s="24"/>
      <c r="B374" s="36"/>
      <c r="C374" s="24"/>
      <c r="D374" s="24"/>
      <c r="E374" s="24"/>
      <c r="F374" s="24"/>
      <c r="G374" s="37"/>
      <c r="H374" s="24"/>
      <c r="I374" s="24"/>
      <c r="J374" s="24"/>
      <c r="K374" s="24"/>
      <c r="L374" s="24"/>
      <c r="M374" s="39"/>
      <c r="N374" s="39"/>
      <c r="O374" s="24"/>
      <c r="P374" s="24"/>
    </row>
    <row r="375" spans="1:16" x14ac:dyDescent="0.25">
      <c r="A375" s="24"/>
      <c r="B375" s="36"/>
      <c r="C375" s="24"/>
      <c r="D375" s="24"/>
      <c r="E375" s="24"/>
      <c r="F375" s="24"/>
      <c r="G375" s="37"/>
      <c r="H375" s="42"/>
      <c r="I375" s="24"/>
      <c r="J375" s="24"/>
      <c r="K375" s="24"/>
      <c r="L375" s="24"/>
      <c r="M375" s="39"/>
      <c r="N375" s="39"/>
      <c r="O375" s="24"/>
      <c r="P375" s="24"/>
    </row>
    <row r="376" spans="1:16" x14ac:dyDescent="0.25">
      <c r="A376" s="24"/>
      <c r="B376" s="36"/>
      <c r="C376" s="24"/>
      <c r="D376" s="24"/>
      <c r="E376" s="24"/>
      <c r="F376" s="24"/>
      <c r="G376" s="37"/>
      <c r="H376" s="24"/>
      <c r="I376" s="24"/>
      <c r="J376" s="24"/>
      <c r="K376" s="24"/>
      <c r="L376" s="24"/>
      <c r="M376" s="39"/>
      <c r="N376" s="39"/>
      <c r="O376" s="24"/>
      <c r="P376" s="24"/>
    </row>
    <row r="377" spans="1:16" x14ac:dyDescent="0.25">
      <c r="A377" s="24"/>
      <c r="B377" s="36"/>
      <c r="C377" s="24"/>
      <c r="D377" s="24"/>
      <c r="E377" s="24"/>
      <c r="F377" s="24"/>
      <c r="G377" s="37"/>
      <c r="H377" s="24"/>
      <c r="I377" s="24"/>
      <c r="J377" s="24"/>
      <c r="K377" s="24"/>
      <c r="L377" s="24"/>
      <c r="M377" s="39"/>
      <c r="N377" s="39"/>
      <c r="O377" s="24"/>
      <c r="P377" s="24"/>
    </row>
    <row r="378" spans="1:16" x14ac:dyDescent="0.25">
      <c r="A378" s="24"/>
      <c r="B378" s="36"/>
      <c r="C378" s="24"/>
      <c r="D378" s="24"/>
      <c r="E378" s="24"/>
      <c r="F378" s="24"/>
      <c r="G378" s="37"/>
      <c r="H378" s="42"/>
      <c r="I378" s="24"/>
      <c r="J378" s="24"/>
      <c r="K378" s="24"/>
      <c r="L378" s="24"/>
      <c r="M378" s="39"/>
      <c r="N378" s="39"/>
      <c r="O378" s="24"/>
      <c r="P378" s="24"/>
    </row>
    <row r="379" spans="1:16" x14ac:dyDescent="0.25">
      <c r="A379" s="24"/>
      <c r="B379" s="36"/>
      <c r="C379" s="24"/>
      <c r="D379" s="24"/>
      <c r="E379" s="24"/>
      <c r="F379" s="24"/>
      <c r="G379" s="37"/>
      <c r="H379" s="24"/>
      <c r="I379" s="24"/>
      <c r="J379" s="24"/>
      <c r="K379" s="24"/>
      <c r="L379" s="24"/>
      <c r="M379" s="39"/>
      <c r="N379" s="39"/>
      <c r="O379" s="24"/>
      <c r="P379" s="24"/>
    </row>
    <row r="380" spans="1:16" x14ac:dyDescent="0.25">
      <c r="A380" s="24"/>
      <c r="B380" s="36"/>
      <c r="C380" s="24"/>
      <c r="D380" s="24"/>
      <c r="E380" s="24"/>
      <c r="F380" s="24"/>
      <c r="G380" s="37"/>
      <c r="H380" s="42"/>
      <c r="I380" s="24"/>
      <c r="J380" s="24"/>
      <c r="K380" s="24"/>
      <c r="L380" s="24"/>
      <c r="M380" s="39"/>
      <c r="N380" s="39"/>
      <c r="O380" s="24"/>
      <c r="P380" s="24"/>
    </row>
    <row r="381" spans="1:16" x14ac:dyDescent="0.25">
      <c r="A381" s="24"/>
      <c r="B381" s="36"/>
      <c r="C381" s="24"/>
      <c r="D381" s="24"/>
      <c r="E381" s="24"/>
      <c r="F381" s="24"/>
      <c r="G381" s="37"/>
      <c r="H381" s="24"/>
      <c r="I381" s="24"/>
      <c r="J381" s="24"/>
      <c r="K381" s="24"/>
      <c r="L381" s="24"/>
      <c r="M381" s="39"/>
      <c r="N381" s="39"/>
      <c r="O381" s="24"/>
      <c r="P381" s="24"/>
    </row>
    <row r="382" spans="1:16" x14ac:dyDescent="0.25">
      <c r="A382" s="24"/>
      <c r="B382" s="36"/>
      <c r="C382" s="24"/>
      <c r="D382" s="24"/>
      <c r="E382" s="24"/>
      <c r="F382" s="24"/>
      <c r="G382" s="37"/>
      <c r="H382" s="42"/>
      <c r="I382" s="46"/>
      <c r="J382" s="46"/>
      <c r="K382" s="24"/>
      <c r="L382" s="24"/>
      <c r="M382" s="39"/>
      <c r="N382" s="39"/>
      <c r="O382" s="24"/>
      <c r="P382" s="24"/>
    </row>
    <row r="383" spans="1:16" x14ac:dyDescent="0.25">
      <c r="A383" s="24"/>
      <c r="B383" s="36"/>
      <c r="C383" s="24"/>
      <c r="D383" s="24"/>
      <c r="E383" s="24"/>
      <c r="F383" s="24"/>
      <c r="G383" s="15"/>
      <c r="H383" s="13"/>
      <c r="I383" s="24"/>
      <c r="J383" s="24"/>
      <c r="K383" s="24"/>
      <c r="L383" s="24"/>
      <c r="M383" s="39"/>
      <c r="N383" s="39"/>
      <c r="O383" s="24"/>
      <c r="P383" s="24"/>
    </row>
    <row r="384" spans="1:16" x14ac:dyDescent="0.25">
      <c r="A384" s="24"/>
      <c r="B384" s="36"/>
      <c r="C384" s="24"/>
      <c r="D384" s="24"/>
      <c r="E384" s="24"/>
      <c r="F384" s="24"/>
      <c r="G384" s="15"/>
      <c r="H384" s="13"/>
      <c r="I384" s="24"/>
      <c r="J384" s="24"/>
      <c r="K384" s="24"/>
      <c r="L384" s="24"/>
      <c r="M384" s="39"/>
      <c r="N384" s="39"/>
      <c r="O384" s="24"/>
      <c r="P384" s="24"/>
    </row>
    <row r="385" spans="1:16" x14ac:dyDescent="0.25">
      <c r="A385" s="24"/>
      <c r="B385" s="36"/>
      <c r="C385" s="24"/>
      <c r="D385" s="24"/>
      <c r="E385" s="24"/>
      <c r="F385" s="24"/>
      <c r="G385" s="37"/>
      <c r="H385" s="42"/>
      <c r="I385" s="24"/>
      <c r="J385" s="24"/>
      <c r="K385" s="24"/>
      <c r="L385" s="24"/>
      <c r="M385" s="39"/>
      <c r="N385" s="39"/>
      <c r="O385" s="24"/>
      <c r="P385" s="24"/>
    </row>
    <row r="386" spans="1:16" x14ac:dyDescent="0.25">
      <c r="A386" s="24"/>
      <c r="B386" s="36"/>
      <c r="C386" s="24"/>
      <c r="D386" s="24"/>
      <c r="E386" s="24"/>
      <c r="F386" s="24"/>
      <c r="G386" s="37"/>
      <c r="H386" s="24"/>
      <c r="I386" s="24"/>
      <c r="J386" s="24"/>
      <c r="K386" s="24"/>
      <c r="L386" s="24"/>
      <c r="M386" s="39"/>
      <c r="N386" s="39"/>
      <c r="O386" s="24"/>
      <c r="P386" s="24"/>
    </row>
    <row r="387" spans="1:16" x14ac:dyDescent="0.25">
      <c r="A387" s="24"/>
      <c r="B387" s="36"/>
      <c r="C387" s="24"/>
      <c r="D387" s="24"/>
      <c r="E387" s="24"/>
      <c r="F387" s="24"/>
      <c r="G387" s="37"/>
      <c r="H387" s="42"/>
      <c r="I387" s="24"/>
      <c r="J387" s="24"/>
      <c r="K387" s="24"/>
      <c r="L387" s="24"/>
      <c r="M387" s="39"/>
      <c r="N387" s="39"/>
      <c r="O387" s="24"/>
      <c r="P387" s="24"/>
    </row>
    <row r="388" spans="1:16" x14ac:dyDescent="0.25">
      <c r="A388" s="24"/>
      <c r="B388" s="36"/>
      <c r="C388" s="24"/>
      <c r="D388" s="24"/>
      <c r="E388" s="24"/>
      <c r="F388" s="24"/>
      <c r="G388" s="37"/>
      <c r="H388" s="24"/>
      <c r="I388" s="24"/>
      <c r="J388" s="24"/>
      <c r="K388" s="24"/>
      <c r="L388" s="24"/>
      <c r="M388" s="39"/>
      <c r="N388" s="39"/>
      <c r="O388" s="24"/>
      <c r="P388" s="24"/>
    </row>
    <row r="389" spans="1:16" x14ac:dyDescent="0.25">
      <c r="A389" s="24"/>
      <c r="B389" s="36"/>
      <c r="C389" s="24"/>
      <c r="D389" s="24"/>
      <c r="E389" s="24"/>
      <c r="F389" s="24"/>
      <c r="G389" s="37"/>
      <c r="H389" s="42"/>
      <c r="I389" s="24"/>
      <c r="J389" s="24"/>
      <c r="K389" s="24"/>
      <c r="L389" s="24"/>
      <c r="M389" s="39"/>
      <c r="N389" s="39"/>
      <c r="O389" s="24"/>
      <c r="P389" s="24"/>
    </row>
    <row r="390" spans="1:16" x14ac:dyDescent="0.25">
      <c r="A390" s="24"/>
      <c r="B390" s="36"/>
      <c r="C390" s="24"/>
      <c r="D390" s="24"/>
      <c r="E390" s="24"/>
      <c r="F390" s="24"/>
      <c r="G390" s="37"/>
      <c r="H390" s="24"/>
      <c r="I390" s="24"/>
      <c r="J390" s="24"/>
      <c r="K390" s="24"/>
      <c r="L390" s="24"/>
      <c r="M390" s="39"/>
      <c r="N390" s="39"/>
      <c r="O390" s="24"/>
      <c r="P390" s="24"/>
    </row>
    <row r="391" spans="1:16" x14ac:dyDescent="0.25">
      <c r="A391" s="24"/>
      <c r="B391" s="36"/>
      <c r="C391" s="24"/>
      <c r="D391" s="24"/>
      <c r="E391" s="24"/>
      <c r="F391" s="24"/>
      <c r="G391" s="37"/>
      <c r="H391" s="24"/>
      <c r="I391" s="24"/>
      <c r="J391" s="24"/>
      <c r="K391" s="24"/>
      <c r="L391" s="24"/>
      <c r="M391" s="39"/>
      <c r="N391" s="39"/>
      <c r="O391" s="24"/>
      <c r="P391" s="24"/>
    </row>
    <row r="392" spans="1:16" x14ac:dyDescent="0.25">
      <c r="A392" s="24"/>
      <c r="B392" s="36"/>
      <c r="C392" s="24"/>
      <c r="D392" s="24"/>
      <c r="E392" s="24"/>
      <c r="F392" s="24"/>
      <c r="G392" s="37"/>
      <c r="H392" s="24"/>
      <c r="I392" s="24"/>
      <c r="J392" s="24"/>
      <c r="K392" s="24"/>
      <c r="L392" s="24"/>
      <c r="M392" s="39"/>
      <c r="N392" s="39"/>
      <c r="O392" s="24"/>
      <c r="P392" s="24"/>
    </row>
    <row r="393" spans="1:16" x14ac:dyDescent="0.25">
      <c r="A393" s="24"/>
      <c r="B393" s="36"/>
      <c r="C393" s="24"/>
      <c r="D393" s="24"/>
      <c r="E393" s="24"/>
      <c r="F393" s="24"/>
      <c r="G393" s="37"/>
      <c r="H393" s="42"/>
      <c r="I393" s="24"/>
      <c r="J393" s="24"/>
      <c r="K393" s="24"/>
      <c r="L393" s="24"/>
      <c r="M393" s="39"/>
      <c r="N393" s="39"/>
      <c r="O393" s="24"/>
      <c r="P393" s="24"/>
    </row>
    <row r="394" spans="1:16" x14ac:dyDescent="0.25">
      <c r="A394" s="24"/>
      <c r="B394" s="36"/>
      <c r="C394" s="24"/>
      <c r="D394" s="24"/>
      <c r="E394" s="24"/>
      <c r="F394" s="24"/>
      <c r="G394" s="37"/>
      <c r="H394" s="24"/>
      <c r="I394" s="24"/>
      <c r="J394" s="24"/>
      <c r="K394" s="24"/>
      <c r="L394" s="24"/>
      <c r="M394" s="39"/>
      <c r="N394" s="39"/>
      <c r="O394" s="24"/>
      <c r="P394" s="24"/>
    </row>
    <row r="395" spans="1:16" x14ac:dyDescent="0.25">
      <c r="A395" s="24"/>
      <c r="B395" s="36"/>
      <c r="C395" s="24"/>
      <c r="D395" s="24"/>
      <c r="E395" s="24"/>
      <c r="F395" s="24"/>
      <c r="G395" s="37"/>
      <c r="H395" s="24"/>
      <c r="I395" s="24"/>
      <c r="J395" s="24"/>
      <c r="K395" s="24"/>
      <c r="L395" s="24"/>
      <c r="M395" s="39"/>
      <c r="N395" s="39"/>
      <c r="O395" s="24"/>
      <c r="P395" s="24"/>
    </row>
    <row r="396" spans="1:16" x14ac:dyDescent="0.25">
      <c r="A396" s="24"/>
      <c r="B396" s="36"/>
      <c r="C396" s="24"/>
      <c r="D396" s="24"/>
      <c r="E396" s="24"/>
      <c r="F396" s="24"/>
      <c r="G396" s="37"/>
      <c r="H396" s="24"/>
      <c r="I396" s="24"/>
      <c r="J396" s="24"/>
      <c r="K396" s="24"/>
      <c r="L396" s="24"/>
      <c r="M396" s="39"/>
      <c r="N396" s="39"/>
      <c r="O396" s="24"/>
      <c r="P396" s="24"/>
    </row>
    <row r="397" spans="1:16" x14ac:dyDescent="0.25">
      <c r="A397" s="24"/>
      <c r="B397" s="36"/>
      <c r="C397" s="24"/>
      <c r="D397" s="24"/>
      <c r="E397" s="24"/>
      <c r="F397" s="24"/>
      <c r="G397" s="37"/>
      <c r="H397" s="24"/>
      <c r="I397" s="24"/>
      <c r="J397" s="24"/>
      <c r="K397" s="24"/>
      <c r="L397" s="24"/>
      <c r="M397" s="39"/>
      <c r="N397" s="39"/>
      <c r="O397" s="24"/>
      <c r="P397" s="24"/>
    </row>
    <row r="398" spans="1:16" x14ac:dyDescent="0.25">
      <c r="A398" s="24"/>
      <c r="B398" s="36"/>
      <c r="C398" s="24"/>
      <c r="D398" s="24"/>
      <c r="E398" s="24"/>
      <c r="F398" s="24"/>
      <c r="G398" s="37"/>
      <c r="H398" s="24"/>
      <c r="I398" s="24"/>
      <c r="J398" s="24"/>
      <c r="K398" s="24"/>
      <c r="L398" s="24"/>
      <c r="M398" s="39"/>
      <c r="N398" s="39"/>
      <c r="O398" s="24"/>
      <c r="P398" s="24"/>
    </row>
    <row r="399" spans="1:16" x14ac:dyDescent="0.25">
      <c r="A399" s="24"/>
      <c r="B399" s="36"/>
      <c r="C399" s="24"/>
      <c r="D399" s="24"/>
      <c r="E399" s="24"/>
      <c r="F399" s="24"/>
      <c r="G399" s="37"/>
      <c r="H399" s="24"/>
      <c r="I399" s="24"/>
      <c r="J399" s="24"/>
      <c r="K399" s="24"/>
      <c r="L399" s="24"/>
      <c r="M399" s="39"/>
      <c r="N399" s="39"/>
      <c r="O399" s="24"/>
      <c r="P399" s="24"/>
    </row>
    <row r="400" spans="1:16" x14ac:dyDescent="0.25">
      <c r="A400" s="24"/>
      <c r="B400" s="36"/>
      <c r="C400" s="24"/>
      <c r="D400" s="24"/>
      <c r="E400" s="24"/>
      <c r="F400" s="24"/>
      <c r="G400" s="37"/>
      <c r="H400" s="42"/>
      <c r="I400" s="24"/>
      <c r="J400" s="24"/>
      <c r="K400" s="24"/>
      <c r="L400" s="24"/>
      <c r="M400" s="39"/>
      <c r="N400" s="39"/>
      <c r="O400" s="24"/>
      <c r="P400" s="24"/>
    </row>
    <row r="401" spans="1:16" x14ac:dyDescent="0.25">
      <c r="A401" s="24"/>
      <c r="B401" s="36"/>
      <c r="C401" s="24"/>
      <c r="D401" s="24"/>
      <c r="E401" s="24"/>
      <c r="F401" s="24"/>
      <c r="G401" s="37"/>
      <c r="H401" s="42"/>
      <c r="I401" s="24"/>
      <c r="J401" s="24"/>
      <c r="K401" s="24"/>
      <c r="L401" s="24"/>
      <c r="M401" s="39"/>
      <c r="N401" s="39"/>
      <c r="O401" s="24"/>
      <c r="P401" s="24"/>
    </row>
    <row r="402" spans="1:16" x14ac:dyDescent="0.25">
      <c r="A402" s="24"/>
      <c r="B402" s="36"/>
      <c r="C402" s="24"/>
      <c r="D402" s="24"/>
      <c r="E402" s="24"/>
      <c r="F402" s="24"/>
      <c r="G402" s="37"/>
      <c r="H402" s="24"/>
      <c r="I402" s="24"/>
      <c r="J402" s="24"/>
      <c r="K402" s="24"/>
      <c r="L402" s="24"/>
      <c r="M402" s="39"/>
      <c r="N402" s="39"/>
      <c r="O402" s="24"/>
      <c r="P402" s="24"/>
    </row>
    <row r="403" spans="1:16" x14ac:dyDescent="0.25">
      <c r="A403" s="24"/>
      <c r="B403" s="36"/>
      <c r="C403" s="24"/>
      <c r="D403" s="24"/>
      <c r="E403" s="24"/>
      <c r="F403" s="24"/>
      <c r="G403" s="37"/>
      <c r="H403" s="42"/>
      <c r="I403" s="24"/>
      <c r="J403" s="24"/>
      <c r="K403" s="24"/>
      <c r="L403" s="24"/>
      <c r="M403" s="39"/>
      <c r="N403" s="39"/>
      <c r="O403" s="24"/>
      <c r="P403" s="24"/>
    </row>
    <row r="404" spans="1:16" x14ac:dyDescent="0.25">
      <c r="A404" s="24"/>
      <c r="B404" s="36"/>
      <c r="C404" s="24"/>
      <c r="D404" s="24"/>
      <c r="E404" s="24"/>
      <c r="F404" s="24"/>
      <c r="G404" s="37"/>
      <c r="H404" s="42"/>
      <c r="I404" s="24"/>
      <c r="J404" s="24"/>
      <c r="K404" s="24"/>
      <c r="L404" s="24"/>
      <c r="M404" s="39"/>
      <c r="N404" s="39"/>
      <c r="O404" s="24"/>
      <c r="P404" s="24"/>
    </row>
    <row r="405" spans="1:16" x14ac:dyDescent="0.25">
      <c r="A405" s="24"/>
      <c r="B405" s="36"/>
      <c r="C405" s="24"/>
      <c r="D405" s="24"/>
      <c r="E405" s="24"/>
      <c r="F405" s="24"/>
      <c r="G405" s="37"/>
      <c r="H405" s="42"/>
      <c r="I405" s="24"/>
      <c r="J405" s="24"/>
      <c r="K405" s="24"/>
      <c r="L405" s="24"/>
      <c r="M405" s="39"/>
      <c r="N405" s="39"/>
      <c r="O405" s="24"/>
      <c r="P405" s="24"/>
    </row>
    <row r="406" spans="1:16" x14ac:dyDescent="0.25">
      <c r="A406" s="24"/>
      <c r="B406" s="36"/>
      <c r="C406" s="24"/>
      <c r="D406" s="24"/>
      <c r="E406" s="24"/>
      <c r="F406" s="24"/>
      <c r="G406" s="37"/>
      <c r="H406" s="24"/>
      <c r="I406" s="24"/>
      <c r="J406" s="24"/>
      <c r="K406" s="24"/>
      <c r="L406" s="24"/>
      <c r="M406" s="39"/>
      <c r="N406" s="39"/>
      <c r="O406" s="24"/>
      <c r="P406" s="24"/>
    </row>
    <row r="407" spans="1:16" x14ac:dyDescent="0.25">
      <c r="A407" s="24"/>
      <c r="B407" s="36"/>
      <c r="C407" s="24"/>
      <c r="D407" s="24"/>
      <c r="E407" s="24"/>
      <c r="F407" s="24"/>
      <c r="G407" s="37"/>
      <c r="H407" s="24"/>
      <c r="I407" s="24"/>
      <c r="J407" s="24"/>
      <c r="K407" s="24"/>
      <c r="L407" s="24"/>
      <c r="M407" s="39"/>
      <c r="N407" s="39"/>
      <c r="O407" s="24"/>
      <c r="P407" s="24"/>
    </row>
  </sheetData>
  <autoFilter ref="A3:P76" xr:uid="{00000000-0009-0000-0000-00000C000000}"/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04"/>
  <sheetViews>
    <sheetView topLeftCell="A8" workbookViewId="0">
      <selection activeCell="A46" sqref="A46:O47"/>
    </sheetView>
  </sheetViews>
  <sheetFormatPr defaultRowHeight="15" customHeight="1" x14ac:dyDescent="0.2"/>
  <cols>
    <col min="1" max="1" width="9.140625" style="24"/>
    <col min="2" max="2" width="10.7109375" style="83" bestFit="1" customWidth="1"/>
    <col min="3" max="6" width="9.140625" style="24"/>
    <col min="7" max="7" width="9.5703125" style="37" bestFit="1" customWidth="1"/>
    <col min="8" max="8" width="29.85546875" style="24" customWidth="1"/>
    <col min="9" max="12" width="9.140625" style="24"/>
    <col min="13" max="13" width="11.28515625" style="39" bestFit="1" customWidth="1"/>
    <col min="14" max="14" width="10.42578125" style="39" bestFit="1" customWidth="1"/>
    <col min="15" max="15" width="10.42578125" style="24" bestFit="1" customWidth="1"/>
    <col min="16" max="16384" width="9.140625" style="24"/>
  </cols>
  <sheetData>
    <row r="1" spans="1:16" ht="15" customHeight="1" thickBot="1" x14ac:dyDescent="0.25">
      <c r="A1" s="177" t="s">
        <v>0</v>
      </c>
      <c r="B1" s="192" t="s">
        <v>1</v>
      </c>
      <c r="C1" s="177" t="s">
        <v>2</v>
      </c>
      <c r="D1" s="175" t="s">
        <v>3</v>
      </c>
      <c r="E1" s="175" t="s">
        <v>4</v>
      </c>
      <c r="F1" s="175" t="s">
        <v>5</v>
      </c>
      <c r="G1" s="180" t="s">
        <v>6</v>
      </c>
      <c r="H1" s="182" t="s">
        <v>7</v>
      </c>
      <c r="I1" s="184" t="s">
        <v>8</v>
      </c>
      <c r="J1" s="185"/>
      <c r="K1" s="177" t="s">
        <v>9</v>
      </c>
      <c r="L1" s="177" t="s">
        <v>10</v>
      </c>
      <c r="M1" s="190" t="s">
        <v>1287</v>
      </c>
      <c r="N1" s="190" t="s">
        <v>1288</v>
      </c>
      <c r="O1" s="49" t="s">
        <v>1289</v>
      </c>
      <c r="P1" s="42"/>
    </row>
    <row r="2" spans="1:16" ht="15" customHeight="1" thickBot="1" x14ac:dyDescent="0.25">
      <c r="A2" s="178"/>
      <c r="B2" s="193"/>
      <c r="C2" s="178"/>
      <c r="D2" s="179"/>
      <c r="E2" s="179"/>
      <c r="F2" s="176"/>
      <c r="G2" s="181"/>
      <c r="H2" s="183"/>
      <c r="I2" s="50" t="s">
        <v>13</v>
      </c>
      <c r="J2" s="51" t="s">
        <v>14</v>
      </c>
      <c r="K2" s="178"/>
      <c r="L2" s="178"/>
      <c r="M2" s="191"/>
      <c r="N2" s="191"/>
      <c r="O2" s="42" t="s">
        <v>1289</v>
      </c>
      <c r="P2" s="42"/>
    </row>
    <row r="3" spans="1:16" ht="15" customHeight="1" x14ac:dyDescent="0.2">
      <c r="A3" s="52"/>
      <c r="B3" s="92"/>
      <c r="C3" s="52"/>
      <c r="D3" s="53"/>
      <c r="E3" s="53"/>
      <c r="F3" s="53"/>
      <c r="G3" s="78" t="s">
        <v>15</v>
      </c>
      <c r="H3" s="54"/>
      <c r="I3" s="54"/>
      <c r="J3" s="54"/>
      <c r="K3" s="52"/>
      <c r="L3" s="52"/>
      <c r="M3" s="89"/>
      <c r="N3" s="89"/>
      <c r="O3" s="42" t="s">
        <v>16</v>
      </c>
      <c r="P3" s="42" t="s">
        <v>17</v>
      </c>
    </row>
    <row r="4" spans="1:16" ht="15" customHeight="1" x14ac:dyDescent="0.2">
      <c r="A4" s="24" t="s">
        <v>18</v>
      </c>
      <c r="B4" s="83" t="s">
        <v>1418</v>
      </c>
      <c r="C4" s="24">
        <f>C3+D4</f>
        <v>1</v>
      </c>
      <c r="D4" s="24">
        <v>1</v>
      </c>
      <c r="G4" s="37" t="s">
        <v>756</v>
      </c>
      <c r="H4" s="24" t="s">
        <v>3008</v>
      </c>
      <c r="I4" s="24">
        <v>131</v>
      </c>
      <c r="J4" s="24">
        <v>5113</v>
      </c>
      <c r="K4" s="24" t="s">
        <v>21</v>
      </c>
      <c r="L4" s="24">
        <v>1</v>
      </c>
      <c r="M4" s="39">
        <v>9139785</v>
      </c>
      <c r="N4" s="39">
        <f>L4*M4</f>
        <v>9139785</v>
      </c>
      <c r="O4" s="38" t="s">
        <v>22</v>
      </c>
    </row>
    <row r="5" spans="1:16" ht="15" customHeight="1" x14ac:dyDescent="0.2">
      <c r="A5" s="24" t="s">
        <v>18</v>
      </c>
      <c r="B5" s="83" t="s">
        <v>1418</v>
      </c>
      <c r="C5" s="24">
        <f t="shared" ref="C5:C68" si="0">C4+D5</f>
        <v>2</v>
      </c>
      <c r="D5" s="24">
        <v>1</v>
      </c>
      <c r="G5" s="37" t="s">
        <v>756</v>
      </c>
      <c r="H5" s="24" t="s">
        <v>3009</v>
      </c>
      <c r="I5" s="24">
        <v>333821</v>
      </c>
      <c r="J5" s="24">
        <v>131</v>
      </c>
      <c r="K5" s="24" t="s">
        <v>21</v>
      </c>
      <c r="L5" s="24">
        <v>1</v>
      </c>
      <c r="M5" s="39">
        <v>91398</v>
      </c>
      <c r="N5" s="39">
        <f t="shared" ref="N5:N67" si="1">L5*M5</f>
        <v>91398</v>
      </c>
      <c r="O5" s="38" t="s">
        <v>22</v>
      </c>
    </row>
    <row r="6" spans="1:16" ht="15" customHeight="1" x14ac:dyDescent="0.2">
      <c r="A6" s="24" t="s">
        <v>18</v>
      </c>
      <c r="B6" s="83" t="s">
        <v>1418</v>
      </c>
      <c r="C6" s="24">
        <f t="shared" si="0"/>
        <v>3</v>
      </c>
      <c r="D6" s="24">
        <v>1</v>
      </c>
      <c r="G6" s="37" t="s">
        <v>784</v>
      </c>
      <c r="H6" s="24" t="s">
        <v>3010</v>
      </c>
      <c r="I6" s="24">
        <v>131</v>
      </c>
      <c r="J6" s="24">
        <v>5113</v>
      </c>
      <c r="K6" s="24" t="s">
        <v>21</v>
      </c>
      <c r="L6" s="24">
        <v>1</v>
      </c>
      <c r="M6" s="39">
        <v>10215054</v>
      </c>
      <c r="N6" s="39">
        <f t="shared" si="1"/>
        <v>10215054</v>
      </c>
      <c r="O6" s="38" t="s">
        <v>22</v>
      </c>
    </row>
    <row r="7" spans="1:16" ht="15" customHeight="1" x14ac:dyDescent="0.2">
      <c r="A7" s="24" t="s">
        <v>18</v>
      </c>
      <c r="B7" s="83" t="s">
        <v>1418</v>
      </c>
      <c r="C7" s="24">
        <f t="shared" si="0"/>
        <v>4</v>
      </c>
      <c r="D7" s="24">
        <v>1</v>
      </c>
      <c r="G7" s="37" t="s">
        <v>784</v>
      </c>
      <c r="H7" s="24" t="s">
        <v>3011</v>
      </c>
      <c r="I7" s="24">
        <v>333821</v>
      </c>
      <c r="J7" s="24">
        <v>131</v>
      </c>
      <c r="K7" s="24" t="s">
        <v>21</v>
      </c>
      <c r="L7" s="24">
        <v>1</v>
      </c>
      <c r="M7" s="39">
        <v>102151</v>
      </c>
      <c r="N7" s="39">
        <f t="shared" si="1"/>
        <v>102151</v>
      </c>
      <c r="O7" s="38" t="s">
        <v>22</v>
      </c>
    </row>
    <row r="8" spans="1:16" ht="15" customHeight="1" x14ac:dyDescent="0.2">
      <c r="A8" s="24" t="s">
        <v>18</v>
      </c>
      <c r="B8" s="83" t="s">
        <v>1418</v>
      </c>
      <c r="C8" s="24">
        <f t="shared" si="0"/>
        <v>5</v>
      </c>
      <c r="D8" s="24">
        <v>1</v>
      </c>
      <c r="G8" s="37" t="s">
        <v>1539</v>
      </c>
      <c r="H8" s="24" t="s">
        <v>3012</v>
      </c>
      <c r="I8" s="24">
        <v>131</v>
      </c>
      <c r="J8" s="24">
        <v>5113</v>
      </c>
      <c r="K8" s="24" t="s">
        <v>21</v>
      </c>
      <c r="L8" s="24">
        <v>1</v>
      </c>
      <c r="M8" s="39">
        <v>9677419</v>
      </c>
      <c r="N8" s="39">
        <f t="shared" si="1"/>
        <v>9677419</v>
      </c>
      <c r="O8" s="38" t="s">
        <v>22</v>
      </c>
    </row>
    <row r="9" spans="1:16" ht="15" customHeight="1" x14ac:dyDescent="0.2">
      <c r="A9" s="24" t="s">
        <v>18</v>
      </c>
      <c r="B9" s="83" t="s">
        <v>1418</v>
      </c>
      <c r="C9" s="24">
        <f t="shared" si="0"/>
        <v>6</v>
      </c>
      <c r="D9" s="24">
        <v>1</v>
      </c>
      <c r="G9" s="37" t="s">
        <v>1539</v>
      </c>
      <c r="H9" s="24" t="s">
        <v>3013</v>
      </c>
      <c r="I9" s="24">
        <v>333821</v>
      </c>
      <c r="J9" s="24">
        <v>131</v>
      </c>
      <c r="K9" s="24" t="s">
        <v>21</v>
      </c>
      <c r="L9" s="24">
        <v>1</v>
      </c>
      <c r="M9" s="39">
        <v>96774</v>
      </c>
      <c r="N9" s="39">
        <f t="shared" si="1"/>
        <v>96774</v>
      </c>
      <c r="O9" s="38" t="s">
        <v>22</v>
      </c>
    </row>
    <row r="10" spans="1:16" ht="15" customHeight="1" x14ac:dyDescent="0.2">
      <c r="A10" s="24" t="s">
        <v>18</v>
      </c>
      <c r="B10" s="83" t="s">
        <v>1418</v>
      </c>
      <c r="C10" s="24">
        <f t="shared" si="0"/>
        <v>7</v>
      </c>
      <c r="D10" s="24">
        <v>1</v>
      </c>
      <c r="G10" s="37" t="s">
        <v>635</v>
      </c>
      <c r="H10" s="24" t="s">
        <v>3014</v>
      </c>
      <c r="I10" s="24">
        <v>131</v>
      </c>
      <c r="J10" s="24">
        <v>5113</v>
      </c>
      <c r="K10" s="24" t="s">
        <v>21</v>
      </c>
      <c r="L10" s="24">
        <v>1</v>
      </c>
      <c r="M10" s="39">
        <v>10215054</v>
      </c>
      <c r="N10" s="39">
        <f t="shared" si="1"/>
        <v>10215054</v>
      </c>
      <c r="O10" s="38" t="s">
        <v>22</v>
      </c>
    </row>
    <row r="11" spans="1:16" ht="15" customHeight="1" x14ac:dyDescent="0.2">
      <c r="A11" s="24" t="s">
        <v>18</v>
      </c>
      <c r="B11" s="83" t="s">
        <v>1418</v>
      </c>
      <c r="C11" s="24">
        <f t="shared" si="0"/>
        <v>8</v>
      </c>
      <c r="D11" s="24">
        <v>1</v>
      </c>
      <c r="G11" s="37" t="s">
        <v>635</v>
      </c>
      <c r="H11" s="24" t="s">
        <v>3015</v>
      </c>
      <c r="I11" s="24">
        <v>333821</v>
      </c>
      <c r="J11" s="24">
        <v>131</v>
      </c>
      <c r="K11" s="24" t="s">
        <v>21</v>
      </c>
      <c r="L11" s="24">
        <v>1</v>
      </c>
      <c r="M11" s="39">
        <v>102151</v>
      </c>
      <c r="N11" s="39">
        <f t="shared" si="1"/>
        <v>102151</v>
      </c>
      <c r="O11" s="38" t="s">
        <v>22</v>
      </c>
    </row>
    <row r="12" spans="1:16" ht="15" customHeight="1" x14ac:dyDescent="0.2">
      <c r="A12" s="24" t="s">
        <v>18</v>
      </c>
      <c r="B12" s="83" t="s">
        <v>2482</v>
      </c>
      <c r="C12" s="24">
        <f t="shared" si="0"/>
        <v>9</v>
      </c>
      <c r="D12" s="24">
        <v>1</v>
      </c>
      <c r="G12" s="37" t="s">
        <v>3006</v>
      </c>
      <c r="H12" s="24" t="s">
        <v>3016</v>
      </c>
      <c r="I12" s="24">
        <v>131</v>
      </c>
      <c r="J12" s="24">
        <v>5113</v>
      </c>
      <c r="K12" s="24" t="s">
        <v>21</v>
      </c>
      <c r="L12" s="24">
        <v>1</v>
      </c>
      <c r="M12" s="39">
        <v>9139785</v>
      </c>
      <c r="N12" s="39">
        <f t="shared" si="1"/>
        <v>9139785</v>
      </c>
      <c r="O12" s="38" t="s">
        <v>22</v>
      </c>
    </row>
    <row r="13" spans="1:16" ht="15" customHeight="1" x14ac:dyDescent="0.2">
      <c r="A13" s="24" t="s">
        <v>18</v>
      </c>
      <c r="B13" s="83" t="s">
        <v>2482</v>
      </c>
      <c r="C13" s="24">
        <f t="shared" si="0"/>
        <v>10</v>
      </c>
      <c r="D13" s="24">
        <v>1</v>
      </c>
      <c r="G13" s="37" t="s">
        <v>3006</v>
      </c>
      <c r="H13" s="24" t="s">
        <v>3017</v>
      </c>
      <c r="I13" s="24">
        <v>333821</v>
      </c>
      <c r="J13" s="24">
        <v>131</v>
      </c>
      <c r="K13" s="24" t="s">
        <v>21</v>
      </c>
      <c r="L13" s="24">
        <v>1</v>
      </c>
      <c r="M13" s="39">
        <v>91398</v>
      </c>
      <c r="N13" s="39">
        <f t="shared" si="1"/>
        <v>91398</v>
      </c>
      <c r="O13" s="38" t="s">
        <v>22</v>
      </c>
    </row>
    <row r="14" spans="1:16" ht="15" customHeight="1" x14ac:dyDescent="0.2">
      <c r="A14" s="24" t="s">
        <v>18</v>
      </c>
      <c r="B14" s="83" t="s">
        <v>2482</v>
      </c>
      <c r="C14" s="24">
        <f t="shared" si="0"/>
        <v>11</v>
      </c>
      <c r="D14" s="24">
        <v>1</v>
      </c>
      <c r="G14" s="37" t="s">
        <v>252</v>
      </c>
      <c r="H14" s="24" t="s">
        <v>3018</v>
      </c>
      <c r="I14" s="24">
        <v>131</v>
      </c>
      <c r="J14" s="24">
        <v>5113</v>
      </c>
      <c r="K14" s="24" t="s">
        <v>21</v>
      </c>
      <c r="L14" s="24">
        <v>1</v>
      </c>
      <c r="M14" s="39">
        <v>22727273</v>
      </c>
      <c r="N14" s="39">
        <f t="shared" si="1"/>
        <v>22727273</v>
      </c>
      <c r="O14" s="38" t="s">
        <v>22</v>
      </c>
    </row>
    <row r="15" spans="1:16" ht="15" customHeight="1" x14ac:dyDescent="0.2">
      <c r="A15" s="24" t="s">
        <v>18</v>
      </c>
      <c r="B15" s="83" t="s">
        <v>2482</v>
      </c>
      <c r="C15" s="24">
        <f t="shared" si="0"/>
        <v>12</v>
      </c>
      <c r="D15" s="24">
        <v>1</v>
      </c>
      <c r="G15" s="37" t="s">
        <v>252</v>
      </c>
      <c r="H15" s="24" t="s">
        <v>3019</v>
      </c>
      <c r="I15" s="24">
        <v>333821</v>
      </c>
      <c r="J15" s="24">
        <v>131</v>
      </c>
      <c r="K15" s="24" t="s">
        <v>21</v>
      </c>
      <c r="L15" s="24">
        <v>1</v>
      </c>
      <c r="M15" s="39">
        <v>227273</v>
      </c>
      <c r="N15" s="39">
        <f t="shared" si="1"/>
        <v>227273</v>
      </c>
      <c r="O15" s="38" t="s">
        <v>22</v>
      </c>
    </row>
    <row r="16" spans="1:16" ht="15" customHeight="1" x14ac:dyDescent="0.2">
      <c r="A16" s="24" t="s">
        <v>18</v>
      </c>
      <c r="B16" s="83" t="s">
        <v>1419</v>
      </c>
      <c r="C16" s="24">
        <f t="shared" si="0"/>
        <v>13</v>
      </c>
      <c r="D16" s="24">
        <v>1</v>
      </c>
      <c r="G16" s="37" t="s">
        <v>96</v>
      </c>
      <c r="H16" s="24" t="s">
        <v>3020</v>
      </c>
      <c r="I16" s="24">
        <v>131</v>
      </c>
      <c r="J16" s="24">
        <v>5113</v>
      </c>
      <c r="K16" s="24" t="s">
        <v>21</v>
      </c>
      <c r="L16" s="24">
        <v>1</v>
      </c>
      <c r="M16" s="39">
        <v>9677419</v>
      </c>
      <c r="N16" s="39">
        <f t="shared" si="1"/>
        <v>9677419</v>
      </c>
      <c r="O16" s="38" t="s">
        <v>22</v>
      </c>
    </row>
    <row r="17" spans="1:15" ht="15" customHeight="1" x14ac:dyDescent="0.2">
      <c r="A17" s="24" t="s">
        <v>18</v>
      </c>
      <c r="B17" s="83" t="s">
        <v>1419</v>
      </c>
      <c r="C17" s="24">
        <f t="shared" si="0"/>
        <v>14</v>
      </c>
      <c r="D17" s="24">
        <v>1</v>
      </c>
      <c r="G17" s="37" t="s">
        <v>756</v>
      </c>
      <c r="H17" s="24" t="s">
        <v>3021</v>
      </c>
      <c r="I17" s="24">
        <v>131</v>
      </c>
      <c r="J17" s="24">
        <v>5113</v>
      </c>
      <c r="K17" s="24" t="s">
        <v>21</v>
      </c>
      <c r="L17" s="24">
        <v>1</v>
      </c>
      <c r="M17" s="39">
        <v>10215054</v>
      </c>
      <c r="N17" s="39">
        <f t="shared" si="1"/>
        <v>10215054</v>
      </c>
      <c r="O17" s="38" t="s">
        <v>22</v>
      </c>
    </row>
    <row r="18" spans="1:15" ht="15" customHeight="1" x14ac:dyDescent="0.2">
      <c r="A18" s="24" t="s">
        <v>18</v>
      </c>
      <c r="B18" s="83" t="s">
        <v>1419</v>
      </c>
      <c r="C18" s="24">
        <f t="shared" si="0"/>
        <v>15</v>
      </c>
      <c r="D18" s="24">
        <v>1</v>
      </c>
      <c r="G18" s="37" t="s">
        <v>756</v>
      </c>
      <c r="H18" s="24" t="s">
        <v>3022</v>
      </c>
      <c r="I18" s="24">
        <v>333821</v>
      </c>
      <c r="J18" s="24">
        <v>131</v>
      </c>
      <c r="K18" s="24" t="s">
        <v>21</v>
      </c>
      <c r="L18" s="24">
        <v>1</v>
      </c>
      <c r="M18" s="39">
        <v>102151</v>
      </c>
      <c r="N18" s="39">
        <f t="shared" si="1"/>
        <v>102151</v>
      </c>
      <c r="O18" s="38" t="s">
        <v>22</v>
      </c>
    </row>
    <row r="19" spans="1:15" ht="15" customHeight="1" x14ac:dyDescent="0.2">
      <c r="A19" s="24" t="s">
        <v>18</v>
      </c>
      <c r="B19" s="83" t="s">
        <v>1421</v>
      </c>
      <c r="C19" s="24">
        <f t="shared" si="0"/>
        <v>16</v>
      </c>
      <c r="D19" s="24">
        <v>1</v>
      </c>
      <c r="G19" s="37" t="s">
        <v>829</v>
      </c>
      <c r="H19" s="24" t="s">
        <v>3023</v>
      </c>
      <c r="I19" s="24">
        <v>131</v>
      </c>
      <c r="J19" s="24">
        <v>5113</v>
      </c>
      <c r="K19" s="24" t="s">
        <v>21</v>
      </c>
      <c r="L19" s="24">
        <v>1</v>
      </c>
      <c r="M19" s="39">
        <v>6451613</v>
      </c>
      <c r="N19" s="39">
        <f t="shared" si="1"/>
        <v>6451613</v>
      </c>
      <c r="O19" s="38" t="s">
        <v>22</v>
      </c>
    </row>
    <row r="20" spans="1:15" ht="15" customHeight="1" x14ac:dyDescent="0.2">
      <c r="A20" s="24" t="s">
        <v>18</v>
      </c>
      <c r="B20" s="83" t="s">
        <v>1421</v>
      </c>
      <c r="C20" s="24">
        <f t="shared" si="0"/>
        <v>17</v>
      </c>
      <c r="D20" s="24">
        <v>1</v>
      </c>
      <c r="G20" s="37" t="s">
        <v>829</v>
      </c>
      <c r="H20" s="24" t="s">
        <v>3024</v>
      </c>
      <c r="I20" s="24">
        <v>333821</v>
      </c>
      <c r="J20" s="24">
        <v>131</v>
      </c>
      <c r="K20" s="24" t="s">
        <v>21</v>
      </c>
      <c r="L20" s="24">
        <v>1</v>
      </c>
      <c r="M20" s="39">
        <v>64516</v>
      </c>
      <c r="N20" s="39">
        <f t="shared" si="1"/>
        <v>64516</v>
      </c>
      <c r="O20" s="38" t="s">
        <v>22</v>
      </c>
    </row>
    <row r="21" spans="1:15" ht="15" customHeight="1" x14ac:dyDescent="0.2">
      <c r="A21" s="24" t="s">
        <v>18</v>
      </c>
      <c r="B21" s="83" t="s">
        <v>1421</v>
      </c>
      <c r="C21" s="24">
        <f t="shared" si="0"/>
        <v>18</v>
      </c>
      <c r="D21" s="24">
        <v>1</v>
      </c>
      <c r="G21" s="37" t="s">
        <v>829</v>
      </c>
      <c r="H21" s="24" t="s">
        <v>3025</v>
      </c>
      <c r="I21" s="24">
        <v>131</v>
      </c>
      <c r="J21" s="24">
        <v>5113</v>
      </c>
      <c r="K21" s="24" t="s">
        <v>21</v>
      </c>
      <c r="L21" s="24">
        <v>1</v>
      </c>
      <c r="M21" s="39">
        <v>2688172</v>
      </c>
      <c r="N21" s="39">
        <f t="shared" si="1"/>
        <v>2688172</v>
      </c>
      <c r="O21" s="38" t="s">
        <v>22</v>
      </c>
    </row>
    <row r="22" spans="1:15" ht="15" customHeight="1" x14ac:dyDescent="0.2">
      <c r="A22" s="24" t="s">
        <v>18</v>
      </c>
      <c r="B22" s="83" t="s">
        <v>1421</v>
      </c>
      <c r="C22" s="24">
        <f t="shared" si="0"/>
        <v>19</v>
      </c>
      <c r="D22" s="24">
        <v>1</v>
      </c>
      <c r="G22" s="37" t="s">
        <v>829</v>
      </c>
      <c r="H22" s="24" t="s">
        <v>3026</v>
      </c>
      <c r="I22" s="24">
        <v>333821</v>
      </c>
      <c r="J22" s="24">
        <v>131</v>
      </c>
      <c r="K22" s="24" t="s">
        <v>21</v>
      </c>
      <c r="L22" s="24">
        <v>1</v>
      </c>
      <c r="M22" s="39">
        <v>26882</v>
      </c>
      <c r="N22" s="39">
        <f t="shared" si="1"/>
        <v>26882</v>
      </c>
      <c r="O22" s="38" t="s">
        <v>22</v>
      </c>
    </row>
    <row r="23" spans="1:15" ht="15" customHeight="1" x14ac:dyDescent="0.2">
      <c r="A23" s="24" t="s">
        <v>18</v>
      </c>
      <c r="B23" s="83" t="s">
        <v>1422</v>
      </c>
      <c r="C23" s="24">
        <f t="shared" si="0"/>
        <v>20</v>
      </c>
      <c r="D23" s="24">
        <v>1</v>
      </c>
      <c r="G23" s="37" t="s">
        <v>96</v>
      </c>
      <c r="H23" s="24" t="s">
        <v>3027</v>
      </c>
      <c r="I23" s="24">
        <v>131</v>
      </c>
      <c r="J23" s="24">
        <v>5113</v>
      </c>
      <c r="K23" s="24" t="s">
        <v>21</v>
      </c>
      <c r="L23" s="24">
        <v>1</v>
      </c>
      <c r="M23" s="39">
        <v>9677419</v>
      </c>
      <c r="N23" s="39">
        <f t="shared" si="1"/>
        <v>9677419</v>
      </c>
      <c r="O23" s="38" t="s">
        <v>22</v>
      </c>
    </row>
    <row r="24" spans="1:15" ht="15" customHeight="1" x14ac:dyDescent="0.2">
      <c r="A24" s="24" t="s">
        <v>18</v>
      </c>
      <c r="B24" s="83" t="s">
        <v>1422</v>
      </c>
      <c r="C24" s="24">
        <f t="shared" si="0"/>
        <v>21</v>
      </c>
      <c r="D24" s="24">
        <v>1</v>
      </c>
      <c r="G24" s="37" t="s">
        <v>933</v>
      </c>
      <c r="H24" s="24" t="s">
        <v>3028</v>
      </c>
      <c r="I24" s="24">
        <v>131</v>
      </c>
      <c r="J24" s="24">
        <v>5113</v>
      </c>
      <c r="K24" s="24" t="s">
        <v>21</v>
      </c>
      <c r="L24" s="24">
        <v>1</v>
      </c>
      <c r="M24" s="39">
        <v>21491511</v>
      </c>
      <c r="N24" s="39">
        <f t="shared" si="1"/>
        <v>21491511</v>
      </c>
      <c r="O24" s="38" t="s">
        <v>22</v>
      </c>
    </row>
    <row r="25" spans="1:15" ht="15" customHeight="1" x14ac:dyDescent="0.2">
      <c r="A25" s="24" t="s">
        <v>18</v>
      </c>
      <c r="B25" s="83" t="s">
        <v>1422</v>
      </c>
      <c r="C25" s="24">
        <f t="shared" si="0"/>
        <v>22</v>
      </c>
      <c r="D25" s="24">
        <v>1</v>
      </c>
      <c r="G25" s="37" t="s">
        <v>933</v>
      </c>
      <c r="H25" s="24" t="s">
        <v>3029</v>
      </c>
      <c r="I25" s="24">
        <v>333821</v>
      </c>
      <c r="J25" s="24">
        <v>131</v>
      </c>
      <c r="K25" s="24" t="s">
        <v>21</v>
      </c>
      <c r="L25" s="24">
        <v>1</v>
      </c>
      <c r="M25" s="39">
        <v>214915</v>
      </c>
      <c r="N25" s="39">
        <f t="shared" si="1"/>
        <v>214915</v>
      </c>
      <c r="O25" s="38" t="s">
        <v>22</v>
      </c>
    </row>
    <row r="26" spans="1:15" ht="15" customHeight="1" x14ac:dyDescent="0.2">
      <c r="A26" s="24" t="s">
        <v>18</v>
      </c>
      <c r="B26" s="83" t="s">
        <v>2049</v>
      </c>
      <c r="C26" s="24">
        <f t="shared" si="0"/>
        <v>23</v>
      </c>
      <c r="D26" s="24">
        <v>1</v>
      </c>
      <c r="G26" s="37" t="s">
        <v>2410</v>
      </c>
      <c r="H26" s="24" t="s">
        <v>3030</v>
      </c>
      <c r="I26" s="24">
        <v>131</v>
      </c>
      <c r="J26" s="24">
        <v>5113</v>
      </c>
      <c r="K26" s="24" t="s">
        <v>21</v>
      </c>
      <c r="L26" s="24">
        <v>1</v>
      </c>
      <c r="M26" s="39">
        <v>10215054</v>
      </c>
      <c r="N26" s="39">
        <f t="shared" si="1"/>
        <v>10215054</v>
      </c>
      <c r="O26" s="38" t="s">
        <v>22</v>
      </c>
    </row>
    <row r="27" spans="1:15" ht="15" customHeight="1" x14ac:dyDescent="0.2">
      <c r="A27" s="24" t="s">
        <v>18</v>
      </c>
      <c r="B27" s="83" t="s">
        <v>2049</v>
      </c>
      <c r="C27" s="24">
        <f t="shared" si="0"/>
        <v>24</v>
      </c>
      <c r="D27" s="24">
        <v>1</v>
      </c>
      <c r="G27" s="37" t="s">
        <v>2410</v>
      </c>
      <c r="H27" s="24" t="s">
        <v>3031</v>
      </c>
      <c r="I27" s="24">
        <v>333821</v>
      </c>
      <c r="J27" s="24">
        <v>131</v>
      </c>
      <c r="K27" s="24" t="s">
        <v>21</v>
      </c>
      <c r="L27" s="24">
        <v>1</v>
      </c>
      <c r="M27" s="39">
        <v>102151</v>
      </c>
      <c r="N27" s="39">
        <f t="shared" si="1"/>
        <v>102151</v>
      </c>
      <c r="O27" s="38" t="s">
        <v>22</v>
      </c>
    </row>
    <row r="28" spans="1:15" ht="15" customHeight="1" x14ac:dyDescent="0.2">
      <c r="A28" s="24" t="s">
        <v>18</v>
      </c>
      <c r="B28" s="83" t="s">
        <v>1481</v>
      </c>
      <c r="C28" s="24">
        <f t="shared" si="0"/>
        <v>25</v>
      </c>
      <c r="D28" s="24">
        <v>1</v>
      </c>
      <c r="G28" s="37" t="s">
        <v>3007</v>
      </c>
      <c r="H28" s="24" t="s">
        <v>3032</v>
      </c>
      <c r="I28" s="24">
        <v>131</v>
      </c>
      <c r="J28" s="24">
        <v>5113</v>
      </c>
      <c r="K28" s="24" t="s">
        <v>21</v>
      </c>
      <c r="L28" s="24">
        <v>1</v>
      </c>
      <c r="M28" s="39">
        <v>5376343</v>
      </c>
      <c r="N28" s="39">
        <f t="shared" si="1"/>
        <v>5376343</v>
      </c>
      <c r="O28" s="38" t="s">
        <v>22</v>
      </c>
    </row>
    <row r="29" spans="1:15" ht="15" customHeight="1" x14ac:dyDescent="0.2">
      <c r="A29" s="24" t="s">
        <v>18</v>
      </c>
      <c r="B29" s="83" t="s">
        <v>1481</v>
      </c>
      <c r="C29" s="24">
        <f t="shared" si="0"/>
        <v>26</v>
      </c>
      <c r="D29" s="24">
        <v>1</v>
      </c>
      <c r="G29" s="37" t="s">
        <v>3007</v>
      </c>
      <c r="H29" s="24" t="s">
        <v>3033</v>
      </c>
      <c r="I29" s="24">
        <v>333821</v>
      </c>
      <c r="J29" s="24">
        <v>131</v>
      </c>
      <c r="K29" s="24" t="s">
        <v>21</v>
      </c>
      <c r="L29" s="24">
        <v>1</v>
      </c>
      <c r="M29" s="39">
        <v>53763</v>
      </c>
      <c r="N29" s="39">
        <f t="shared" si="1"/>
        <v>53763</v>
      </c>
      <c r="O29" s="38" t="s">
        <v>22</v>
      </c>
    </row>
    <row r="30" spans="1:15" ht="15" customHeight="1" x14ac:dyDescent="0.2">
      <c r="A30" s="24" t="s">
        <v>18</v>
      </c>
      <c r="B30" s="83" t="s">
        <v>1481</v>
      </c>
      <c r="C30" s="24">
        <f t="shared" si="0"/>
        <v>27</v>
      </c>
      <c r="D30" s="24">
        <v>1</v>
      </c>
      <c r="G30" s="37" t="s">
        <v>756</v>
      </c>
      <c r="H30" s="24" t="s">
        <v>3034</v>
      </c>
      <c r="I30" s="24">
        <v>131</v>
      </c>
      <c r="J30" s="24">
        <v>5113</v>
      </c>
      <c r="K30" s="24" t="s">
        <v>21</v>
      </c>
      <c r="L30" s="24">
        <v>1</v>
      </c>
      <c r="M30" s="39">
        <v>10215054</v>
      </c>
      <c r="N30" s="39">
        <f t="shared" si="1"/>
        <v>10215054</v>
      </c>
      <c r="O30" s="38" t="s">
        <v>22</v>
      </c>
    </row>
    <row r="31" spans="1:15" ht="15" customHeight="1" x14ac:dyDescent="0.2">
      <c r="A31" s="24" t="s">
        <v>18</v>
      </c>
      <c r="B31" s="83" t="s">
        <v>1481</v>
      </c>
      <c r="C31" s="24">
        <f t="shared" si="0"/>
        <v>28</v>
      </c>
      <c r="D31" s="24">
        <v>1</v>
      </c>
      <c r="G31" s="37" t="s">
        <v>756</v>
      </c>
      <c r="H31" s="24" t="s">
        <v>3035</v>
      </c>
      <c r="I31" s="24">
        <v>333821</v>
      </c>
      <c r="J31" s="24">
        <v>131</v>
      </c>
      <c r="K31" s="24" t="s">
        <v>21</v>
      </c>
      <c r="L31" s="24">
        <v>1</v>
      </c>
      <c r="M31" s="39">
        <v>102151</v>
      </c>
      <c r="N31" s="39">
        <f t="shared" si="1"/>
        <v>102151</v>
      </c>
      <c r="O31" s="38" t="s">
        <v>22</v>
      </c>
    </row>
    <row r="32" spans="1:15" ht="15" customHeight="1" x14ac:dyDescent="0.2">
      <c r="A32" s="24" t="s">
        <v>18</v>
      </c>
      <c r="B32" s="83" t="s">
        <v>1423</v>
      </c>
      <c r="C32" s="24">
        <f t="shared" si="0"/>
        <v>29</v>
      </c>
      <c r="D32" s="24">
        <v>1</v>
      </c>
      <c r="G32" s="37" t="s">
        <v>756</v>
      </c>
      <c r="H32" s="24" t="s">
        <v>3036</v>
      </c>
      <c r="I32" s="24">
        <v>131</v>
      </c>
      <c r="J32" s="24">
        <v>5113</v>
      </c>
      <c r="K32" s="24" t="s">
        <v>21</v>
      </c>
      <c r="L32" s="24">
        <v>1</v>
      </c>
      <c r="M32" s="39">
        <v>10215054</v>
      </c>
      <c r="N32" s="39">
        <f t="shared" si="1"/>
        <v>10215054</v>
      </c>
      <c r="O32" s="38" t="s">
        <v>22</v>
      </c>
    </row>
    <row r="33" spans="1:15" ht="15" customHeight="1" x14ac:dyDescent="0.2">
      <c r="A33" s="24" t="s">
        <v>18</v>
      </c>
      <c r="B33" s="83" t="s">
        <v>1423</v>
      </c>
      <c r="C33" s="24">
        <f t="shared" si="0"/>
        <v>30</v>
      </c>
      <c r="D33" s="24">
        <v>1</v>
      </c>
      <c r="G33" s="37" t="s">
        <v>756</v>
      </c>
      <c r="H33" s="24" t="s">
        <v>3037</v>
      </c>
      <c r="I33" s="24">
        <v>333821</v>
      </c>
      <c r="J33" s="24">
        <v>131</v>
      </c>
      <c r="K33" s="24" t="s">
        <v>21</v>
      </c>
      <c r="L33" s="24">
        <v>1</v>
      </c>
      <c r="M33" s="39">
        <v>102151</v>
      </c>
      <c r="N33" s="39">
        <f t="shared" si="1"/>
        <v>102151</v>
      </c>
      <c r="O33" s="38" t="s">
        <v>22</v>
      </c>
    </row>
    <row r="34" spans="1:15" ht="15" customHeight="1" x14ac:dyDescent="0.2">
      <c r="A34" s="24" t="s">
        <v>18</v>
      </c>
      <c r="B34" s="83" t="s">
        <v>1536</v>
      </c>
      <c r="C34" s="24">
        <f t="shared" si="0"/>
        <v>31</v>
      </c>
      <c r="D34" s="24">
        <v>1</v>
      </c>
      <c r="G34" s="37" t="s">
        <v>1136</v>
      </c>
      <c r="H34" s="24" t="s">
        <v>3038</v>
      </c>
      <c r="I34" s="24">
        <v>131</v>
      </c>
      <c r="J34" s="24">
        <v>5113</v>
      </c>
      <c r="K34" s="24" t="s">
        <v>21</v>
      </c>
      <c r="L34" s="24">
        <v>1</v>
      </c>
      <c r="M34" s="39">
        <v>10752688</v>
      </c>
      <c r="N34" s="39">
        <f t="shared" si="1"/>
        <v>10752688</v>
      </c>
      <c r="O34" s="38" t="s">
        <v>22</v>
      </c>
    </row>
    <row r="35" spans="1:15" ht="15" customHeight="1" x14ac:dyDescent="0.2">
      <c r="A35" s="24" t="s">
        <v>18</v>
      </c>
      <c r="B35" s="83" t="s">
        <v>1536</v>
      </c>
      <c r="C35" s="24">
        <f t="shared" si="0"/>
        <v>32</v>
      </c>
      <c r="D35" s="24">
        <v>1</v>
      </c>
      <c r="G35" s="37" t="s">
        <v>1136</v>
      </c>
      <c r="H35" s="24" t="s">
        <v>3039</v>
      </c>
      <c r="I35" s="24">
        <v>333821</v>
      </c>
      <c r="J35" s="24">
        <v>131</v>
      </c>
      <c r="K35" s="24" t="s">
        <v>21</v>
      </c>
      <c r="L35" s="24">
        <v>1</v>
      </c>
      <c r="M35" s="39">
        <v>107527</v>
      </c>
      <c r="N35" s="39">
        <f t="shared" si="1"/>
        <v>107527</v>
      </c>
      <c r="O35" s="38" t="s">
        <v>22</v>
      </c>
    </row>
    <row r="36" spans="1:15" ht="15" customHeight="1" x14ac:dyDescent="0.2">
      <c r="A36" s="24" t="s">
        <v>18</v>
      </c>
      <c r="B36" s="83" t="s">
        <v>1537</v>
      </c>
      <c r="C36" s="24">
        <f t="shared" si="0"/>
        <v>33</v>
      </c>
      <c r="D36" s="24">
        <v>1</v>
      </c>
      <c r="G36" s="37" t="s">
        <v>252</v>
      </c>
      <c r="H36" s="24" t="s">
        <v>3040</v>
      </c>
      <c r="I36" s="24">
        <v>131</v>
      </c>
      <c r="J36" s="24">
        <v>5113</v>
      </c>
      <c r="K36" s="24" t="s">
        <v>21</v>
      </c>
      <c r="L36" s="24">
        <v>1</v>
      </c>
      <c r="M36" s="39">
        <v>22727273</v>
      </c>
      <c r="N36" s="39">
        <f t="shared" si="1"/>
        <v>22727273</v>
      </c>
      <c r="O36" s="38" t="s">
        <v>22</v>
      </c>
    </row>
    <row r="37" spans="1:15" ht="15" customHeight="1" x14ac:dyDescent="0.2">
      <c r="A37" s="24" t="s">
        <v>18</v>
      </c>
      <c r="B37" s="83" t="s">
        <v>1537</v>
      </c>
      <c r="C37" s="24">
        <f t="shared" si="0"/>
        <v>34</v>
      </c>
      <c r="D37" s="24">
        <v>1</v>
      </c>
      <c r="G37" s="37" t="s">
        <v>252</v>
      </c>
      <c r="H37" s="24" t="s">
        <v>3041</v>
      </c>
      <c r="I37" s="24">
        <v>333821</v>
      </c>
      <c r="J37" s="24">
        <v>131</v>
      </c>
      <c r="K37" s="24" t="s">
        <v>21</v>
      </c>
      <c r="L37" s="24">
        <v>1</v>
      </c>
      <c r="M37" s="39">
        <v>227273</v>
      </c>
      <c r="N37" s="39">
        <f t="shared" si="1"/>
        <v>227273</v>
      </c>
      <c r="O37" s="38" t="s">
        <v>22</v>
      </c>
    </row>
    <row r="38" spans="1:15" ht="15" customHeight="1" x14ac:dyDescent="0.2">
      <c r="A38" s="24" t="s">
        <v>18</v>
      </c>
      <c r="B38" s="83" t="s">
        <v>2078</v>
      </c>
      <c r="C38" s="24">
        <f t="shared" si="0"/>
        <v>35</v>
      </c>
      <c r="D38" s="24">
        <v>1</v>
      </c>
      <c r="G38" s="37" t="s">
        <v>756</v>
      </c>
      <c r="H38" s="24" t="s">
        <v>3042</v>
      </c>
      <c r="I38" s="24">
        <v>131</v>
      </c>
      <c r="J38" s="24">
        <v>5113</v>
      </c>
      <c r="K38" s="24" t="s">
        <v>21</v>
      </c>
      <c r="L38" s="24">
        <v>1</v>
      </c>
      <c r="M38" s="39">
        <v>9677419</v>
      </c>
      <c r="N38" s="39">
        <f t="shared" si="1"/>
        <v>9677419</v>
      </c>
      <c r="O38" s="38" t="s">
        <v>22</v>
      </c>
    </row>
    <row r="39" spans="1:15" ht="15" customHeight="1" x14ac:dyDescent="0.2">
      <c r="A39" s="24" t="s">
        <v>18</v>
      </c>
      <c r="B39" s="83" t="s">
        <v>2078</v>
      </c>
      <c r="C39" s="24">
        <f t="shared" si="0"/>
        <v>36</v>
      </c>
      <c r="D39" s="24">
        <v>1</v>
      </c>
      <c r="G39" s="37" t="s">
        <v>756</v>
      </c>
      <c r="H39" s="24" t="s">
        <v>3043</v>
      </c>
      <c r="I39" s="24">
        <v>333821</v>
      </c>
      <c r="J39" s="24">
        <v>131</v>
      </c>
      <c r="K39" s="24" t="s">
        <v>21</v>
      </c>
      <c r="L39" s="24">
        <v>1</v>
      </c>
      <c r="M39" s="39">
        <v>96774</v>
      </c>
      <c r="N39" s="39">
        <f t="shared" si="1"/>
        <v>96774</v>
      </c>
      <c r="O39" s="38" t="s">
        <v>22</v>
      </c>
    </row>
    <row r="40" spans="1:15" ht="15" customHeight="1" x14ac:dyDescent="0.2">
      <c r="A40" s="24" t="s">
        <v>18</v>
      </c>
      <c r="B40" s="83" t="s">
        <v>2445</v>
      </c>
      <c r="C40" s="24">
        <f t="shared" si="0"/>
        <v>37</v>
      </c>
      <c r="D40" s="24">
        <v>1</v>
      </c>
      <c r="G40" s="37" t="s">
        <v>829</v>
      </c>
      <c r="H40" s="24" t="s">
        <v>3044</v>
      </c>
      <c r="I40" s="24">
        <v>131</v>
      </c>
      <c r="J40" s="24">
        <v>5113</v>
      </c>
      <c r="K40" s="24" t="s">
        <v>21</v>
      </c>
      <c r="L40" s="24">
        <v>1</v>
      </c>
      <c r="M40" s="39">
        <v>2688173</v>
      </c>
      <c r="N40" s="39">
        <f t="shared" si="1"/>
        <v>2688173</v>
      </c>
      <c r="O40" s="38" t="s">
        <v>22</v>
      </c>
    </row>
    <row r="41" spans="1:15" ht="15" customHeight="1" x14ac:dyDescent="0.2">
      <c r="A41" s="24" t="s">
        <v>18</v>
      </c>
      <c r="B41" s="83" t="s">
        <v>2445</v>
      </c>
      <c r="C41" s="24">
        <f t="shared" si="0"/>
        <v>38</v>
      </c>
      <c r="D41" s="24">
        <v>1</v>
      </c>
      <c r="G41" s="37" t="s">
        <v>829</v>
      </c>
      <c r="H41" s="24" t="s">
        <v>3045</v>
      </c>
      <c r="I41" s="24">
        <v>333821</v>
      </c>
      <c r="J41" s="24">
        <v>131</v>
      </c>
      <c r="K41" s="24" t="s">
        <v>21</v>
      </c>
      <c r="L41" s="24">
        <v>1</v>
      </c>
      <c r="M41" s="39">
        <v>26882</v>
      </c>
      <c r="N41" s="39">
        <f t="shared" si="1"/>
        <v>26882</v>
      </c>
      <c r="O41" s="38" t="s">
        <v>22</v>
      </c>
    </row>
    <row r="42" spans="1:15" ht="15" customHeight="1" x14ac:dyDescent="0.2">
      <c r="A42" s="24" t="s">
        <v>18</v>
      </c>
      <c r="B42" s="83" t="s">
        <v>2445</v>
      </c>
      <c r="C42" s="24">
        <f t="shared" si="0"/>
        <v>39</v>
      </c>
      <c r="D42" s="24">
        <v>1</v>
      </c>
      <c r="G42" s="37" t="s">
        <v>829</v>
      </c>
      <c r="H42" s="24" t="s">
        <v>3046</v>
      </c>
      <c r="I42" s="24">
        <v>131</v>
      </c>
      <c r="J42" s="24">
        <v>5113</v>
      </c>
      <c r="K42" s="24" t="s">
        <v>21</v>
      </c>
      <c r="L42" s="24">
        <v>1</v>
      </c>
      <c r="M42" s="39">
        <v>6451613</v>
      </c>
      <c r="N42" s="39">
        <f t="shared" si="1"/>
        <v>6451613</v>
      </c>
      <c r="O42" s="38" t="s">
        <v>22</v>
      </c>
    </row>
    <row r="43" spans="1:15" ht="15" customHeight="1" x14ac:dyDescent="0.2">
      <c r="A43" s="24" t="s">
        <v>18</v>
      </c>
      <c r="B43" s="83" t="s">
        <v>2445</v>
      </c>
      <c r="C43" s="24">
        <f t="shared" si="0"/>
        <v>40</v>
      </c>
      <c r="D43" s="24">
        <v>1</v>
      </c>
      <c r="G43" s="37" t="s">
        <v>829</v>
      </c>
      <c r="H43" s="24" t="s">
        <v>3047</v>
      </c>
      <c r="I43" s="24">
        <v>333821</v>
      </c>
      <c r="J43" s="24">
        <v>131</v>
      </c>
      <c r="K43" s="24" t="s">
        <v>21</v>
      </c>
      <c r="L43" s="24">
        <v>1</v>
      </c>
      <c r="M43" s="39">
        <v>64516</v>
      </c>
      <c r="N43" s="39">
        <f t="shared" si="1"/>
        <v>64516</v>
      </c>
      <c r="O43" s="38" t="s">
        <v>22</v>
      </c>
    </row>
    <row r="44" spans="1:15" ht="15" customHeight="1" x14ac:dyDescent="0.2">
      <c r="A44" s="24" t="s">
        <v>18</v>
      </c>
      <c r="B44" s="83" t="s">
        <v>1424</v>
      </c>
      <c r="C44" s="24">
        <f t="shared" si="0"/>
        <v>41</v>
      </c>
      <c r="D44" s="24">
        <v>1</v>
      </c>
      <c r="G44" s="37" t="s">
        <v>3007</v>
      </c>
      <c r="H44" s="24" t="s">
        <v>3048</v>
      </c>
      <c r="I44" s="24">
        <v>131</v>
      </c>
      <c r="J44" s="24">
        <v>5113</v>
      </c>
      <c r="K44" s="24" t="s">
        <v>21</v>
      </c>
      <c r="L44" s="24">
        <v>1</v>
      </c>
      <c r="M44" s="39">
        <v>5376344</v>
      </c>
      <c r="N44" s="39">
        <f t="shared" si="1"/>
        <v>5376344</v>
      </c>
      <c r="O44" s="38" t="s">
        <v>22</v>
      </c>
    </row>
    <row r="45" spans="1:15" ht="15" customHeight="1" x14ac:dyDescent="0.2">
      <c r="A45" s="24" t="s">
        <v>18</v>
      </c>
      <c r="B45" s="83" t="s">
        <v>1424</v>
      </c>
      <c r="C45" s="24">
        <f t="shared" si="0"/>
        <v>42</v>
      </c>
      <c r="D45" s="24">
        <v>1</v>
      </c>
      <c r="G45" s="37" t="s">
        <v>3007</v>
      </c>
      <c r="H45" s="24" t="s">
        <v>3049</v>
      </c>
      <c r="I45" s="24">
        <v>333821</v>
      </c>
      <c r="J45" s="24">
        <v>131</v>
      </c>
      <c r="K45" s="24" t="s">
        <v>21</v>
      </c>
      <c r="L45" s="24">
        <v>1</v>
      </c>
      <c r="M45" s="39">
        <v>53763</v>
      </c>
      <c r="N45" s="39">
        <f t="shared" si="1"/>
        <v>53763</v>
      </c>
      <c r="O45" s="38" t="s">
        <v>22</v>
      </c>
    </row>
    <row r="46" spans="1:15" ht="15" customHeight="1" x14ac:dyDescent="0.2">
      <c r="A46" s="24" t="s">
        <v>18</v>
      </c>
      <c r="B46" s="83">
        <v>45900</v>
      </c>
      <c r="C46" s="24">
        <f t="shared" si="0"/>
        <v>43</v>
      </c>
      <c r="D46" s="24">
        <v>1</v>
      </c>
      <c r="G46" s="37" t="s">
        <v>1235</v>
      </c>
      <c r="H46" s="24" t="s">
        <v>280</v>
      </c>
      <c r="I46" s="24">
        <v>64271</v>
      </c>
      <c r="J46" s="24">
        <v>3383</v>
      </c>
      <c r="K46" s="24" t="s">
        <v>21</v>
      </c>
      <c r="L46" s="24">
        <v>1</v>
      </c>
      <c r="M46" s="39">
        <v>690300</v>
      </c>
      <c r="N46" s="39">
        <f t="shared" si="1"/>
        <v>690300</v>
      </c>
      <c r="O46" s="38" t="s">
        <v>22</v>
      </c>
    </row>
    <row r="47" spans="1:15" ht="15" customHeight="1" x14ac:dyDescent="0.2">
      <c r="A47" s="24" t="s">
        <v>18</v>
      </c>
      <c r="B47" s="83">
        <v>45930</v>
      </c>
      <c r="C47" s="24">
        <f t="shared" si="0"/>
        <v>44</v>
      </c>
      <c r="D47" s="24">
        <v>1</v>
      </c>
      <c r="G47" s="37" t="s">
        <v>1235</v>
      </c>
      <c r="H47" s="24" t="s">
        <v>367</v>
      </c>
      <c r="I47" s="24">
        <v>64271</v>
      </c>
      <c r="J47" s="24">
        <v>3383</v>
      </c>
      <c r="K47" s="24" t="s">
        <v>21</v>
      </c>
      <c r="L47" s="24">
        <v>1</v>
      </c>
      <c r="M47" s="39">
        <v>690300</v>
      </c>
      <c r="N47" s="39">
        <f t="shared" si="1"/>
        <v>690300</v>
      </c>
      <c r="O47" s="38" t="s">
        <v>22</v>
      </c>
    </row>
    <row r="48" spans="1:15" ht="15" customHeight="1" x14ac:dyDescent="0.2">
      <c r="A48" s="24" t="s">
        <v>18</v>
      </c>
      <c r="B48" s="83" t="s">
        <v>1477</v>
      </c>
      <c r="C48" s="24">
        <f t="shared" si="0"/>
        <v>45</v>
      </c>
      <c r="D48" s="24">
        <v>1</v>
      </c>
      <c r="G48" s="37" t="s">
        <v>1727</v>
      </c>
      <c r="H48" s="24" t="s">
        <v>3058</v>
      </c>
      <c r="I48" s="24">
        <v>64275</v>
      </c>
      <c r="J48" s="24">
        <v>331</v>
      </c>
      <c r="K48" s="24" t="s">
        <v>21</v>
      </c>
      <c r="L48" s="24">
        <v>1</v>
      </c>
      <c r="M48" s="39">
        <v>6144600</v>
      </c>
      <c r="N48" s="39">
        <f t="shared" si="1"/>
        <v>6144600</v>
      </c>
      <c r="O48" s="38" t="s">
        <v>22</v>
      </c>
    </row>
    <row r="49" spans="1:15" ht="15" customHeight="1" x14ac:dyDescent="0.2">
      <c r="A49" s="24" t="s">
        <v>18</v>
      </c>
      <c r="B49" s="83" t="s">
        <v>1534</v>
      </c>
      <c r="C49" s="24">
        <f t="shared" si="0"/>
        <v>46</v>
      </c>
      <c r="D49" s="24">
        <v>1</v>
      </c>
      <c r="G49" s="37" t="s">
        <v>695</v>
      </c>
      <c r="H49" s="24" t="s">
        <v>3050</v>
      </c>
      <c r="I49" s="24">
        <v>64276</v>
      </c>
      <c r="J49" s="24">
        <v>331</v>
      </c>
      <c r="K49" s="24" t="s">
        <v>21</v>
      </c>
      <c r="L49" s="24">
        <v>1</v>
      </c>
      <c r="M49" s="39">
        <v>99000</v>
      </c>
      <c r="N49" s="39">
        <f t="shared" si="1"/>
        <v>99000</v>
      </c>
      <c r="O49" s="38" t="s">
        <v>22</v>
      </c>
    </row>
    <row r="50" spans="1:15" ht="15" customHeight="1" x14ac:dyDescent="0.2">
      <c r="A50" s="24" t="s">
        <v>18</v>
      </c>
      <c r="B50" s="83" t="s">
        <v>2481</v>
      </c>
      <c r="C50" s="24">
        <f t="shared" si="0"/>
        <v>47</v>
      </c>
      <c r="D50" s="24">
        <v>1</v>
      </c>
      <c r="G50" s="37" t="s">
        <v>695</v>
      </c>
      <c r="H50" s="24" t="s">
        <v>3051</v>
      </c>
      <c r="I50" s="24">
        <v>64276</v>
      </c>
      <c r="J50" s="24">
        <v>331</v>
      </c>
      <c r="K50" s="24" t="s">
        <v>21</v>
      </c>
      <c r="L50" s="24">
        <v>1</v>
      </c>
      <c r="M50" s="39">
        <v>1662120</v>
      </c>
      <c r="N50" s="39">
        <f t="shared" si="1"/>
        <v>1662120</v>
      </c>
      <c r="O50" s="38" t="s">
        <v>22</v>
      </c>
    </row>
    <row r="51" spans="1:15" ht="15" customHeight="1" x14ac:dyDescent="0.2">
      <c r="A51" s="24" t="s">
        <v>18</v>
      </c>
      <c r="B51" s="83" t="s">
        <v>1415</v>
      </c>
      <c r="C51" s="24">
        <f t="shared" si="0"/>
        <v>48</v>
      </c>
      <c r="D51" s="24">
        <v>1</v>
      </c>
      <c r="G51" s="37" t="s">
        <v>3052</v>
      </c>
      <c r="H51" s="24" t="s">
        <v>3059</v>
      </c>
      <c r="I51" s="24">
        <v>64277</v>
      </c>
      <c r="J51" s="24">
        <v>331</v>
      </c>
      <c r="K51" s="24" t="s">
        <v>21</v>
      </c>
      <c r="L51" s="24">
        <v>1</v>
      </c>
      <c r="M51" s="39">
        <v>224640</v>
      </c>
      <c r="N51" s="39">
        <f t="shared" si="1"/>
        <v>224640</v>
      </c>
      <c r="O51" s="38" t="s">
        <v>22</v>
      </c>
    </row>
    <row r="52" spans="1:15" ht="15" customHeight="1" x14ac:dyDescent="0.2">
      <c r="A52" s="24" t="s">
        <v>18</v>
      </c>
      <c r="B52" s="83" t="s">
        <v>1535</v>
      </c>
      <c r="C52" s="24">
        <f t="shared" si="0"/>
        <v>49</v>
      </c>
      <c r="D52" s="24">
        <v>1</v>
      </c>
      <c r="G52" s="37" t="s">
        <v>3053</v>
      </c>
      <c r="H52" s="24" t="s">
        <v>3060</v>
      </c>
      <c r="I52" s="24">
        <v>64277</v>
      </c>
      <c r="J52" s="24">
        <v>331</v>
      </c>
      <c r="K52" s="24" t="s">
        <v>21</v>
      </c>
      <c r="L52" s="24">
        <v>1</v>
      </c>
      <c r="M52" s="39">
        <v>617585</v>
      </c>
      <c r="N52" s="39">
        <f t="shared" si="1"/>
        <v>617585</v>
      </c>
      <c r="O52" s="38" t="s">
        <v>22</v>
      </c>
    </row>
    <row r="53" spans="1:15" ht="15" customHeight="1" x14ac:dyDescent="0.2">
      <c r="A53" s="24" t="s">
        <v>18</v>
      </c>
      <c r="B53" s="83" t="s">
        <v>2049</v>
      </c>
      <c r="C53" s="24">
        <f t="shared" si="0"/>
        <v>50</v>
      </c>
      <c r="D53" s="24">
        <v>1</v>
      </c>
      <c r="G53" s="37" t="s">
        <v>3054</v>
      </c>
      <c r="H53" s="24" t="s">
        <v>3065</v>
      </c>
      <c r="I53" s="24">
        <v>64276</v>
      </c>
      <c r="J53" s="24">
        <v>331</v>
      </c>
      <c r="K53" s="24" t="s">
        <v>21</v>
      </c>
      <c r="L53" s="24">
        <v>1</v>
      </c>
      <c r="M53" s="39">
        <v>715000</v>
      </c>
      <c r="N53" s="39">
        <f t="shared" si="1"/>
        <v>715000</v>
      </c>
      <c r="O53" s="38" t="s">
        <v>22</v>
      </c>
    </row>
    <row r="54" spans="1:15" ht="15" customHeight="1" x14ac:dyDescent="0.2">
      <c r="A54" s="24" t="s">
        <v>18</v>
      </c>
      <c r="B54" s="83" t="s">
        <v>2484</v>
      </c>
      <c r="C54" s="24">
        <f t="shared" si="0"/>
        <v>51</v>
      </c>
      <c r="D54" s="24">
        <v>1</v>
      </c>
      <c r="G54" s="37" t="s">
        <v>3055</v>
      </c>
      <c r="H54" s="24" t="s">
        <v>3066</v>
      </c>
      <c r="I54" s="24">
        <v>64277</v>
      </c>
      <c r="J54" s="24">
        <v>331</v>
      </c>
      <c r="K54" s="24" t="s">
        <v>21</v>
      </c>
      <c r="L54" s="24">
        <v>1</v>
      </c>
      <c r="M54" s="39">
        <v>2998000</v>
      </c>
      <c r="N54" s="39">
        <f t="shared" si="1"/>
        <v>2998000</v>
      </c>
      <c r="O54" s="38" t="s">
        <v>22</v>
      </c>
    </row>
    <row r="55" spans="1:15" ht="15" customHeight="1" x14ac:dyDescent="0.2">
      <c r="A55" s="24" t="s">
        <v>18</v>
      </c>
      <c r="B55" s="83" t="s">
        <v>2126</v>
      </c>
      <c r="C55" s="24">
        <f t="shared" si="0"/>
        <v>52</v>
      </c>
      <c r="D55" s="24">
        <v>1</v>
      </c>
      <c r="G55" s="37" t="s">
        <v>3053</v>
      </c>
      <c r="H55" s="24" t="s">
        <v>3061</v>
      </c>
      <c r="I55" s="24">
        <v>64277</v>
      </c>
      <c r="J55" s="24">
        <v>331</v>
      </c>
      <c r="K55" s="24" t="s">
        <v>21</v>
      </c>
      <c r="L55" s="24">
        <v>1</v>
      </c>
      <c r="M55" s="39">
        <v>416440</v>
      </c>
      <c r="N55" s="39">
        <f t="shared" si="1"/>
        <v>416440</v>
      </c>
      <c r="O55" s="38" t="s">
        <v>22</v>
      </c>
    </row>
    <row r="56" spans="1:15" ht="15" customHeight="1" x14ac:dyDescent="0.2">
      <c r="A56" s="24" t="s">
        <v>18</v>
      </c>
      <c r="B56" s="83" t="s">
        <v>1422</v>
      </c>
      <c r="C56" s="24">
        <f t="shared" si="0"/>
        <v>53</v>
      </c>
      <c r="D56" s="24">
        <v>1</v>
      </c>
      <c r="G56" s="37" t="s">
        <v>3053</v>
      </c>
      <c r="H56" s="24" t="s">
        <v>3062</v>
      </c>
      <c r="I56" s="24">
        <v>64277</v>
      </c>
      <c r="J56" s="24">
        <v>331</v>
      </c>
      <c r="K56" s="24" t="s">
        <v>21</v>
      </c>
      <c r="L56" s="24">
        <v>1</v>
      </c>
      <c r="M56" s="39">
        <v>402125</v>
      </c>
      <c r="N56" s="39">
        <f t="shared" si="1"/>
        <v>402125</v>
      </c>
      <c r="O56" s="38" t="s">
        <v>22</v>
      </c>
    </row>
    <row r="57" spans="1:15" ht="15" customHeight="1" x14ac:dyDescent="0.2">
      <c r="A57" s="24" t="s">
        <v>18</v>
      </c>
      <c r="B57" s="83" t="s">
        <v>2483</v>
      </c>
      <c r="C57" s="24">
        <f t="shared" si="0"/>
        <v>54</v>
      </c>
      <c r="D57" s="24">
        <v>1</v>
      </c>
      <c r="G57" s="37" t="s">
        <v>3056</v>
      </c>
      <c r="H57" s="24" t="s">
        <v>3063</v>
      </c>
      <c r="I57" s="24">
        <v>64277</v>
      </c>
      <c r="J57" s="24">
        <v>331</v>
      </c>
      <c r="K57" s="24" t="s">
        <v>21</v>
      </c>
      <c r="L57" s="24">
        <v>1</v>
      </c>
      <c r="M57" s="39">
        <v>965000</v>
      </c>
      <c r="N57" s="39">
        <f t="shared" si="1"/>
        <v>965000</v>
      </c>
      <c r="O57" s="38" t="s">
        <v>22</v>
      </c>
    </row>
    <row r="58" spans="1:15" ht="15" customHeight="1" x14ac:dyDescent="0.2">
      <c r="A58" s="24" t="s">
        <v>18</v>
      </c>
      <c r="B58" s="83" t="s">
        <v>2485</v>
      </c>
      <c r="C58" s="24">
        <f t="shared" si="0"/>
        <v>55</v>
      </c>
      <c r="D58" s="24">
        <v>1</v>
      </c>
      <c r="G58" s="37" t="s">
        <v>3057</v>
      </c>
      <c r="H58" s="24" t="s">
        <v>3064</v>
      </c>
      <c r="I58" s="24">
        <v>64277</v>
      </c>
      <c r="J58" s="24">
        <v>331</v>
      </c>
      <c r="K58" s="24" t="s">
        <v>21</v>
      </c>
      <c r="L58" s="24">
        <v>1</v>
      </c>
      <c r="M58" s="39">
        <v>1550400</v>
      </c>
      <c r="N58" s="39">
        <f t="shared" si="1"/>
        <v>1550400</v>
      </c>
      <c r="O58" s="38" t="s">
        <v>22</v>
      </c>
    </row>
    <row r="59" spans="1:15" ht="15" customHeight="1" x14ac:dyDescent="0.2">
      <c r="A59" s="24" t="s">
        <v>368</v>
      </c>
      <c r="B59" s="83" t="s">
        <v>1477</v>
      </c>
      <c r="C59" s="24">
        <f t="shared" si="0"/>
        <v>56</v>
      </c>
      <c r="D59" s="24">
        <v>1</v>
      </c>
      <c r="G59" s="37" t="s">
        <v>1727</v>
      </c>
      <c r="H59" s="24" t="s">
        <v>3058</v>
      </c>
      <c r="I59" s="24">
        <v>331</v>
      </c>
      <c r="J59" s="24">
        <v>1111</v>
      </c>
      <c r="K59" s="24" t="s">
        <v>21</v>
      </c>
      <c r="L59" s="24">
        <v>1</v>
      </c>
      <c r="M59" s="39">
        <v>6144600</v>
      </c>
      <c r="N59" s="39">
        <f t="shared" si="1"/>
        <v>6144600</v>
      </c>
      <c r="O59" s="38" t="s">
        <v>22</v>
      </c>
    </row>
    <row r="60" spans="1:15" ht="15" customHeight="1" x14ac:dyDescent="0.2">
      <c r="A60" s="24" t="s">
        <v>368</v>
      </c>
      <c r="B60" s="83" t="s">
        <v>1534</v>
      </c>
      <c r="C60" s="24">
        <f t="shared" si="0"/>
        <v>57</v>
      </c>
      <c r="D60" s="24">
        <v>1</v>
      </c>
      <c r="G60" s="37" t="s">
        <v>695</v>
      </c>
      <c r="H60" s="24" t="s">
        <v>3050</v>
      </c>
      <c r="I60" s="24">
        <v>331</v>
      </c>
      <c r="J60" s="24">
        <v>1111</v>
      </c>
      <c r="K60" s="24" t="s">
        <v>21</v>
      </c>
      <c r="L60" s="24">
        <v>1</v>
      </c>
      <c r="M60" s="39">
        <v>99000</v>
      </c>
      <c r="N60" s="39">
        <f t="shared" si="1"/>
        <v>99000</v>
      </c>
      <c r="O60" s="38" t="s">
        <v>22</v>
      </c>
    </row>
    <row r="61" spans="1:15" ht="15" customHeight="1" x14ac:dyDescent="0.2">
      <c r="A61" s="24" t="s">
        <v>368</v>
      </c>
      <c r="B61" s="83" t="s">
        <v>2481</v>
      </c>
      <c r="C61" s="24">
        <f t="shared" si="0"/>
        <v>58</v>
      </c>
      <c r="D61" s="24">
        <v>1</v>
      </c>
      <c r="G61" s="37" t="s">
        <v>695</v>
      </c>
      <c r="H61" s="24" t="s">
        <v>3051</v>
      </c>
      <c r="I61" s="24">
        <v>331</v>
      </c>
      <c r="J61" s="24">
        <v>1111</v>
      </c>
      <c r="K61" s="24" t="s">
        <v>21</v>
      </c>
      <c r="L61" s="24">
        <v>1</v>
      </c>
      <c r="M61" s="39">
        <v>1662120</v>
      </c>
      <c r="N61" s="39">
        <f t="shared" si="1"/>
        <v>1662120</v>
      </c>
      <c r="O61" s="38" t="s">
        <v>22</v>
      </c>
    </row>
    <row r="62" spans="1:15" ht="15" customHeight="1" x14ac:dyDescent="0.2">
      <c r="A62" s="24" t="s">
        <v>368</v>
      </c>
      <c r="B62" s="83" t="s">
        <v>1415</v>
      </c>
      <c r="C62" s="24">
        <f t="shared" si="0"/>
        <v>59</v>
      </c>
      <c r="D62" s="24">
        <v>1</v>
      </c>
      <c r="G62" s="37" t="s">
        <v>3052</v>
      </c>
      <c r="H62" s="24" t="s">
        <v>3059</v>
      </c>
      <c r="I62" s="24">
        <v>331</v>
      </c>
      <c r="J62" s="24">
        <v>1111</v>
      </c>
      <c r="K62" s="24" t="s">
        <v>21</v>
      </c>
      <c r="L62" s="24">
        <v>1</v>
      </c>
      <c r="M62" s="39">
        <v>224640</v>
      </c>
      <c r="N62" s="39">
        <f t="shared" si="1"/>
        <v>224640</v>
      </c>
      <c r="O62" s="38" t="s">
        <v>22</v>
      </c>
    </row>
    <row r="63" spans="1:15" ht="15" customHeight="1" x14ac:dyDescent="0.2">
      <c r="A63" s="24" t="s">
        <v>368</v>
      </c>
      <c r="B63" s="83" t="s">
        <v>1535</v>
      </c>
      <c r="C63" s="24">
        <f t="shared" si="0"/>
        <v>60</v>
      </c>
      <c r="D63" s="24">
        <v>1</v>
      </c>
      <c r="G63" s="37" t="s">
        <v>3053</v>
      </c>
      <c r="H63" s="24" t="s">
        <v>3060</v>
      </c>
      <c r="I63" s="24">
        <v>331</v>
      </c>
      <c r="J63" s="24">
        <v>1111</v>
      </c>
      <c r="K63" s="24" t="s">
        <v>21</v>
      </c>
      <c r="L63" s="24">
        <v>1</v>
      </c>
      <c r="M63" s="39">
        <v>617585</v>
      </c>
      <c r="N63" s="39">
        <f t="shared" si="1"/>
        <v>617585</v>
      </c>
      <c r="O63" s="38" t="s">
        <v>22</v>
      </c>
    </row>
    <row r="64" spans="1:15" ht="15" customHeight="1" x14ac:dyDescent="0.2">
      <c r="A64" s="24" t="s">
        <v>368</v>
      </c>
      <c r="B64" s="83" t="s">
        <v>2049</v>
      </c>
      <c r="C64" s="24">
        <f t="shared" si="0"/>
        <v>61</v>
      </c>
      <c r="D64" s="24">
        <v>1</v>
      </c>
      <c r="G64" s="37" t="s">
        <v>3054</v>
      </c>
      <c r="H64" s="24" t="s">
        <v>3065</v>
      </c>
      <c r="I64" s="24">
        <v>331</v>
      </c>
      <c r="J64" s="24">
        <v>1111</v>
      </c>
      <c r="K64" s="24" t="s">
        <v>21</v>
      </c>
      <c r="L64" s="24">
        <v>1</v>
      </c>
      <c r="M64" s="39">
        <v>715000</v>
      </c>
      <c r="N64" s="39">
        <f t="shared" si="1"/>
        <v>715000</v>
      </c>
      <c r="O64" s="38" t="s">
        <v>22</v>
      </c>
    </row>
    <row r="65" spans="1:16" ht="15" customHeight="1" x14ac:dyDescent="0.2">
      <c r="A65" s="24" t="s">
        <v>368</v>
      </c>
      <c r="B65" s="83" t="s">
        <v>2484</v>
      </c>
      <c r="C65" s="24">
        <f t="shared" si="0"/>
        <v>62</v>
      </c>
      <c r="D65" s="24">
        <v>1</v>
      </c>
      <c r="G65" s="37" t="s">
        <v>3055</v>
      </c>
      <c r="H65" s="24" t="s">
        <v>3066</v>
      </c>
      <c r="I65" s="24">
        <v>331</v>
      </c>
      <c r="J65" s="24">
        <v>1111</v>
      </c>
      <c r="K65" s="24" t="s">
        <v>21</v>
      </c>
      <c r="L65" s="24">
        <v>1</v>
      </c>
      <c r="M65" s="39">
        <v>2998000</v>
      </c>
      <c r="N65" s="39">
        <f t="shared" si="1"/>
        <v>2998000</v>
      </c>
      <c r="O65" s="38" t="s">
        <v>22</v>
      </c>
    </row>
    <row r="66" spans="1:16" ht="15" customHeight="1" x14ac:dyDescent="0.2">
      <c r="A66" s="24" t="s">
        <v>368</v>
      </c>
      <c r="B66" s="83" t="s">
        <v>2126</v>
      </c>
      <c r="C66" s="24">
        <f t="shared" si="0"/>
        <v>63</v>
      </c>
      <c r="D66" s="24">
        <v>1</v>
      </c>
      <c r="G66" s="37" t="s">
        <v>3053</v>
      </c>
      <c r="H66" s="24" t="s">
        <v>3061</v>
      </c>
      <c r="I66" s="24">
        <v>331</v>
      </c>
      <c r="J66" s="24">
        <v>1111</v>
      </c>
      <c r="K66" s="24" t="s">
        <v>21</v>
      </c>
      <c r="L66" s="24">
        <v>1</v>
      </c>
      <c r="M66" s="39">
        <v>416440</v>
      </c>
      <c r="N66" s="39">
        <f t="shared" si="1"/>
        <v>416440</v>
      </c>
      <c r="O66" s="38" t="s">
        <v>22</v>
      </c>
    </row>
    <row r="67" spans="1:16" ht="15" customHeight="1" x14ac:dyDescent="0.2">
      <c r="A67" s="24" t="s">
        <v>368</v>
      </c>
      <c r="B67" s="83" t="s">
        <v>1422</v>
      </c>
      <c r="C67" s="24">
        <f t="shared" si="0"/>
        <v>64</v>
      </c>
      <c r="D67" s="24">
        <v>1</v>
      </c>
      <c r="G67" s="37" t="s">
        <v>3053</v>
      </c>
      <c r="H67" s="24" t="s">
        <v>3062</v>
      </c>
      <c r="I67" s="24">
        <v>331</v>
      </c>
      <c r="J67" s="24">
        <v>1111</v>
      </c>
      <c r="K67" s="24" t="s">
        <v>21</v>
      </c>
      <c r="L67" s="24">
        <v>1</v>
      </c>
      <c r="M67" s="39">
        <v>402125</v>
      </c>
      <c r="N67" s="39">
        <f t="shared" si="1"/>
        <v>402125</v>
      </c>
      <c r="O67" s="38" t="s">
        <v>22</v>
      </c>
    </row>
    <row r="68" spans="1:16" ht="15" customHeight="1" x14ac:dyDescent="0.2">
      <c r="A68" s="24" t="s">
        <v>368</v>
      </c>
      <c r="B68" s="83" t="s">
        <v>2483</v>
      </c>
      <c r="C68" s="24">
        <f t="shared" si="0"/>
        <v>65</v>
      </c>
      <c r="D68" s="24">
        <v>1</v>
      </c>
      <c r="G68" s="37" t="s">
        <v>3056</v>
      </c>
      <c r="H68" s="24" t="s">
        <v>3063</v>
      </c>
      <c r="I68" s="24">
        <v>331</v>
      </c>
      <c r="J68" s="24">
        <v>1111</v>
      </c>
      <c r="K68" s="24" t="s">
        <v>21</v>
      </c>
      <c r="L68" s="24">
        <v>1</v>
      </c>
      <c r="M68" s="39">
        <v>965000</v>
      </c>
      <c r="N68" s="39">
        <f t="shared" ref="N68:N102" si="2">L68*M68</f>
        <v>965000</v>
      </c>
      <c r="O68" s="38" t="s">
        <v>22</v>
      </c>
    </row>
    <row r="69" spans="1:16" ht="15" customHeight="1" x14ac:dyDescent="0.2">
      <c r="A69" s="24" t="s">
        <v>368</v>
      </c>
      <c r="B69" s="83" t="s">
        <v>2485</v>
      </c>
      <c r="C69" s="24">
        <f t="shared" ref="C69:C104" si="3">C68+D69</f>
        <v>66</v>
      </c>
      <c r="D69" s="24">
        <v>1</v>
      </c>
      <c r="G69" s="37" t="s">
        <v>3057</v>
      </c>
      <c r="H69" s="24" t="s">
        <v>3064</v>
      </c>
      <c r="I69" s="24">
        <v>331</v>
      </c>
      <c r="J69" s="24">
        <v>1111</v>
      </c>
      <c r="K69" s="24" t="s">
        <v>21</v>
      </c>
      <c r="L69" s="24">
        <v>1</v>
      </c>
      <c r="M69" s="39">
        <v>1550400</v>
      </c>
      <c r="N69" s="39">
        <f t="shared" si="2"/>
        <v>1550400</v>
      </c>
      <c r="O69" s="38" t="s">
        <v>22</v>
      </c>
    </row>
    <row r="70" spans="1:16" ht="15" customHeight="1" x14ac:dyDescent="0.2">
      <c r="A70" s="24" t="s">
        <v>33</v>
      </c>
      <c r="B70" s="83">
        <v>45897</v>
      </c>
      <c r="C70" s="24">
        <f t="shared" si="3"/>
        <v>67</v>
      </c>
      <c r="D70" s="24">
        <v>1</v>
      </c>
      <c r="G70" s="37" t="s">
        <v>635</v>
      </c>
      <c r="H70" s="24" t="s">
        <v>3067</v>
      </c>
      <c r="I70" s="24">
        <v>112111</v>
      </c>
      <c r="J70" s="24">
        <v>131</v>
      </c>
      <c r="K70" s="24" t="s">
        <v>21</v>
      </c>
      <c r="L70" s="24">
        <v>1</v>
      </c>
      <c r="M70" s="39">
        <v>10112903</v>
      </c>
      <c r="N70" s="39">
        <f t="shared" si="2"/>
        <v>10112903</v>
      </c>
      <c r="O70" s="38" t="s">
        <v>22</v>
      </c>
    </row>
    <row r="71" spans="1:16" ht="15" customHeight="1" x14ac:dyDescent="0.2">
      <c r="A71" s="24" t="s">
        <v>33</v>
      </c>
      <c r="B71" s="83">
        <v>45898</v>
      </c>
      <c r="C71" s="24">
        <f t="shared" si="3"/>
        <v>68</v>
      </c>
      <c r="D71" s="24">
        <v>1</v>
      </c>
      <c r="G71" s="37" t="s">
        <v>252</v>
      </c>
      <c r="H71" s="24" t="s">
        <v>3068</v>
      </c>
      <c r="I71" s="24">
        <v>112111</v>
      </c>
      <c r="J71" s="24">
        <v>131</v>
      </c>
      <c r="K71" s="24" t="s">
        <v>21</v>
      </c>
      <c r="L71" s="24">
        <v>1</v>
      </c>
      <c r="M71" s="39">
        <v>22500000</v>
      </c>
      <c r="N71" s="39">
        <f t="shared" si="2"/>
        <v>22500000</v>
      </c>
      <c r="O71" s="38" t="s">
        <v>22</v>
      </c>
    </row>
    <row r="72" spans="1:16" ht="15" customHeight="1" x14ac:dyDescent="0.2">
      <c r="A72" s="24" t="s">
        <v>33</v>
      </c>
      <c r="B72" s="83">
        <v>45900</v>
      </c>
      <c r="C72" s="24">
        <f t="shared" si="3"/>
        <v>69</v>
      </c>
      <c r="D72" s="24">
        <v>1</v>
      </c>
      <c r="G72" s="37" t="s">
        <v>2204</v>
      </c>
      <c r="H72" s="42" t="s">
        <v>129</v>
      </c>
      <c r="I72" s="24">
        <v>112111</v>
      </c>
      <c r="J72" s="46">
        <v>5154</v>
      </c>
      <c r="K72" s="24" t="s">
        <v>21</v>
      </c>
      <c r="L72" s="24">
        <v>1</v>
      </c>
      <c r="M72" s="39">
        <v>1032</v>
      </c>
      <c r="N72" s="39">
        <f t="shared" si="2"/>
        <v>1032</v>
      </c>
      <c r="O72" s="38" t="s">
        <v>22</v>
      </c>
    </row>
    <row r="73" spans="1:16" ht="15" customHeight="1" x14ac:dyDescent="0.2">
      <c r="A73" s="24" t="s">
        <v>33</v>
      </c>
      <c r="B73" s="83">
        <v>45905</v>
      </c>
      <c r="C73" s="24">
        <f t="shared" si="3"/>
        <v>70</v>
      </c>
      <c r="D73" s="24">
        <v>1</v>
      </c>
      <c r="G73" s="37" t="s">
        <v>784</v>
      </c>
      <c r="H73" s="24" t="s">
        <v>3069</v>
      </c>
      <c r="I73" s="24">
        <v>112111</v>
      </c>
      <c r="J73" s="24">
        <v>131</v>
      </c>
      <c r="K73" s="24" t="s">
        <v>21</v>
      </c>
      <c r="L73" s="24">
        <v>1</v>
      </c>
      <c r="M73" s="39">
        <v>10112903</v>
      </c>
      <c r="N73" s="39">
        <f t="shared" si="2"/>
        <v>10112903</v>
      </c>
      <c r="O73" s="38" t="s">
        <v>22</v>
      </c>
    </row>
    <row r="74" spans="1:16" ht="15" customHeight="1" x14ac:dyDescent="0.2">
      <c r="A74" s="24" t="s">
        <v>89</v>
      </c>
      <c r="B74" s="83">
        <v>45907</v>
      </c>
      <c r="C74" s="24">
        <f t="shared" si="3"/>
        <v>71</v>
      </c>
      <c r="D74" s="24">
        <v>1</v>
      </c>
      <c r="G74" s="37" t="s">
        <v>3070</v>
      </c>
      <c r="H74" s="42" t="s">
        <v>1008</v>
      </c>
      <c r="I74" s="24">
        <v>1111</v>
      </c>
      <c r="J74" s="24">
        <v>112111</v>
      </c>
      <c r="K74" s="24" t="s">
        <v>21</v>
      </c>
      <c r="L74" s="24">
        <v>1</v>
      </c>
      <c r="M74" s="39">
        <v>40000000</v>
      </c>
      <c r="N74" s="39">
        <f t="shared" si="2"/>
        <v>40000000</v>
      </c>
      <c r="O74" s="38" t="s">
        <v>22</v>
      </c>
      <c r="P74" s="38"/>
    </row>
    <row r="75" spans="1:16" ht="15" customHeight="1" x14ac:dyDescent="0.2">
      <c r="A75" s="24" t="s">
        <v>33</v>
      </c>
      <c r="B75" s="83">
        <v>45908</v>
      </c>
      <c r="C75" s="24">
        <f t="shared" si="3"/>
        <v>72</v>
      </c>
      <c r="D75" s="24">
        <v>1</v>
      </c>
      <c r="G75" s="37" t="s">
        <v>756</v>
      </c>
      <c r="H75" s="24" t="s">
        <v>3071</v>
      </c>
      <c r="I75" s="24">
        <v>112111</v>
      </c>
      <c r="J75" s="24">
        <v>131</v>
      </c>
      <c r="K75" s="24" t="s">
        <v>21</v>
      </c>
      <c r="L75" s="24">
        <v>1</v>
      </c>
      <c r="M75" s="39">
        <v>9048387</v>
      </c>
      <c r="N75" s="39">
        <f t="shared" si="2"/>
        <v>9048387</v>
      </c>
      <c r="O75" s="38" t="s">
        <v>22</v>
      </c>
    </row>
    <row r="76" spans="1:16" ht="15" customHeight="1" x14ac:dyDescent="0.2">
      <c r="A76" s="24" t="s">
        <v>33</v>
      </c>
      <c r="B76" s="83">
        <v>45909</v>
      </c>
      <c r="C76" s="24">
        <f t="shared" si="3"/>
        <v>73</v>
      </c>
      <c r="D76" s="24">
        <v>1</v>
      </c>
      <c r="G76" s="37" t="s">
        <v>96</v>
      </c>
      <c r="H76" s="24" t="s">
        <v>3072</v>
      </c>
      <c r="I76" s="24">
        <v>112111</v>
      </c>
      <c r="J76" s="24">
        <v>131</v>
      </c>
      <c r="K76" s="24" t="s">
        <v>21</v>
      </c>
      <c r="L76" s="24">
        <v>1</v>
      </c>
      <c r="M76" s="39">
        <v>9677419</v>
      </c>
      <c r="N76" s="39">
        <f t="shared" si="2"/>
        <v>9677419</v>
      </c>
      <c r="O76" s="38" t="s">
        <v>22</v>
      </c>
    </row>
    <row r="77" spans="1:16" ht="15" customHeight="1" x14ac:dyDescent="0.2">
      <c r="A77" s="24" t="s">
        <v>33</v>
      </c>
      <c r="B77" s="83">
        <v>45909</v>
      </c>
      <c r="C77" s="24">
        <f t="shared" si="3"/>
        <v>74</v>
      </c>
      <c r="D77" s="24">
        <v>1</v>
      </c>
      <c r="G77" s="37" t="s">
        <v>3006</v>
      </c>
      <c r="H77" s="24" t="s">
        <v>3073</v>
      </c>
      <c r="I77" s="24">
        <v>112111</v>
      </c>
      <c r="J77" s="24">
        <v>131</v>
      </c>
      <c r="K77" s="24" t="s">
        <v>21</v>
      </c>
      <c r="L77" s="24">
        <v>1</v>
      </c>
      <c r="M77" s="39">
        <v>9048387</v>
      </c>
      <c r="N77" s="39">
        <f t="shared" si="2"/>
        <v>9048387</v>
      </c>
      <c r="O77" s="38" t="s">
        <v>22</v>
      </c>
    </row>
    <row r="78" spans="1:16" ht="15" customHeight="1" x14ac:dyDescent="0.2">
      <c r="A78" s="24" t="s">
        <v>33</v>
      </c>
      <c r="B78" s="83">
        <v>45910</v>
      </c>
      <c r="C78" s="24">
        <f t="shared" si="3"/>
        <v>75</v>
      </c>
      <c r="D78" s="24">
        <v>1</v>
      </c>
      <c r="G78" s="37" t="s">
        <v>829</v>
      </c>
      <c r="H78" s="24" t="s">
        <v>3074</v>
      </c>
      <c r="I78" s="24">
        <v>112111</v>
      </c>
      <c r="J78" s="24">
        <v>131</v>
      </c>
      <c r="K78" s="24" t="s">
        <v>21</v>
      </c>
      <c r="L78" s="24">
        <v>1</v>
      </c>
      <c r="M78" s="39">
        <v>2661290</v>
      </c>
      <c r="N78" s="39">
        <f t="shared" si="2"/>
        <v>2661290</v>
      </c>
      <c r="O78" s="38" t="s">
        <v>22</v>
      </c>
    </row>
    <row r="79" spans="1:16" ht="15" customHeight="1" x14ac:dyDescent="0.2">
      <c r="A79" s="24" t="s">
        <v>33</v>
      </c>
      <c r="B79" s="83">
        <v>45910</v>
      </c>
      <c r="C79" s="24">
        <f t="shared" si="3"/>
        <v>76</v>
      </c>
      <c r="D79" s="24">
        <v>1</v>
      </c>
      <c r="G79" s="37" t="s">
        <v>829</v>
      </c>
      <c r="H79" s="24" t="s">
        <v>3075</v>
      </c>
      <c r="I79" s="24">
        <v>112111</v>
      </c>
      <c r="J79" s="24">
        <v>131</v>
      </c>
      <c r="K79" s="24" t="s">
        <v>21</v>
      </c>
      <c r="L79" s="24">
        <v>1</v>
      </c>
      <c r="M79" s="39">
        <v>6387097</v>
      </c>
      <c r="N79" s="39">
        <f t="shared" si="2"/>
        <v>6387097</v>
      </c>
      <c r="O79" s="38" t="s">
        <v>22</v>
      </c>
    </row>
    <row r="80" spans="1:16" ht="15" customHeight="1" x14ac:dyDescent="0.2">
      <c r="A80" s="24" t="s">
        <v>18</v>
      </c>
      <c r="B80" s="83">
        <v>45912</v>
      </c>
      <c r="C80" s="24">
        <f t="shared" si="3"/>
        <v>77</v>
      </c>
      <c r="D80" s="24">
        <v>1</v>
      </c>
      <c r="G80" s="15" t="s">
        <v>267</v>
      </c>
      <c r="H80" s="13" t="s">
        <v>1578</v>
      </c>
      <c r="I80" s="13">
        <v>131</v>
      </c>
      <c r="J80" s="13">
        <v>5118</v>
      </c>
      <c r="K80" s="24" t="s">
        <v>21</v>
      </c>
      <c r="L80" s="24">
        <v>1</v>
      </c>
      <c r="M80" s="39">
        <v>100263</v>
      </c>
      <c r="N80" s="39">
        <f t="shared" si="2"/>
        <v>100263</v>
      </c>
      <c r="O80" s="38" t="s">
        <v>22</v>
      </c>
    </row>
    <row r="81" spans="1:15" ht="15" customHeight="1" x14ac:dyDescent="0.2">
      <c r="A81" s="24" t="s">
        <v>33</v>
      </c>
      <c r="B81" s="83">
        <v>45912</v>
      </c>
      <c r="C81" s="24">
        <f t="shared" si="3"/>
        <v>78</v>
      </c>
      <c r="D81" s="24">
        <v>1</v>
      </c>
      <c r="G81" s="15" t="s">
        <v>267</v>
      </c>
      <c r="H81" s="13" t="s">
        <v>1579</v>
      </c>
      <c r="I81" s="24">
        <v>112111</v>
      </c>
      <c r="J81" s="13">
        <v>131</v>
      </c>
      <c r="K81" s="24" t="s">
        <v>21</v>
      </c>
      <c r="L81" s="24">
        <v>1</v>
      </c>
      <c r="M81" s="39">
        <v>100263</v>
      </c>
      <c r="N81" s="39">
        <f t="shared" si="2"/>
        <v>100263</v>
      </c>
      <c r="O81" s="38" t="s">
        <v>22</v>
      </c>
    </row>
    <row r="82" spans="1:15" ht="15" customHeight="1" x14ac:dyDescent="0.2">
      <c r="A82" s="24" t="s">
        <v>18</v>
      </c>
      <c r="B82" s="83">
        <v>45912</v>
      </c>
      <c r="C82" s="24">
        <f t="shared" si="3"/>
        <v>79</v>
      </c>
      <c r="D82" s="24">
        <v>1</v>
      </c>
      <c r="G82" s="15" t="s">
        <v>267</v>
      </c>
      <c r="H82" s="13" t="s">
        <v>1578</v>
      </c>
      <c r="I82" s="13">
        <v>131</v>
      </c>
      <c r="J82" s="13">
        <v>5118</v>
      </c>
      <c r="K82" s="24" t="s">
        <v>21</v>
      </c>
      <c r="L82" s="24">
        <v>1</v>
      </c>
      <c r="M82" s="39">
        <v>5431632</v>
      </c>
      <c r="N82" s="39">
        <f t="shared" si="2"/>
        <v>5431632</v>
      </c>
      <c r="O82" s="38" t="s">
        <v>22</v>
      </c>
    </row>
    <row r="83" spans="1:15" ht="15" customHeight="1" x14ac:dyDescent="0.2">
      <c r="A83" s="24" t="s">
        <v>33</v>
      </c>
      <c r="B83" s="83">
        <v>45912</v>
      </c>
      <c r="C83" s="24">
        <f t="shared" si="3"/>
        <v>80</v>
      </c>
      <c r="D83" s="24">
        <v>1</v>
      </c>
      <c r="G83" s="15" t="s">
        <v>267</v>
      </c>
      <c r="H83" s="13" t="s">
        <v>1579</v>
      </c>
      <c r="I83" s="24">
        <v>112111</v>
      </c>
      <c r="J83" s="13">
        <v>131</v>
      </c>
      <c r="K83" s="24" t="s">
        <v>21</v>
      </c>
      <c r="L83" s="24">
        <v>1</v>
      </c>
      <c r="M83" s="39">
        <v>5431632</v>
      </c>
      <c r="N83" s="39">
        <f t="shared" si="2"/>
        <v>5431632</v>
      </c>
      <c r="O83" s="38" t="s">
        <v>22</v>
      </c>
    </row>
    <row r="84" spans="1:15" ht="15" customHeight="1" x14ac:dyDescent="0.2">
      <c r="A84" s="24" t="s">
        <v>89</v>
      </c>
      <c r="B84" s="83">
        <v>45912</v>
      </c>
      <c r="C84" s="24">
        <f t="shared" si="3"/>
        <v>81</v>
      </c>
      <c r="D84" s="24">
        <v>1</v>
      </c>
      <c r="G84" s="37" t="s">
        <v>3070</v>
      </c>
      <c r="H84" s="42" t="s">
        <v>1008</v>
      </c>
      <c r="I84" s="24">
        <v>1111</v>
      </c>
      <c r="J84" s="24">
        <v>112111</v>
      </c>
      <c r="K84" s="24" t="s">
        <v>21</v>
      </c>
      <c r="L84" s="24">
        <v>1</v>
      </c>
      <c r="M84" s="39">
        <v>45000000</v>
      </c>
      <c r="N84" s="39">
        <f t="shared" si="2"/>
        <v>45000000</v>
      </c>
      <c r="O84" s="38" t="s">
        <v>22</v>
      </c>
    </row>
    <row r="85" spans="1:15" ht="15" customHeight="1" x14ac:dyDescent="0.2">
      <c r="A85" s="24" t="s">
        <v>33</v>
      </c>
      <c r="B85" s="83">
        <v>45913</v>
      </c>
      <c r="C85" s="24">
        <f t="shared" si="3"/>
        <v>82</v>
      </c>
      <c r="D85" s="24">
        <v>1</v>
      </c>
      <c r="G85" s="37" t="s">
        <v>2410</v>
      </c>
      <c r="H85" s="24" t="s">
        <v>3076</v>
      </c>
      <c r="I85" s="24">
        <v>112111</v>
      </c>
      <c r="J85" s="13">
        <v>131</v>
      </c>
      <c r="K85" s="24" t="s">
        <v>21</v>
      </c>
      <c r="L85" s="24">
        <v>1</v>
      </c>
      <c r="M85" s="39">
        <v>10112903</v>
      </c>
      <c r="N85" s="39">
        <f t="shared" si="2"/>
        <v>10112903</v>
      </c>
      <c r="O85" s="38" t="s">
        <v>22</v>
      </c>
    </row>
    <row r="86" spans="1:15" ht="15" customHeight="1" x14ac:dyDescent="0.2">
      <c r="A86" s="24" t="s">
        <v>33</v>
      </c>
      <c r="B86" s="83">
        <v>45918</v>
      </c>
      <c r="C86" s="24">
        <f t="shared" si="3"/>
        <v>83</v>
      </c>
      <c r="D86" s="24">
        <v>1</v>
      </c>
      <c r="G86" s="37" t="s">
        <v>3007</v>
      </c>
      <c r="H86" s="24" t="s">
        <v>3077</v>
      </c>
      <c r="I86" s="24">
        <v>112111</v>
      </c>
      <c r="J86" s="13">
        <v>131</v>
      </c>
      <c r="K86" s="24" t="s">
        <v>21</v>
      </c>
      <c r="L86" s="24">
        <v>1</v>
      </c>
      <c r="M86" s="39">
        <v>5322580</v>
      </c>
      <c r="N86" s="39">
        <f t="shared" si="2"/>
        <v>5322580</v>
      </c>
      <c r="O86" s="38" t="s">
        <v>22</v>
      </c>
    </row>
    <row r="87" spans="1:15" ht="15" customHeight="1" x14ac:dyDescent="0.2">
      <c r="A87" s="24" t="s">
        <v>89</v>
      </c>
      <c r="B87" s="83">
        <v>45918</v>
      </c>
      <c r="C87" s="24">
        <f t="shared" si="3"/>
        <v>84</v>
      </c>
      <c r="D87" s="24">
        <v>1</v>
      </c>
      <c r="G87" s="37" t="s">
        <v>3070</v>
      </c>
      <c r="H87" s="42" t="s">
        <v>1008</v>
      </c>
      <c r="I87" s="24">
        <v>1111</v>
      </c>
      <c r="J87" s="24">
        <v>112111</v>
      </c>
      <c r="K87" s="24" t="s">
        <v>21</v>
      </c>
      <c r="L87" s="24">
        <v>1</v>
      </c>
      <c r="M87" s="39">
        <v>15000000</v>
      </c>
      <c r="N87" s="39">
        <f t="shared" si="2"/>
        <v>15000000</v>
      </c>
      <c r="O87" s="38" t="s">
        <v>22</v>
      </c>
    </row>
    <row r="88" spans="1:15" ht="15" customHeight="1" x14ac:dyDescent="0.2">
      <c r="A88" s="24" t="s">
        <v>33</v>
      </c>
      <c r="B88" s="83">
        <v>45919</v>
      </c>
      <c r="C88" s="24">
        <f t="shared" si="3"/>
        <v>85</v>
      </c>
      <c r="D88" s="24">
        <v>1</v>
      </c>
      <c r="G88" s="37" t="s">
        <v>756</v>
      </c>
      <c r="H88" s="24" t="s">
        <v>3078</v>
      </c>
      <c r="I88" s="24">
        <v>112111</v>
      </c>
      <c r="J88" s="13">
        <v>131</v>
      </c>
      <c r="K88" s="24" t="s">
        <v>21</v>
      </c>
      <c r="L88" s="24">
        <v>1</v>
      </c>
      <c r="M88" s="39">
        <v>10112903</v>
      </c>
      <c r="N88" s="39">
        <f t="shared" si="2"/>
        <v>10112903</v>
      </c>
      <c r="O88" s="38" t="s">
        <v>22</v>
      </c>
    </row>
    <row r="89" spans="1:15" ht="15" customHeight="1" x14ac:dyDescent="0.2">
      <c r="A89" s="24" t="s">
        <v>33</v>
      </c>
      <c r="B89" s="83">
        <v>45919</v>
      </c>
      <c r="C89" s="24">
        <f t="shared" si="3"/>
        <v>86</v>
      </c>
      <c r="D89" s="24">
        <v>1</v>
      </c>
      <c r="G89" s="37" t="s">
        <v>252</v>
      </c>
      <c r="H89" s="24" t="s">
        <v>3079</v>
      </c>
      <c r="I89" s="24">
        <v>112111</v>
      </c>
      <c r="J89" s="24">
        <v>131</v>
      </c>
      <c r="K89" s="24" t="s">
        <v>21</v>
      </c>
      <c r="L89" s="24">
        <v>1</v>
      </c>
      <c r="M89" s="39">
        <v>22500000</v>
      </c>
      <c r="N89" s="39">
        <f t="shared" si="2"/>
        <v>22500000</v>
      </c>
      <c r="O89" s="38" t="s">
        <v>22</v>
      </c>
    </row>
    <row r="90" spans="1:15" ht="15" customHeight="1" x14ac:dyDescent="0.2">
      <c r="A90" s="24" t="s">
        <v>89</v>
      </c>
      <c r="B90" s="83">
        <v>45919</v>
      </c>
      <c r="C90" s="24">
        <f t="shared" si="3"/>
        <v>87</v>
      </c>
      <c r="D90" s="24">
        <v>1</v>
      </c>
      <c r="G90" s="37" t="s">
        <v>3070</v>
      </c>
      <c r="H90" s="42" t="s">
        <v>1008</v>
      </c>
      <c r="I90" s="24">
        <v>1111</v>
      </c>
      <c r="J90" s="24">
        <v>112111</v>
      </c>
      <c r="K90" s="24" t="s">
        <v>21</v>
      </c>
      <c r="L90" s="24">
        <v>1</v>
      </c>
      <c r="M90" s="39">
        <v>30000000</v>
      </c>
      <c r="N90" s="39">
        <f t="shared" si="2"/>
        <v>30000000</v>
      </c>
      <c r="O90" s="38" t="s">
        <v>22</v>
      </c>
    </row>
    <row r="91" spans="1:15" ht="15" customHeight="1" x14ac:dyDescent="0.2">
      <c r="A91" s="24" t="s">
        <v>18</v>
      </c>
      <c r="B91" s="83">
        <v>45920</v>
      </c>
      <c r="C91" s="24">
        <f t="shared" si="3"/>
        <v>88</v>
      </c>
      <c r="D91" s="24">
        <v>1</v>
      </c>
      <c r="G91" s="15" t="s">
        <v>267</v>
      </c>
      <c r="H91" s="13" t="s">
        <v>1578</v>
      </c>
      <c r="I91" s="13">
        <v>131</v>
      </c>
      <c r="J91" s="13">
        <v>5118</v>
      </c>
      <c r="K91" s="24" t="s">
        <v>21</v>
      </c>
      <c r="L91" s="24">
        <v>1</v>
      </c>
      <c r="M91" s="39">
        <v>5300369</v>
      </c>
      <c r="N91" s="39">
        <f t="shared" si="2"/>
        <v>5300369</v>
      </c>
      <c r="O91" s="38" t="s">
        <v>22</v>
      </c>
    </row>
    <row r="92" spans="1:15" ht="15" customHeight="1" x14ac:dyDescent="0.2">
      <c r="A92" s="24" t="s">
        <v>33</v>
      </c>
      <c r="B92" s="83">
        <v>45920</v>
      </c>
      <c r="C92" s="24">
        <f t="shared" si="3"/>
        <v>89</v>
      </c>
      <c r="D92" s="24">
        <v>1</v>
      </c>
      <c r="G92" s="15" t="s">
        <v>267</v>
      </c>
      <c r="H92" s="13" t="s">
        <v>1579</v>
      </c>
      <c r="I92" s="24">
        <v>112111</v>
      </c>
      <c r="J92" s="13">
        <v>131</v>
      </c>
      <c r="K92" s="24" t="s">
        <v>21</v>
      </c>
      <c r="L92" s="24">
        <v>1</v>
      </c>
      <c r="M92" s="39">
        <v>5300369</v>
      </c>
      <c r="N92" s="39">
        <f t="shared" si="2"/>
        <v>5300369</v>
      </c>
      <c r="O92" s="38" t="s">
        <v>22</v>
      </c>
    </row>
    <row r="93" spans="1:15" ht="15" customHeight="1" x14ac:dyDescent="0.2">
      <c r="A93" s="24" t="s">
        <v>89</v>
      </c>
      <c r="B93" s="83">
        <v>45925</v>
      </c>
      <c r="C93" s="24">
        <f t="shared" si="3"/>
        <v>90</v>
      </c>
      <c r="D93" s="24">
        <v>1</v>
      </c>
      <c r="G93" s="37" t="s">
        <v>3080</v>
      </c>
      <c r="H93" s="24" t="s">
        <v>864</v>
      </c>
      <c r="I93" s="24">
        <v>333822</v>
      </c>
      <c r="J93" s="24">
        <v>112111</v>
      </c>
      <c r="K93" s="24" t="s">
        <v>21</v>
      </c>
      <c r="L93" s="24">
        <v>1</v>
      </c>
      <c r="M93" s="39">
        <v>437020</v>
      </c>
      <c r="N93" s="39">
        <f t="shared" si="2"/>
        <v>437020</v>
      </c>
      <c r="O93" s="38" t="s">
        <v>22</v>
      </c>
    </row>
    <row r="94" spans="1:15" ht="15" customHeight="1" x14ac:dyDescent="0.2">
      <c r="A94" s="24" t="s">
        <v>89</v>
      </c>
      <c r="B94" s="83">
        <v>45925</v>
      </c>
      <c r="C94" s="24">
        <f t="shared" si="3"/>
        <v>91</v>
      </c>
      <c r="D94" s="24">
        <v>1</v>
      </c>
      <c r="G94" s="37" t="s">
        <v>3080</v>
      </c>
      <c r="H94" s="24" t="s">
        <v>864</v>
      </c>
      <c r="I94" s="24">
        <v>333822</v>
      </c>
      <c r="J94" s="24">
        <v>112111</v>
      </c>
      <c r="K94" s="24" t="s">
        <v>21</v>
      </c>
      <c r="L94" s="24">
        <v>1</v>
      </c>
      <c r="M94" s="39">
        <v>214520</v>
      </c>
      <c r="N94" s="39">
        <f t="shared" si="2"/>
        <v>214520</v>
      </c>
      <c r="O94" s="38" t="s">
        <v>22</v>
      </c>
    </row>
    <row r="95" spans="1:15" ht="15" customHeight="1" x14ac:dyDescent="0.2">
      <c r="A95" s="24" t="s">
        <v>33</v>
      </c>
      <c r="B95" s="83">
        <v>45926</v>
      </c>
      <c r="C95" s="24">
        <f t="shared" si="3"/>
        <v>92</v>
      </c>
      <c r="D95" s="24">
        <v>1</v>
      </c>
      <c r="G95" s="37" t="s">
        <v>933</v>
      </c>
      <c r="H95" s="24" t="s">
        <v>3081</v>
      </c>
      <c r="I95" s="24">
        <v>112111</v>
      </c>
      <c r="J95" s="13">
        <v>131</v>
      </c>
      <c r="K95" s="24" t="s">
        <v>21</v>
      </c>
      <c r="L95" s="24">
        <v>1</v>
      </c>
      <c r="M95" s="39">
        <v>21276596</v>
      </c>
      <c r="N95" s="39">
        <f t="shared" si="2"/>
        <v>21276596</v>
      </c>
      <c r="O95" s="38" t="s">
        <v>22</v>
      </c>
    </row>
    <row r="96" spans="1:15" ht="15" customHeight="1" x14ac:dyDescent="0.2">
      <c r="A96" s="24" t="s">
        <v>33</v>
      </c>
      <c r="B96" s="83">
        <v>45926</v>
      </c>
      <c r="C96" s="24">
        <f t="shared" si="3"/>
        <v>93</v>
      </c>
      <c r="D96" s="24">
        <v>1</v>
      </c>
      <c r="G96" s="37" t="s">
        <v>756</v>
      </c>
      <c r="H96" s="24" t="s">
        <v>3082</v>
      </c>
      <c r="I96" s="24">
        <v>112111</v>
      </c>
      <c r="J96" s="13">
        <v>131</v>
      </c>
      <c r="K96" s="24" t="s">
        <v>21</v>
      </c>
      <c r="L96" s="24">
        <v>1</v>
      </c>
      <c r="M96" s="39">
        <v>10112903</v>
      </c>
      <c r="N96" s="39">
        <f t="shared" si="2"/>
        <v>10112903</v>
      </c>
      <c r="O96" s="38" t="s">
        <v>22</v>
      </c>
    </row>
    <row r="97" spans="1:15" ht="15" customHeight="1" x14ac:dyDescent="0.2">
      <c r="A97" s="24" t="s">
        <v>33</v>
      </c>
      <c r="B97" s="83">
        <v>45926</v>
      </c>
      <c r="C97" s="24">
        <f t="shared" si="3"/>
        <v>94</v>
      </c>
      <c r="D97" s="24">
        <v>1</v>
      </c>
      <c r="G97" s="37" t="s">
        <v>1136</v>
      </c>
      <c r="H97" s="24" t="s">
        <v>3083</v>
      </c>
      <c r="I97" s="24">
        <v>112111</v>
      </c>
      <c r="J97" s="13">
        <v>131</v>
      </c>
      <c r="K97" s="24" t="s">
        <v>21</v>
      </c>
      <c r="L97" s="24">
        <v>1</v>
      </c>
      <c r="M97" s="39">
        <v>10645161</v>
      </c>
      <c r="N97" s="39">
        <f t="shared" si="2"/>
        <v>10645161</v>
      </c>
      <c r="O97" s="38" t="s">
        <v>22</v>
      </c>
    </row>
    <row r="98" spans="1:15" ht="15" customHeight="1" x14ac:dyDescent="0.2">
      <c r="A98" s="24" t="s">
        <v>89</v>
      </c>
      <c r="B98" s="83">
        <v>45926</v>
      </c>
      <c r="C98" s="24">
        <f t="shared" si="3"/>
        <v>95</v>
      </c>
      <c r="D98" s="24">
        <v>1</v>
      </c>
      <c r="G98" s="37" t="s">
        <v>3070</v>
      </c>
      <c r="H98" s="42" t="s">
        <v>1008</v>
      </c>
      <c r="I98" s="24">
        <v>1111</v>
      </c>
      <c r="J98" s="24">
        <v>112111</v>
      </c>
      <c r="K98" s="24" t="s">
        <v>21</v>
      </c>
      <c r="L98" s="24">
        <v>1</v>
      </c>
      <c r="M98" s="39">
        <v>45000000</v>
      </c>
      <c r="N98" s="39">
        <f t="shared" si="2"/>
        <v>45000000</v>
      </c>
      <c r="O98" s="38" t="s">
        <v>22</v>
      </c>
    </row>
    <row r="99" spans="1:15" ht="15" customHeight="1" x14ac:dyDescent="0.2">
      <c r="A99" s="24" t="s">
        <v>33</v>
      </c>
      <c r="B99" s="83">
        <v>45930</v>
      </c>
      <c r="C99" s="24">
        <f t="shared" si="3"/>
        <v>96</v>
      </c>
      <c r="D99" s="24">
        <v>1</v>
      </c>
      <c r="G99" s="37" t="s">
        <v>2204</v>
      </c>
      <c r="H99" s="42" t="s">
        <v>129</v>
      </c>
      <c r="I99" s="24">
        <v>112111</v>
      </c>
      <c r="J99" s="46">
        <v>5154</v>
      </c>
      <c r="K99" s="24" t="s">
        <v>21</v>
      </c>
      <c r="L99" s="24">
        <v>1</v>
      </c>
      <c r="M99" s="39">
        <v>5973</v>
      </c>
      <c r="N99" s="39">
        <f t="shared" si="2"/>
        <v>5973</v>
      </c>
      <c r="O99" s="38" t="s">
        <v>22</v>
      </c>
    </row>
    <row r="100" spans="1:15" ht="15" customHeight="1" x14ac:dyDescent="0.2">
      <c r="A100" s="24" t="s">
        <v>18</v>
      </c>
      <c r="B100" s="83">
        <v>45930</v>
      </c>
      <c r="C100" s="24">
        <f t="shared" si="3"/>
        <v>97</v>
      </c>
      <c r="D100" s="24">
        <v>1</v>
      </c>
      <c r="G100" s="15" t="s">
        <v>267</v>
      </c>
      <c r="H100" s="13" t="s">
        <v>1578</v>
      </c>
      <c r="I100" s="13">
        <v>131</v>
      </c>
      <c r="J100" s="13">
        <v>5118</v>
      </c>
      <c r="K100" s="24" t="s">
        <v>21</v>
      </c>
      <c r="L100" s="24">
        <v>1</v>
      </c>
      <c r="M100" s="39">
        <v>6122572</v>
      </c>
      <c r="N100" s="39">
        <f t="shared" ref="N100:N101" si="4">L100*M100</f>
        <v>6122572</v>
      </c>
      <c r="O100" s="38" t="s">
        <v>22</v>
      </c>
    </row>
    <row r="101" spans="1:15" ht="15" customHeight="1" x14ac:dyDescent="0.2">
      <c r="A101" s="24" t="s">
        <v>33</v>
      </c>
      <c r="B101" s="83">
        <v>45930</v>
      </c>
      <c r="C101" s="24">
        <f t="shared" si="3"/>
        <v>98</v>
      </c>
      <c r="D101" s="24">
        <v>1</v>
      </c>
      <c r="G101" s="15" t="s">
        <v>267</v>
      </c>
      <c r="H101" s="13" t="s">
        <v>1579</v>
      </c>
      <c r="I101" s="24">
        <v>112111</v>
      </c>
      <c r="J101" s="13">
        <v>131</v>
      </c>
      <c r="K101" s="24" t="s">
        <v>21</v>
      </c>
      <c r="L101" s="24">
        <v>1</v>
      </c>
      <c r="M101" s="39">
        <v>6122572</v>
      </c>
      <c r="N101" s="39">
        <f t="shared" si="4"/>
        <v>6122572</v>
      </c>
      <c r="O101" s="38" t="s">
        <v>22</v>
      </c>
    </row>
    <row r="102" spans="1:15" ht="15" customHeight="1" x14ac:dyDescent="0.2">
      <c r="A102" s="24" t="s">
        <v>89</v>
      </c>
      <c r="B102" s="83">
        <v>45930</v>
      </c>
      <c r="C102" s="24">
        <f t="shared" si="3"/>
        <v>99</v>
      </c>
      <c r="D102" s="24">
        <v>1</v>
      </c>
      <c r="G102" s="37" t="s">
        <v>3070</v>
      </c>
      <c r="H102" s="42" t="s">
        <v>1008</v>
      </c>
      <c r="I102" s="24">
        <v>1111</v>
      </c>
      <c r="J102" s="24">
        <v>112111</v>
      </c>
      <c r="K102" s="24" t="s">
        <v>21</v>
      </c>
      <c r="L102" s="24">
        <v>1</v>
      </c>
      <c r="M102" s="39">
        <v>10000000</v>
      </c>
      <c r="N102" s="39">
        <f t="shared" si="2"/>
        <v>10000000</v>
      </c>
      <c r="O102" s="38" t="s">
        <v>22</v>
      </c>
    </row>
    <row r="103" spans="1:15" ht="15" customHeight="1" x14ac:dyDescent="0.2">
      <c r="A103" s="24" t="s">
        <v>18</v>
      </c>
      <c r="B103" s="83">
        <v>45925</v>
      </c>
      <c r="C103" s="24">
        <f t="shared" si="3"/>
        <v>100</v>
      </c>
      <c r="D103" s="24">
        <v>1</v>
      </c>
      <c r="G103" s="37" t="s">
        <v>3080</v>
      </c>
      <c r="H103" s="24" t="s">
        <v>3084</v>
      </c>
      <c r="I103" s="24">
        <v>6425</v>
      </c>
      <c r="J103" s="24">
        <v>333822</v>
      </c>
      <c r="K103" s="24" t="s">
        <v>21</v>
      </c>
      <c r="L103" s="24">
        <v>1</v>
      </c>
      <c r="M103" s="39">
        <v>437020</v>
      </c>
      <c r="N103" s="39">
        <v>437020</v>
      </c>
      <c r="O103" s="24" t="s">
        <v>22</v>
      </c>
    </row>
    <row r="104" spans="1:15" ht="15" customHeight="1" x14ac:dyDescent="0.2">
      <c r="A104" s="24" t="s">
        <v>18</v>
      </c>
      <c r="B104" s="83">
        <v>45925</v>
      </c>
      <c r="C104" s="24">
        <f t="shared" si="3"/>
        <v>101</v>
      </c>
      <c r="D104" s="24">
        <v>1</v>
      </c>
      <c r="G104" s="37" t="s">
        <v>3080</v>
      </c>
      <c r="H104" s="24" t="s">
        <v>3084</v>
      </c>
      <c r="I104" s="24">
        <v>6425</v>
      </c>
      <c r="J104" s="24">
        <v>333822</v>
      </c>
      <c r="K104" s="24" t="s">
        <v>21</v>
      </c>
      <c r="L104" s="24">
        <v>1</v>
      </c>
      <c r="M104" s="39">
        <v>214520</v>
      </c>
      <c r="N104" s="39">
        <v>214520</v>
      </c>
      <c r="O104" s="24" t="s">
        <v>22</v>
      </c>
    </row>
  </sheetData>
  <autoFilter ref="A3:P104" xr:uid="{00000000-0009-0000-0000-00000D000000}"/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>
      <selection activeCell="I12" sqref="I12"/>
    </sheetView>
  </sheetViews>
  <sheetFormatPr defaultRowHeight="15" customHeight="1" x14ac:dyDescent="0.2"/>
  <cols>
    <col min="1" max="1" width="9.140625" style="13"/>
    <col min="2" max="2" width="9.140625" style="111"/>
    <col min="3" max="6" width="9.140625" style="13"/>
    <col min="7" max="7" width="9.140625" style="15"/>
    <col min="8" max="8" width="28.28515625" style="13" customWidth="1"/>
    <col min="9" max="12" width="9.140625" style="13"/>
    <col min="13" max="13" width="12" style="21" bestFit="1" customWidth="1"/>
    <col min="14" max="14" width="10.7109375" style="21" bestFit="1" customWidth="1"/>
    <col min="15" max="17" width="9.140625" style="13"/>
    <col min="18" max="28" width="9.140625" style="15"/>
    <col min="29" max="16384" width="9.140625" style="13"/>
  </cols>
  <sheetData>
    <row r="1" spans="1:16" ht="15" customHeight="1" thickBot="1" x14ac:dyDescent="0.25">
      <c r="A1" s="164" t="s">
        <v>0</v>
      </c>
      <c r="B1" s="196" t="s">
        <v>1</v>
      </c>
      <c r="C1" s="164" t="s">
        <v>2</v>
      </c>
      <c r="D1" s="170" t="s">
        <v>3</v>
      </c>
      <c r="E1" s="170" t="s">
        <v>4</v>
      </c>
      <c r="F1" s="170" t="s">
        <v>5</v>
      </c>
      <c r="G1" s="158" t="s">
        <v>6</v>
      </c>
      <c r="H1" s="160" t="s">
        <v>7</v>
      </c>
      <c r="I1" s="162" t="s">
        <v>8</v>
      </c>
      <c r="J1" s="163"/>
      <c r="K1" s="164" t="s">
        <v>9</v>
      </c>
      <c r="L1" s="164" t="s">
        <v>10</v>
      </c>
      <c r="M1" s="194" t="s">
        <v>1287</v>
      </c>
      <c r="N1" s="194" t="s">
        <v>1288</v>
      </c>
      <c r="O1" s="55" t="s">
        <v>1289</v>
      </c>
      <c r="P1" s="46"/>
    </row>
    <row r="2" spans="1:16" ht="15" customHeight="1" thickBot="1" x14ac:dyDescent="0.25">
      <c r="A2" s="165"/>
      <c r="B2" s="197"/>
      <c r="C2" s="165"/>
      <c r="D2" s="171"/>
      <c r="E2" s="171"/>
      <c r="F2" s="172"/>
      <c r="G2" s="159"/>
      <c r="H2" s="161"/>
      <c r="I2" s="56" t="s">
        <v>13</v>
      </c>
      <c r="J2" s="57" t="s">
        <v>14</v>
      </c>
      <c r="K2" s="165"/>
      <c r="L2" s="165"/>
      <c r="M2" s="195"/>
      <c r="N2" s="195"/>
      <c r="O2" s="46" t="s">
        <v>1289</v>
      </c>
      <c r="P2" s="46"/>
    </row>
    <row r="3" spans="1:16" ht="15" customHeight="1" x14ac:dyDescent="0.2">
      <c r="A3" s="58"/>
      <c r="B3" s="110"/>
      <c r="C3" s="58"/>
      <c r="D3" s="60"/>
      <c r="E3" s="60"/>
      <c r="F3" s="60"/>
      <c r="G3" s="62" t="s">
        <v>15</v>
      </c>
      <c r="H3" s="63"/>
      <c r="I3" s="63"/>
      <c r="J3" s="63"/>
      <c r="K3" s="58"/>
      <c r="L3" s="58"/>
      <c r="M3" s="108"/>
      <c r="N3" s="108"/>
      <c r="O3" s="46" t="s">
        <v>16</v>
      </c>
      <c r="P3" s="46" t="s">
        <v>17</v>
      </c>
    </row>
    <row r="4" spans="1:16" ht="15" customHeight="1" x14ac:dyDescent="0.2">
      <c r="A4" s="13" t="s">
        <v>18</v>
      </c>
      <c r="B4" s="14">
        <v>45852</v>
      </c>
      <c r="C4" s="13">
        <f>C3+D4</f>
        <v>1</v>
      </c>
      <c r="D4" s="13">
        <v>1</v>
      </c>
      <c r="G4" s="15" t="s">
        <v>296</v>
      </c>
      <c r="H4" s="13" t="s">
        <v>3324</v>
      </c>
      <c r="I4" s="13">
        <v>64277</v>
      </c>
      <c r="J4" s="13">
        <v>331</v>
      </c>
      <c r="K4" s="13" t="s">
        <v>21</v>
      </c>
      <c r="L4" s="13">
        <v>1</v>
      </c>
      <c r="M4" s="21">
        <v>1094</v>
      </c>
      <c r="N4" s="21">
        <f>L4*M4</f>
        <v>1094</v>
      </c>
      <c r="O4" s="13" t="s">
        <v>22</v>
      </c>
      <c r="P4" s="13">
        <v>10</v>
      </c>
    </row>
    <row r="5" spans="1:16" ht="15" customHeight="1" x14ac:dyDescent="0.2">
      <c r="A5" s="13" t="s">
        <v>18</v>
      </c>
      <c r="B5" s="14">
        <v>45869</v>
      </c>
      <c r="C5" s="13">
        <f>C4+D5</f>
        <v>2</v>
      </c>
      <c r="D5" s="13">
        <v>1</v>
      </c>
      <c r="G5" s="15" t="s">
        <v>1235</v>
      </c>
      <c r="H5" s="13" t="s">
        <v>147</v>
      </c>
      <c r="I5" s="13">
        <v>64271</v>
      </c>
      <c r="J5" s="13">
        <v>3383</v>
      </c>
      <c r="K5" s="13" t="s">
        <v>21</v>
      </c>
      <c r="L5" s="13">
        <v>1</v>
      </c>
      <c r="M5" s="21">
        <v>690300</v>
      </c>
      <c r="N5" s="21">
        <v>690300</v>
      </c>
      <c r="O5" s="13" t="s">
        <v>22</v>
      </c>
      <c r="P5" s="13">
        <v>24</v>
      </c>
    </row>
    <row r="6" spans="1:16" ht="15" customHeight="1" x14ac:dyDescent="0.2">
      <c r="A6" s="13" t="s">
        <v>18</v>
      </c>
      <c r="B6" s="14">
        <v>45874</v>
      </c>
      <c r="C6" s="13">
        <f>C5+D6</f>
        <v>3</v>
      </c>
      <c r="D6" s="13">
        <v>1</v>
      </c>
      <c r="G6" s="15" t="s">
        <v>296</v>
      </c>
      <c r="H6" s="13" t="s">
        <v>3325</v>
      </c>
      <c r="I6" s="13">
        <v>64277</v>
      </c>
      <c r="J6" s="13">
        <v>331</v>
      </c>
      <c r="K6" s="13" t="s">
        <v>21</v>
      </c>
      <c r="L6" s="13">
        <v>1</v>
      </c>
      <c r="M6" s="21">
        <v>941</v>
      </c>
      <c r="N6" s="21">
        <f>L6*M6</f>
        <v>941</v>
      </c>
      <c r="O6" s="13" t="s">
        <v>22</v>
      </c>
      <c r="P6" s="13">
        <v>11</v>
      </c>
    </row>
    <row r="7" spans="1:16" ht="15" customHeight="1" x14ac:dyDescent="0.2">
      <c r="A7" s="13" t="s">
        <v>368</v>
      </c>
      <c r="B7" s="14">
        <v>45896</v>
      </c>
      <c r="C7" s="13">
        <f t="shared" ref="C7:C26" si="0">C6+D7</f>
        <v>4</v>
      </c>
      <c r="D7" s="13">
        <v>1</v>
      </c>
      <c r="G7" s="15" t="s">
        <v>296</v>
      </c>
      <c r="H7" s="13" t="s">
        <v>3334</v>
      </c>
      <c r="I7" s="13">
        <v>331</v>
      </c>
      <c r="J7" s="13">
        <v>1111</v>
      </c>
      <c r="K7" s="13" t="s">
        <v>21</v>
      </c>
      <c r="L7" s="13">
        <v>1</v>
      </c>
      <c r="M7" s="21">
        <v>1094</v>
      </c>
      <c r="N7" s="21">
        <f>L7*M7</f>
        <v>1094</v>
      </c>
      <c r="O7" s="13" t="s">
        <v>22</v>
      </c>
      <c r="P7" s="13">
        <v>17</v>
      </c>
    </row>
    <row r="8" spans="1:16" ht="15" customHeight="1" x14ac:dyDescent="0.2">
      <c r="A8" s="13" t="s">
        <v>368</v>
      </c>
      <c r="B8" s="14">
        <v>45896</v>
      </c>
      <c r="C8" s="13">
        <f t="shared" si="0"/>
        <v>5</v>
      </c>
      <c r="D8" s="13">
        <v>1</v>
      </c>
      <c r="G8" s="15" t="s">
        <v>296</v>
      </c>
      <c r="H8" s="13" t="s">
        <v>3335</v>
      </c>
      <c r="I8" s="13">
        <v>331</v>
      </c>
      <c r="J8" s="13">
        <v>1111</v>
      </c>
      <c r="K8" s="13" t="s">
        <v>21</v>
      </c>
      <c r="L8" s="13">
        <v>1</v>
      </c>
      <c r="M8" s="21">
        <v>941</v>
      </c>
      <c r="N8" s="21">
        <f>L8*M8</f>
        <v>941</v>
      </c>
      <c r="O8" s="13" t="s">
        <v>22</v>
      </c>
      <c r="P8" s="13">
        <v>18</v>
      </c>
    </row>
    <row r="9" spans="1:16" ht="15" customHeight="1" x14ac:dyDescent="0.2">
      <c r="A9" s="13" t="s">
        <v>18</v>
      </c>
      <c r="B9" s="14">
        <v>45900</v>
      </c>
      <c r="C9" s="13">
        <f t="shared" si="0"/>
        <v>6</v>
      </c>
      <c r="D9" s="13">
        <v>1</v>
      </c>
      <c r="G9" s="15" t="s">
        <v>1235</v>
      </c>
      <c r="H9" s="13" t="s">
        <v>280</v>
      </c>
      <c r="I9" s="13">
        <v>64271</v>
      </c>
      <c r="J9" s="13">
        <v>3383</v>
      </c>
      <c r="K9" s="13" t="s">
        <v>21</v>
      </c>
      <c r="L9" s="13">
        <v>1</v>
      </c>
      <c r="M9" s="21">
        <v>690300</v>
      </c>
      <c r="N9" s="21">
        <v>690300</v>
      </c>
      <c r="O9" s="13" t="s">
        <v>22</v>
      </c>
      <c r="P9" s="13">
        <v>22</v>
      </c>
    </row>
    <row r="10" spans="1:16" ht="15" customHeight="1" x14ac:dyDescent="0.2">
      <c r="A10" s="13" t="s">
        <v>18</v>
      </c>
      <c r="B10" s="14">
        <v>45904</v>
      </c>
      <c r="C10" s="13">
        <f t="shared" si="0"/>
        <v>7</v>
      </c>
      <c r="D10" s="13">
        <v>1</v>
      </c>
      <c r="G10" s="15" t="s">
        <v>296</v>
      </c>
      <c r="H10" s="13" t="s">
        <v>3328</v>
      </c>
      <c r="I10" s="13">
        <v>64277</v>
      </c>
      <c r="J10" s="13">
        <v>331</v>
      </c>
      <c r="K10" s="13" t="s">
        <v>21</v>
      </c>
      <c r="L10" s="13">
        <v>1</v>
      </c>
      <c r="M10" s="21">
        <v>87</v>
      </c>
      <c r="N10" s="21">
        <f t="shared" ref="N10:N25" si="1">L10*M10</f>
        <v>87</v>
      </c>
      <c r="O10" s="13" t="s">
        <v>22</v>
      </c>
      <c r="P10" s="13">
        <v>14</v>
      </c>
    </row>
    <row r="11" spans="1:16" ht="15" customHeight="1" x14ac:dyDescent="0.2">
      <c r="A11" s="13" t="s">
        <v>368</v>
      </c>
      <c r="B11" s="14">
        <v>45904</v>
      </c>
      <c r="C11" s="13">
        <f t="shared" si="0"/>
        <v>8</v>
      </c>
      <c r="D11" s="13">
        <v>1</v>
      </c>
      <c r="G11" s="15" t="s">
        <v>296</v>
      </c>
      <c r="H11" s="13" t="s">
        <v>3338</v>
      </c>
      <c r="I11" s="13">
        <v>331</v>
      </c>
      <c r="J11" s="13">
        <v>1111</v>
      </c>
      <c r="K11" s="13" t="s">
        <v>21</v>
      </c>
      <c r="L11" s="13">
        <v>1</v>
      </c>
      <c r="M11" s="21">
        <v>87</v>
      </c>
      <c r="N11" s="21">
        <f t="shared" si="1"/>
        <v>87</v>
      </c>
      <c r="O11" s="13" t="s">
        <v>22</v>
      </c>
      <c r="P11" s="13">
        <v>21</v>
      </c>
    </row>
    <row r="12" spans="1:16" ht="15" customHeight="1" x14ac:dyDescent="0.2">
      <c r="A12" s="13" t="s">
        <v>18</v>
      </c>
      <c r="B12" s="14">
        <v>45916</v>
      </c>
      <c r="C12" s="13">
        <f t="shared" si="0"/>
        <v>9</v>
      </c>
      <c r="D12" s="13">
        <v>1</v>
      </c>
      <c r="G12" s="15" t="s">
        <v>695</v>
      </c>
      <c r="H12" s="13" t="s">
        <v>3326</v>
      </c>
      <c r="I12" s="13">
        <v>64276</v>
      </c>
      <c r="J12" s="13">
        <v>331</v>
      </c>
      <c r="K12" s="13" t="s">
        <v>21</v>
      </c>
      <c r="L12" s="13">
        <v>1</v>
      </c>
      <c r="M12" s="21">
        <v>99000</v>
      </c>
      <c r="N12" s="21">
        <f t="shared" si="1"/>
        <v>99000</v>
      </c>
      <c r="O12" s="13" t="s">
        <v>22</v>
      </c>
      <c r="P12" s="13">
        <v>12</v>
      </c>
    </row>
    <row r="13" spans="1:16" ht="15" customHeight="1" x14ac:dyDescent="0.2">
      <c r="A13" s="13" t="s">
        <v>18</v>
      </c>
      <c r="B13" s="14">
        <v>45916</v>
      </c>
      <c r="C13" s="13">
        <f t="shared" si="0"/>
        <v>10</v>
      </c>
      <c r="D13" s="13">
        <v>1</v>
      </c>
      <c r="G13" s="15" t="s">
        <v>695</v>
      </c>
      <c r="H13" s="13" t="s">
        <v>3327</v>
      </c>
      <c r="I13" s="13">
        <v>64276</v>
      </c>
      <c r="J13" s="13">
        <v>331</v>
      </c>
      <c r="K13" s="13" t="s">
        <v>21</v>
      </c>
      <c r="L13" s="13">
        <v>1</v>
      </c>
      <c r="M13" s="21">
        <v>1662120</v>
      </c>
      <c r="N13" s="21">
        <f t="shared" si="1"/>
        <v>1662120</v>
      </c>
      <c r="O13" s="13" t="s">
        <v>22</v>
      </c>
      <c r="P13" s="13">
        <v>13</v>
      </c>
    </row>
    <row r="14" spans="1:16" ht="15" customHeight="1" x14ac:dyDescent="0.2">
      <c r="A14" s="13" t="s">
        <v>368</v>
      </c>
      <c r="B14" s="14">
        <v>45916</v>
      </c>
      <c r="C14" s="13">
        <f t="shared" si="0"/>
        <v>11</v>
      </c>
      <c r="D14" s="13">
        <v>1</v>
      </c>
      <c r="G14" s="15" t="s">
        <v>695</v>
      </c>
      <c r="H14" s="13" t="s">
        <v>3336</v>
      </c>
      <c r="I14" s="13">
        <v>331</v>
      </c>
      <c r="J14" s="13">
        <v>1111</v>
      </c>
      <c r="K14" s="13" t="s">
        <v>21</v>
      </c>
      <c r="L14" s="13">
        <v>1</v>
      </c>
      <c r="M14" s="21">
        <v>99000</v>
      </c>
      <c r="N14" s="21">
        <f t="shared" si="1"/>
        <v>99000</v>
      </c>
      <c r="O14" s="13" t="s">
        <v>22</v>
      </c>
      <c r="P14" s="13">
        <v>19</v>
      </c>
    </row>
    <row r="15" spans="1:16" ht="15" customHeight="1" x14ac:dyDescent="0.2">
      <c r="A15" s="13" t="s">
        <v>368</v>
      </c>
      <c r="B15" s="14">
        <v>45916</v>
      </c>
      <c r="C15" s="13">
        <f t="shared" si="0"/>
        <v>12</v>
      </c>
      <c r="D15" s="13">
        <v>1</v>
      </c>
      <c r="G15" s="15" t="s">
        <v>695</v>
      </c>
      <c r="H15" s="13" t="s">
        <v>3337</v>
      </c>
      <c r="I15" s="13">
        <v>331</v>
      </c>
      <c r="J15" s="13">
        <v>1111</v>
      </c>
      <c r="K15" s="13" t="s">
        <v>21</v>
      </c>
      <c r="L15" s="13">
        <v>1</v>
      </c>
      <c r="M15" s="21">
        <v>1662120</v>
      </c>
      <c r="N15" s="21">
        <f t="shared" si="1"/>
        <v>1662120</v>
      </c>
      <c r="O15" s="13" t="s">
        <v>22</v>
      </c>
      <c r="P15" s="13">
        <v>20</v>
      </c>
    </row>
    <row r="16" spans="1:16" ht="15" customHeight="1" x14ac:dyDescent="0.2">
      <c r="A16" s="13" t="s">
        <v>18</v>
      </c>
      <c r="B16" s="14">
        <v>45924</v>
      </c>
      <c r="C16" s="13">
        <f t="shared" si="0"/>
        <v>13</v>
      </c>
      <c r="D16" s="13">
        <v>1</v>
      </c>
      <c r="G16" s="15" t="s">
        <v>784</v>
      </c>
      <c r="H16" s="13" t="s">
        <v>3314</v>
      </c>
      <c r="I16" s="13">
        <v>131</v>
      </c>
      <c r="J16" s="13">
        <v>5113</v>
      </c>
      <c r="K16" s="13" t="s">
        <v>21</v>
      </c>
      <c r="L16" s="13">
        <v>1</v>
      </c>
      <c r="M16" s="21">
        <v>8064516</v>
      </c>
      <c r="N16" s="21">
        <f t="shared" si="1"/>
        <v>8064516</v>
      </c>
      <c r="O16" s="13" t="s">
        <v>22</v>
      </c>
      <c r="P16" s="13">
        <v>1</v>
      </c>
    </row>
    <row r="17" spans="1:16" ht="15" customHeight="1" x14ac:dyDescent="0.2">
      <c r="A17" s="13" t="s">
        <v>18</v>
      </c>
      <c r="B17" s="14">
        <v>45924</v>
      </c>
      <c r="C17" s="13">
        <f t="shared" si="0"/>
        <v>14</v>
      </c>
      <c r="D17" s="13">
        <v>1</v>
      </c>
      <c r="G17" s="15" t="s">
        <v>784</v>
      </c>
      <c r="H17" s="13" t="s">
        <v>3315</v>
      </c>
      <c r="I17" s="13">
        <v>333821</v>
      </c>
      <c r="J17" s="13">
        <v>131</v>
      </c>
      <c r="K17" s="13" t="s">
        <v>21</v>
      </c>
      <c r="L17" s="13">
        <v>1</v>
      </c>
      <c r="M17" s="21">
        <v>80645</v>
      </c>
      <c r="N17" s="21">
        <f t="shared" si="1"/>
        <v>80645</v>
      </c>
      <c r="O17" s="13" t="s">
        <v>22</v>
      </c>
      <c r="P17" s="13">
        <v>2</v>
      </c>
    </row>
    <row r="18" spans="1:16" ht="15" customHeight="1" x14ac:dyDescent="0.2">
      <c r="A18" s="13" t="s">
        <v>18</v>
      </c>
      <c r="B18" s="14">
        <v>45925</v>
      </c>
      <c r="C18" s="13">
        <f t="shared" si="0"/>
        <v>15</v>
      </c>
      <c r="D18" s="13">
        <v>1</v>
      </c>
      <c r="G18" s="15" t="s">
        <v>96</v>
      </c>
      <c r="H18" s="13" t="s">
        <v>3316</v>
      </c>
      <c r="I18" s="13">
        <v>131</v>
      </c>
      <c r="J18" s="13">
        <v>5113</v>
      </c>
      <c r="K18" s="13" t="s">
        <v>21</v>
      </c>
      <c r="L18" s="13">
        <v>1</v>
      </c>
      <c r="M18" s="21">
        <v>10752688</v>
      </c>
      <c r="N18" s="21">
        <f t="shared" si="1"/>
        <v>10752688</v>
      </c>
      <c r="O18" s="13" t="s">
        <v>22</v>
      </c>
      <c r="P18" s="13">
        <v>3</v>
      </c>
    </row>
    <row r="19" spans="1:16" ht="15" customHeight="1" x14ac:dyDescent="0.2">
      <c r="A19" s="13" t="s">
        <v>18</v>
      </c>
      <c r="B19" s="14">
        <v>45926</v>
      </c>
      <c r="C19" s="13">
        <f t="shared" si="0"/>
        <v>16</v>
      </c>
      <c r="D19" s="13">
        <v>1</v>
      </c>
      <c r="G19" s="15" t="s">
        <v>607</v>
      </c>
      <c r="H19" s="13" t="s">
        <v>3317</v>
      </c>
      <c r="I19" s="13">
        <v>131</v>
      </c>
      <c r="J19" s="13">
        <v>5113</v>
      </c>
      <c r="K19" s="13" t="s">
        <v>21</v>
      </c>
      <c r="L19" s="13">
        <v>1</v>
      </c>
      <c r="M19" s="21">
        <v>8064516</v>
      </c>
      <c r="N19" s="21">
        <f t="shared" si="1"/>
        <v>8064516</v>
      </c>
      <c r="O19" s="13" t="s">
        <v>22</v>
      </c>
      <c r="P19" s="13">
        <v>4</v>
      </c>
    </row>
    <row r="20" spans="1:16" ht="15" customHeight="1" x14ac:dyDescent="0.2">
      <c r="A20" s="13" t="s">
        <v>18</v>
      </c>
      <c r="B20" s="14">
        <v>45926</v>
      </c>
      <c r="C20" s="13">
        <f t="shared" si="0"/>
        <v>17</v>
      </c>
      <c r="D20" s="13">
        <v>1</v>
      </c>
      <c r="G20" s="15" t="s">
        <v>607</v>
      </c>
      <c r="H20" s="13" t="s">
        <v>3318</v>
      </c>
      <c r="I20" s="13">
        <v>333821</v>
      </c>
      <c r="J20" s="13">
        <v>131</v>
      </c>
      <c r="K20" s="13" t="s">
        <v>21</v>
      </c>
      <c r="L20" s="13">
        <v>1</v>
      </c>
      <c r="M20" s="21">
        <v>80645</v>
      </c>
      <c r="N20" s="21">
        <f t="shared" si="1"/>
        <v>80645</v>
      </c>
      <c r="O20" s="13" t="s">
        <v>22</v>
      </c>
      <c r="P20" s="13">
        <v>5</v>
      </c>
    </row>
    <row r="21" spans="1:16" ht="15" customHeight="1" x14ac:dyDescent="0.2">
      <c r="A21" s="13" t="s">
        <v>18</v>
      </c>
      <c r="B21" s="14">
        <v>45926</v>
      </c>
      <c r="C21" s="13">
        <f t="shared" si="0"/>
        <v>18</v>
      </c>
      <c r="D21" s="13">
        <v>1</v>
      </c>
      <c r="G21" s="15" t="s">
        <v>3319</v>
      </c>
      <c r="H21" s="13" t="s">
        <v>3320</v>
      </c>
      <c r="I21" s="13">
        <v>131</v>
      </c>
      <c r="J21" s="13">
        <v>5113</v>
      </c>
      <c r="K21" s="13" t="s">
        <v>21</v>
      </c>
      <c r="L21" s="13">
        <v>1</v>
      </c>
      <c r="M21" s="21">
        <v>7526882</v>
      </c>
      <c r="N21" s="21">
        <f t="shared" si="1"/>
        <v>7526882</v>
      </c>
      <c r="O21" s="13" t="s">
        <v>22</v>
      </c>
      <c r="P21" s="13">
        <v>6</v>
      </c>
    </row>
    <row r="22" spans="1:16" ht="15" customHeight="1" x14ac:dyDescent="0.2">
      <c r="A22" s="13" t="s">
        <v>18</v>
      </c>
      <c r="B22" s="14">
        <v>45926</v>
      </c>
      <c r="C22" s="13">
        <f t="shared" si="0"/>
        <v>19</v>
      </c>
      <c r="D22" s="13">
        <v>1</v>
      </c>
      <c r="G22" s="15" t="s">
        <v>3319</v>
      </c>
      <c r="H22" s="13" t="s">
        <v>3321</v>
      </c>
      <c r="I22" s="13">
        <v>333821</v>
      </c>
      <c r="J22" s="13">
        <v>131</v>
      </c>
      <c r="K22" s="13" t="s">
        <v>21</v>
      </c>
      <c r="L22" s="13">
        <v>1</v>
      </c>
      <c r="M22" s="21">
        <v>75269</v>
      </c>
      <c r="N22" s="21">
        <f t="shared" si="1"/>
        <v>75269</v>
      </c>
      <c r="O22" s="13" t="s">
        <v>22</v>
      </c>
      <c r="P22" s="13">
        <v>7</v>
      </c>
    </row>
    <row r="23" spans="1:16" ht="15" customHeight="1" x14ac:dyDescent="0.2">
      <c r="A23" s="13" t="s">
        <v>18</v>
      </c>
      <c r="B23" s="14">
        <v>45926</v>
      </c>
      <c r="C23" s="13">
        <f t="shared" si="0"/>
        <v>20</v>
      </c>
      <c r="D23" s="13">
        <v>1</v>
      </c>
      <c r="G23" s="15" t="s">
        <v>96</v>
      </c>
      <c r="H23" s="13" t="s">
        <v>3322</v>
      </c>
      <c r="I23" s="13">
        <v>131</v>
      </c>
      <c r="J23" s="13">
        <v>5113</v>
      </c>
      <c r="K23" s="13" t="s">
        <v>21</v>
      </c>
      <c r="L23" s="13">
        <v>1</v>
      </c>
      <c r="M23" s="21">
        <v>10215054</v>
      </c>
      <c r="N23" s="21">
        <f t="shared" si="1"/>
        <v>10215054</v>
      </c>
      <c r="O23" s="13" t="s">
        <v>22</v>
      </c>
      <c r="P23" s="13">
        <v>8</v>
      </c>
    </row>
    <row r="24" spans="1:16" ht="15" customHeight="1" x14ac:dyDescent="0.2">
      <c r="A24" s="13" t="s">
        <v>33</v>
      </c>
      <c r="B24" s="14">
        <v>45926</v>
      </c>
      <c r="C24" s="13">
        <f t="shared" si="0"/>
        <v>21</v>
      </c>
      <c r="D24" s="13">
        <v>1</v>
      </c>
      <c r="G24" s="15" t="s">
        <v>3319</v>
      </c>
      <c r="H24" s="13" t="s">
        <v>3333</v>
      </c>
      <c r="I24" s="13">
        <v>11211</v>
      </c>
      <c r="J24" s="13">
        <v>131</v>
      </c>
      <c r="K24" s="13" t="s">
        <v>21</v>
      </c>
      <c r="L24" s="13">
        <v>1</v>
      </c>
      <c r="M24" s="21">
        <v>7451613</v>
      </c>
      <c r="N24" s="21">
        <f t="shared" si="1"/>
        <v>7451613</v>
      </c>
      <c r="O24" s="13" t="s">
        <v>22</v>
      </c>
      <c r="P24" s="13">
        <v>15</v>
      </c>
    </row>
    <row r="25" spans="1:16" ht="15" customHeight="1" x14ac:dyDescent="0.2">
      <c r="A25" s="13" t="s">
        <v>18</v>
      </c>
      <c r="B25" s="14">
        <v>45929</v>
      </c>
      <c r="C25" s="13">
        <f t="shared" si="0"/>
        <v>22</v>
      </c>
      <c r="D25" s="13">
        <v>1</v>
      </c>
      <c r="G25" s="15" t="s">
        <v>96</v>
      </c>
      <c r="H25" s="13" t="s">
        <v>3323</v>
      </c>
      <c r="I25" s="13">
        <v>131</v>
      </c>
      <c r="J25" s="13">
        <v>5113</v>
      </c>
      <c r="K25" s="13" t="s">
        <v>21</v>
      </c>
      <c r="L25" s="13">
        <v>1</v>
      </c>
      <c r="M25" s="21">
        <v>19354839</v>
      </c>
      <c r="N25" s="21">
        <f t="shared" si="1"/>
        <v>19354839</v>
      </c>
      <c r="O25" s="13" t="s">
        <v>22</v>
      </c>
      <c r="P25" s="13">
        <v>9</v>
      </c>
    </row>
    <row r="26" spans="1:16" ht="15" customHeight="1" x14ac:dyDescent="0.2">
      <c r="A26" s="13" t="s">
        <v>18</v>
      </c>
      <c r="B26" s="14">
        <v>45930</v>
      </c>
      <c r="C26" s="13">
        <f t="shared" si="0"/>
        <v>23</v>
      </c>
      <c r="D26" s="13">
        <v>1</v>
      </c>
      <c r="G26" s="15" t="s">
        <v>1235</v>
      </c>
      <c r="H26" s="13" t="s">
        <v>367</v>
      </c>
      <c r="I26" s="13">
        <v>64271</v>
      </c>
      <c r="J26" s="13">
        <v>3383</v>
      </c>
      <c r="K26" s="13" t="s">
        <v>21</v>
      </c>
      <c r="L26" s="13">
        <v>1</v>
      </c>
      <c r="M26" s="21">
        <v>690300</v>
      </c>
      <c r="N26" s="21">
        <v>690300</v>
      </c>
      <c r="O26" s="13" t="s">
        <v>22</v>
      </c>
      <c r="P26" s="13">
        <v>23</v>
      </c>
    </row>
  </sheetData>
  <autoFilter ref="A3:P26" xr:uid="{00000000-0009-0000-0000-00000E000000}">
    <sortState xmlns:xlrd2="http://schemas.microsoft.com/office/spreadsheetml/2017/richdata2" ref="A4:P26">
      <sortCondition ref="B3:B26"/>
    </sortState>
  </autoFilter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430"/>
  <sheetViews>
    <sheetView topLeftCell="A387" workbookViewId="0">
      <selection activeCell="G411" sqref="G411:J412"/>
    </sheetView>
  </sheetViews>
  <sheetFormatPr defaultRowHeight="15" customHeight="1" x14ac:dyDescent="0.2"/>
  <cols>
    <col min="1" max="1" width="9.140625" style="24"/>
    <col min="2" max="2" width="9.140625" style="36"/>
    <col min="3" max="6" width="9.140625" style="24"/>
    <col min="7" max="7" width="12.7109375" style="37" bestFit="1" customWidth="1"/>
    <col min="8" max="8" width="40.7109375" style="24" customWidth="1"/>
    <col min="9" max="12" width="9.140625" style="24"/>
    <col min="13" max="14" width="11.28515625" style="39" bestFit="1" customWidth="1"/>
    <col min="15" max="15" width="11.28515625" style="24" bestFit="1" customWidth="1"/>
    <col min="16" max="17" width="9.140625" style="24"/>
    <col min="18" max="18" width="9.140625" style="37"/>
    <col min="19" max="19" width="9.85546875" style="112" bestFit="1" customWidth="1"/>
    <col min="20" max="20" width="9.85546875" style="37" bestFit="1" customWidth="1"/>
    <col min="21" max="24" width="9.140625" style="37"/>
    <col min="25" max="16384" width="9.140625" style="24"/>
  </cols>
  <sheetData>
    <row r="1" spans="1:20" ht="15" customHeight="1" thickBot="1" x14ac:dyDescent="0.25">
      <c r="A1" s="177" t="s">
        <v>0</v>
      </c>
      <c r="B1" s="192" t="s">
        <v>1</v>
      </c>
      <c r="C1" s="177" t="s">
        <v>2</v>
      </c>
      <c r="D1" s="175" t="s">
        <v>3</v>
      </c>
      <c r="E1" s="175" t="s">
        <v>4</v>
      </c>
      <c r="F1" s="175" t="s">
        <v>5</v>
      </c>
      <c r="G1" s="180" t="s">
        <v>6</v>
      </c>
      <c r="H1" s="182" t="s">
        <v>7</v>
      </c>
      <c r="I1" s="184" t="s">
        <v>8</v>
      </c>
      <c r="J1" s="185"/>
      <c r="K1" s="177" t="s">
        <v>9</v>
      </c>
      <c r="L1" s="177" t="s">
        <v>10</v>
      </c>
      <c r="M1" s="190" t="s">
        <v>1287</v>
      </c>
      <c r="N1" s="190" t="s">
        <v>1288</v>
      </c>
      <c r="O1" s="49" t="s">
        <v>1289</v>
      </c>
      <c r="P1" s="42"/>
    </row>
    <row r="2" spans="1:20" ht="15" customHeight="1" thickBot="1" x14ac:dyDescent="0.25">
      <c r="A2" s="178"/>
      <c r="B2" s="193"/>
      <c r="C2" s="178"/>
      <c r="D2" s="179"/>
      <c r="E2" s="179"/>
      <c r="F2" s="176"/>
      <c r="G2" s="181"/>
      <c r="H2" s="183"/>
      <c r="I2" s="50" t="s">
        <v>13</v>
      </c>
      <c r="J2" s="51" t="s">
        <v>14</v>
      </c>
      <c r="K2" s="178"/>
      <c r="L2" s="178"/>
      <c r="M2" s="191"/>
      <c r="N2" s="191"/>
      <c r="O2" s="42" t="s">
        <v>1289</v>
      </c>
      <c r="P2" s="42"/>
    </row>
    <row r="3" spans="1:20" ht="15" customHeight="1" x14ac:dyDescent="0.2">
      <c r="A3" s="52"/>
      <c r="B3" s="92"/>
      <c r="C3" s="52">
        <v>138</v>
      </c>
      <c r="D3" s="53"/>
      <c r="E3" s="53"/>
      <c r="F3" s="53"/>
      <c r="G3" s="78" t="s">
        <v>15</v>
      </c>
      <c r="H3" s="54"/>
      <c r="I3" s="54"/>
      <c r="J3" s="54"/>
      <c r="K3" s="52"/>
      <c r="L3" s="52"/>
      <c r="M3" s="89"/>
      <c r="N3" s="89"/>
      <c r="O3" s="42" t="s">
        <v>16</v>
      </c>
      <c r="P3" s="42" t="s">
        <v>17</v>
      </c>
      <c r="S3" s="112">
        <v>48938143</v>
      </c>
      <c r="T3" s="112"/>
    </row>
    <row r="4" spans="1:20" ht="15" customHeight="1" x14ac:dyDescent="0.2">
      <c r="A4" s="24" t="s">
        <v>18</v>
      </c>
      <c r="B4" s="36" t="s">
        <v>2042</v>
      </c>
      <c r="C4" s="24">
        <f>C3+D4</f>
        <v>139</v>
      </c>
      <c r="D4" s="24">
        <v>1</v>
      </c>
      <c r="G4" s="37" t="s">
        <v>1283</v>
      </c>
      <c r="H4" s="24" t="s">
        <v>3089</v>
      </c>
      <c r="I4" s="24">
        <v>131</v>
      </c>
      <c r="J4" s="24">
        <v>5113</v>
      </c>
      <c r="K4" s="24" t="s">
        <v>21</v>
      </c>
      <c r="L4" s="24">
        <v>1</v>
      </c>
      <c r="M4" s="39">
        <v>43010753</v>
      </c>
      <c r="N4" s="39">
        <f>L4*M4</f>
        <v>43010753</v>
      </c>
      <c r="O4" s="38" t="s">
        <v>22</v>
      </c>
    </row>
    <row r="5" spans="1:20" ht="15" customHeight="1" x14ac:dyDescent="0.2">
      <c r="A5" s="24" t="s">
        <v>18</v>
      </c>
      <c r="B5" s="36" t="s">
        <v>2043</v>
      </c>
      <c r="C5" s="24">
        <f t="shared" ref="C5:C68" si="0">C4+D5</f>
        <v>140</v>
      </c>
      <c r="D5" s="24">
        <v>1</v>
      </c>
      <c r="G5" s="37" t="s">
        <v>1077</v>
      </c>
      <c r="H5" s="24" t="s">
        <v>3090</v>
      </c>
      <c r="I5" s="24">
        <v>131</v>
      </c>
      <c r="J5" s="24">
        <v>5113</v>
      </c>
      <c r="K5" s="24" t="s">
        <v>21</v>
      </c>
      <c r="L5" s="24">
        <v>1</v>
      </c>
      <c r="M5" s="39">
        <v>69892473</v>
      </c>
      <c r="N5" s="39">
        <f t="shared" ref="N5:N55" si="1">L5*M5</f>
        <v>69892473</v>
      </c>
      <c r="O5" s="38" t="s">
        <v>22</v>
      </c>
    </row>
    <row r="6" spans="1:20" ht="15" customHeight="1" x14ac:dyDescent="0.2">
      <c r="A6" s="24" t="s">
        <v>18</v>
      </c>
      <c r="B6" s="36" t="s">
        <v>2043</v>
      </c>
      <c r="C6" s="24">
        <f t="shared" si="0"/>
        <v>141</v>
      </c>
      <c r="D6" s="24">
        <v>1</v>
      </c>
      <c r="G6" s="37" t="s">
        <v>1077</v>
      </c>
      <c r="H6" s="24" t="s">
        <v>3091</v>
      </c>
      <c r="I6" s="24">
        <v>333821</v>
      </c>
      <c r="J6" s="24">
        <v>131</v>
      </c>
      <c r="K6" s="24" t="s">
        <v>21</v>
      </c>
      <c r="L6" s="24">
        <v>1</v>
      </c>
      <c r="M6" s="39">
        <v>698925</v>
      </c>
      <c r="N6" s="39">
        <f t="shared" si="1"/>
        <v>698925</v>
      </c>
      <c r="O6" s="38" t="s">
        <v>22</v>
      </c>
    </row>
    <row r="7" spans="1:20" ht="15" customHeight="1" x14ac:dyDescent="0.2">
      <c r="A7" s="24" t="s">
        <v>18</v>
      </c>
      <c r="B7" s="36" t="s">
        <v>2043</v>
      </c>
      <c r="C7" s="24">
        <f t="shared" si="0"/>
        <v>142</v>
      </c>
      <c r="D7" s="24">
        <v>1</v>
      </c>
      <c r="G7" s="37" t="s">
        <v>3085</v>
      </c>
      <c r="H7" s="24" t="s">
        <v>3092</v>
      </c>
      <c r="I7" s="24">
        <v>131</v>
      </c>
      <c r="J7" s="24">
        <v>5113</v>
      </c>
      <c r="K7" s="24" t="s">
        <v>21</v>
      </c>
      <c r="L7" s="24">
        <v>1</v>
      </c>
      <c r="M7" s="39">
        <v>53535354</v>
      </c>
      <c r="N7" s="39">
        <f t="shared" si="1"/>
        <v>53535354</v>
      </c>
      <c r="O7" s="38" t="s">
        <v>22</v>
      </c>
    </row>
    <row r="8" spans="1:20" ht="15" customHeight="1" x14ac:dyDescent="0.2">
      <c r="A8" s="24" t="s">
        <v>18</v>
      </c>
      <c r="B8" s="36" t="s">
        <v>2043</v>
      </c>
      <c r="C8" s="24">
        <f t="shared" si="0"/>
        <v>143</v>
      </c>
      <c r="D8" s="24">
        <v>1</v>
      </c>
      <c r="G8" s="37" t="s">
        <v>3085</v>
      </c>
      <c r="H8" s="24" t="s">
        <v>3093</v>
      </c>
      <c r="I8" s="24">
        <v>333821</v>
      </c>
      <c r="J8" s="24">
        <v>131</v>
      </c>
      <c r="K8" s="24" t="s">
        <v>21</v>
      </c>
      <c r="L8" s="24">
        <v>1</v>
      </c>
      <c r="M8" s="39">
        <v>535354</v>
      </c>
      <c r="N8" s="39">
        <f t="shared" si="1"/>
        <v>535354</v>
      </c>
      <c r="O8" s="38" t="s">
        <v>22</v>
      </c>
    </row>
    <row r="9" spans="1:20" ht="15" customHeight="1" x14ac:dyDescent="0.2">
      <c r="A9" s="24" t="s">
        <v>18</v>
      </c>
      <c r="B9" s="36" t="s">
        <v>1533</v>
      </c>
      <c r="C9" s="24">
        <f t="shared" si="0"/>
        <v>144</v>
      </c>
      <c r="D9" s="24">
        <v>1</v>
      </c>
      <c r="G9" s="37" t="s">
        <v>627</v>
      </c>
      <c r="H9" s="24" t="s">
        <v>3094</v>
      </c>
      <c r="I9" s="24">
        <v>131</v>
      </c>
      <c r="J9" s="24">
        <v>5113</v>
      </c>
      <c r="K9" s="24" t="s">
        <v>21</v>
      </c>
      <c r="L9" s="24">
        <v>1</v>
      </c>
      <c r="M9" s="39">
        <v>43010753</v>
      </c>
      <c r="N9" s="39">
        <f t="shared" si="1"/>
        <v>43010753</v>
      </c>
      <c r="O9" s="38" t="s">
        <v>22</v>
      </c>
    </row>
    <row r="10" spans="1:20" ht="15" customHeight="1" x14ac:dyDescent="0.2">
      <c r="A10" s="24" t="s">
        <v>18</v>
      </c>
      <c r="B10" s="36" t="s">
        <v>1533</v>
      </c>
      <c r="C10" s="24">
        <f t="shared" si="0"/>
        <v>145</v>
      </c>
      <c r="D10" s="24">
        <v>1</v>
      </c>
      <c r="G10" s="37" t="s">
        <v>627</v>
      </c>
      <c r="H10" s="24" t="s">
        <v>3095</v>
      </c>
      <c r="I10" s="24">
        <v>333821</v>
      </c>
      <c r="J10" s="24">
        <v>131</v>
      </c>
      <c r="K10" s="24" t="s">
        <v>21</v>
      </c>
      <c r="L10" s="24">
        <v>1</v>
      </c>
      <c r="M10" s="39">
        <v>430108</v>
      </c>
      <c r="N10" s="39">
        <f t="shared" si="1"/>
        <v>430108</v>
      </c>
      <c r="O10" s="38" t="s">
        <v>22</v>
      </c>
    </row>
    <row r="11" spans="1:20" ht="15" customHeight="1" x14ac:dyDescent="0.2">
      <c r="A11" s="24" t="s">
        <v>18</v>
      </c>
      <c r="B11" s="36" t="s">
        <v>1533</v>
      </c>
      <c r="C11" s="24">
        <f t="shared" si="0"/>
        <v>146</v>
      </c>
      <c r="D11" s="24">
        <v>1</v>
      </c>
      <c r="G11" s="37" t="s">
        <v>627</v>
      </c>
      <c r="H11" s="24" t="s">
        <v>3096</v>
      </c>
      <c r="I11" s="24">
        <v>131</v>
      </c>
      <c r="J11" s="24">
        <v>5113</v>
      </c>
      <c r="K11" s="24" t="s">
        <v>21</v>
      </c>
      <c r="L11" s="24">
        <v>1</v>
      </c>
      <c r="M11" s="39">
        <v>59139785</v>
      </c>
      <c r="N11" s="39">
        <f t="shared" si="1"/>
        <v>59139785</v>
      </c>
      <c r="O11" s="38" t="s">
        <v>22</v>
      </c>
    </row>
    <row r="12" spans="1:20" ht="15" customHeight="1" x14ac:dyDescent="0.2">
      <c r="A12" s="24" t="s">
        <v>18</v>
      </c>
      <c r="B12" s="36" t="s">
        <v>1533</v>
      </c>
      <c r="C12" s="24">
        <f t="shared" si="0"/>
        <v>147</v>
      </c>
      <c r="D12" s="24">
        <v>1</v>
      </c>
      <c r="G12" s="37" t="s">
        <v>627</v>
      </c>
      <c r="H12" s="24" t="s">
        <v>3097</v>
      </c>
      <c r="I12" s="24">
        <v>333821</v>
      </c>
      <c r="J12" s="24">
        <v>131</v>
      </c>
      <c r="K12" s="24" t="s">
        <v>21</v>
      </c>
      <c r="L12" s="24">
        <v>1</v>
      </c>
      <c r="M12" s="39">
        <v>591398</v>
      </c>
      <c r="N12" s="39">
        <f t="shared" si="1"/>
        <v>591398</v>
      </c>
      <c r="O12" s="38" t="s">
        <v>22</v>
      </c>
    </row>
    <row r="13" spans="1:20" ht="15" customHeight="1" x14ac:dyDescent="0.2">
      <c r="A13" s="24" t="s">
        <v>18</v>
      </c>
      <c r="B13" s="36" t="s">
        <v>1533</v>
      </c>
      <c r="C13" s="24">
        <f t="shared" si="0"/>
        <v>148</v>
      </c>
      <c r="D13" s="24">
        <v>1</v>
      </c>
      <c r="G13" s="37" t="s">
        <v>3086</v>
      </c>
      <c r="H13" s="24" t="s">
        <v>3098</v>
      </c>
      <c r="I13" s="24">
        <v>131</v>
      </c>
      <c r="J13" s="24">
        <v>5113</v>
      </c>
      <c r="K13" s="24" t="s">
        <v>21</v>
      </c>
      <c r="L13" s="24">
        <v>1</v>
      </c>
      <c r="M13" s="39">
        <v>43010753</v>
      </c>
      <c r="N13" s="39">
        <f t="shared" si="1"/>
        <v>43010753</v>
      </c>
      <c r="O13" s="38" t="s">
        <v>22</v>
      </c>
    </row>
    <row r="14" spans="1:20" ht="15" customHeight="1" x14ac:dyDescent="0.2">
      <c r="A14" s="24" t="s">
        <v>18</v>
      </c>
      <c r="B14" s="36" t="s">
        <v>1533</v>
      </c>
      <c r="C14" s="24">
        <f t="shared" si="0"/>
        <v>149</v>
      </c>
      <c r="D14" s="24">
        <v>1</v>
      </c>
      <c r="G14" s="37" t="s">
        <v>3086</v>
      </c>
      <c r="H14" s="24" t="s">
        <v>3099</v>
      </c>
      <c r="I14" s="24">
        <v>333821</v>
      </c>
      <c r="J14" s="24">
        <v>131</v>
      </c>
      <c r="K14" s="24" t="s">
        <v>21</v>
      </c>
      <c r="L14" s="24">
        <v>1</v>
      </c>
      <c r="M14" s="39">
        <v>430108</v>
      </c>
      <c r="N14" s="39">
        <f t="shared" si="1"/>
        <v>430108</v>
      </c>
      <c r="O14" s="38" t="s">
        <v>22</v>
      </c>
    </row>
    <row r="15" spans="1:20" ht="15" customHeight="1" x14ac:dyDescent="0.2">
      <c r="A15" s="24" t="s">
        <v>18</v>
      </c>
      <c r="B15" s="36" t="s">
        <v>2300</v>
      </c>
      <c r="C15" s="24">
        <f t="shared" si="0"/>
        <v>150</v>
      </c>
      <c r="D15" s="24">
        <v>1</v>
      </c>
      <c r="G15" s="37" t="s">
        <v>1077</v>
      </c>
      <c r="H15" s="24" t="s">
        <v>3100</v>
      </c>
      <c r="I15" s="24">
        <v>131</v>
      </c>
      <c r="J15" s="24">
        <v>5113</v>
      </c>
      <c r="K15" s="24" t="s">
        <v>21</v>
      </c>
      <c r="L15" s="24">
        <v>1</v>
      </c>
      <c r="M15" s="39">
        <v>43010752</v>
      </c>
      <c r="N15" s="39">
        <f t="shared" si="1"/>
        <v>43010752</v>
      </c>
      <c r="O15" s="38" t="s">
        <v>22</v>
      </c>
    </row>
    <row r="16" spans="1:20" ht="15" customHeight="1" x14ac:dyDescent="0.2">
      <c r="A16" s="24" t="s">
        <v>18</v>
      </c>
      <c r="B16" s="36" t="s">
        <v>2300</v>
      </c>
      <c r="C16" s="24">
        <f t="shared" si="0"/>
        <v>151</v>
      </c>
      <c r="D16" s="24">
        <v>1</v>
      </c>
      <c r="G16" s="37" t="s">
        <v>1077</v>
      </c>
      <c r="H16" s="24" t="s">
        <v>3101</v>
      </c>
      <c r="I16" s="24">
        <v>333821</v>
      </c>
      <c r="J16" s="24">
        <v>131</v>
      </c>
      <c r="K16" s="24" t="s">
        <v>21</v>
      </c>
      <c r="L16" s="24">
        <v>1</v>
      </c>
      <c r="M16" s="39">
        <v>430108</v>
      </c>
      <c r="N16" s="39">
        <f t="shared" si="1"/>
        <v>430108</v>
      </c>
      <c r="O16" s="38" t="s">
        <v>22</v>
      </c>
    </row>
    <row r="17" spans="1:15" ht="15" customHeight="1" x14ac:dyDescent="0.2">
      <c r="A17" s="24" t="s">
        <v>18</v>
      </c>
      <c r="B17" s="36" t="s">
        <v>2045</v>
      </c>
      <c r="C17" s="24">
        <f t="shared" si="0"/>
        <v>152</v>
      </c>
      <c r="D17" s="24">
        <v>1</v>
      </c>
      <c r="G17" s="37" t="s">
        <v>627</v>
      </c>
      <c r="H17" s="24" t="s">
        <v>3102</v>
      </c>
      <c r="I17" s="24">
        <v>131</v>
      </c>
      <c r="J17" s="24">
        <v>5113</v>
      </c>
      <c r="K17" s="24" t="s">
        <v>21</v>
      </c>
      <c r="L17" s="24">
        <v>1</v>
      </c>
      <c r="M17" s="39">
        <v>43010753</v>
      </c>
      <c r="N17" s="39">
        <f t="shared" si="1"/>
        <v>43010753</v>
      </c>
      <c r="O17" s="38" t="s">
        <v>22</v>
      </c>
    </row>
    <row r="18" spans="1:15" ht="15" customHeight="1" x14ac:dyDescent="0.2">
      <c r="A18" s="24" t="s">
        <v>18</v>
      </c>
      <c r="B18" s="36" t="s">
        <v>2045</v>
      </c>
      <c r="C18" s="24">
        <f t="shared" si="0"/>
        <v>153</v>
      </c>
      <c r="D18" s="24">
        <v>1</v>
      </c>
      <c r="G18" s="37" t="s">
        <v>627</v>
      </c>
      <c r="H18" s="24" t="s">
        <v>3103</v>
      </c>
      <c r="I18" s="24">
        <v>333821</v>
      </c>
      <c r="J18" s="24">
        <v>131</v>
      </c>
      <c r="K18" s="24" t="s">
        <v>21</v>
      </c>
      <c r="L18" s="24">
        <v>1</v>
      </c>
      <c r="M18" s="39">
        <v>430108</v>
      </c>
      <c r="N18" s="39">
        <f t="shared" si="1"/>
        <v>430108</v>
      </c>
      <c r="O18" s="38" t="s">
        <v>22</v>
      </c>
    </row>
    <row r="19" spans="1:15" ht="15" customHeight="1" x14ac:dyDescent="0.2">
      <c r="A19" s="24" t="s">
        <v>18</v>
      </c>
      <c r="B19" s="36" t="s">
        <v>2045</v>
      </c>
      <c r="C19" s="24">
        <f t="shared" si="0"/>
        <v>154</v>
      </c>
      <c r="D19" s="24">
        <v>1</v>
      </c>
      <c r="G19" s="37" t="s">
        <v>96</v>
      </c>
      <c r="H19" s="24" t="s">
        <v>3104</v>
      </c>
      <c r="I19" s="24">
        <v>131</v>
      </c>
      <c r="J19" s="24">
        <v>5113</v>
      </c>
      <c r="K19" s="24" t="s">
        <v>21</v>
      </c>
      <c r="L19" s="24">
        <v>1</v>
      </c>
      <c r="M19" s="39">
        <v>43010753</v>
      </c>
      <c r="N19" s="39">
        <f t="shared" si="1"/>
        <v>43010753</v>
      </c>
      <c r="O19" s="38" t="s">
        <v>22</v>
      </c>
    </row>
    <row r="20" spans="1:15" ht="15" customHeight="1" x14ac:dyDescent="0.2">
      <c r="A20" s="24" t="s">
        <v>18</v>
      </c>
      <c r="B20" s="36" t="s">
        <v>2045</v>
      </c>
      <c r="C20" s="24">
        <f t="shared" si="0"/>
        <v>155</v>
      </c>
      <c r="D20" s="24">
        <v>1</v>
      </c>
      <c r="G20" s="37" t="s">
        <v>96</v>
      </c>
      <c r="H20" s="24" t="s">
        <v>3105</v>
      </c>
      <c r="I20" s="24">
        <v>333821</v>
      </c>
      <c r="J20" s="24">
        <v>131</v>
      </c>
      <c r="K20" s="24" t="s">
        <v>21</v>
      </c>
      <c r="L20" s="24">
        <v>1</v>
      </c>
      <c r="M20" s="39">
        <v>430108</v>
      </c>
      <c r="N20" s="39">
        <f t="shared" si="1"/>
        <v>430108</v>
      </c>
      <c r="O20" s="38" t="s">
        <v>22</v>
      </c>
    </row>
    <row r="21" spans="1:15" ht="15" customHeight="1" x14ac:dyDescent="0.2">
      <c r="A21" s="24" t="s">
        <v>18</v>
      </c>
      <c r="B21" s="36" t="s">
        <v>2118</v>
      </c>
      <c r="C21" s="24">
        <f t="shared" si="0"/>
        <v>156</v>
      </c>
      <c r="D21" s="24">
        <v>1</v>
      </c>
      <c r="G21" s="37" t="s">
        <v>976</v>
      </c>
      <c r="H21" s="24" t="s">
        <v>3106</v>
      </c>
      <c r="I21" s="24">
        <v>131</v>
      </c>
      <c r="J21" s="24">
        <v>5113</v>
      </c>
      <c r="K21" s="24" t="s">
        <v>21</v>
      </c>
      <c r="L21" s="24">
        <v>1</v>
      </c>
      <c r="M21" s="39">
        <v>48387097</v>
      </c>
      <c r="N21" s="39">
        <f t="shared" si="1"/>
        <v>48387097</v>
      </c>
      <c r="O21" s="38" t="s">
        <v>22</v>
      </c>
    </row>
    <row r="22" spans="1:15" ht="15" customHeight="1" x14ac:dyDescent="0.2">
      <c r="A22" s="24" t="s">
        <v>18</v>
      </c>
      <c r="B22" s="36" t="s">
        <v>2118</v>
      </c>
      <c r="C22" s="24">
        <f t="shared" si="0"/>
        <v>157</v>
      </c>
      <c r="D22" s="24">
        <v>1</v>
      </c>
      <c r="G22" s="37" t="s">
        <v>976</v>
      </c>
      <c r="H22" s="24" t="s">
        <v>3107</v>
      </c>
      <c r="I22" s="24">
        <v>333821</v>
      </c>
      <c r="J22" s="24">
        <v>131</v>
      </c>
      <c r="K22" s="24" t="s">
        <v>21</v>
      </c>
      <c r="L22" s="24">
        <v>1</v>
      </c>
      <c r="M22" s="39">
        <v>483871</v>
      </c>
      <c r="N22" s="39">
        <f t="shared" si="1"/>
        <v>483871</v>
      </c>
      <c r="O22" s="38" t="s">
        <v>22</v>
      </c>
    </row>
    <row r="23" spans="1:15" ht="15" customHeight="1" x14ac:dyDescent="0.2">
      <c r="A23" s="24" t="s">
        <v>18</v>
      </c>
      <c r="B23" s="36" t="s">
        <v>2118</v>
      </c>
      <c r="C23" s="24">
        <f t="shared" si="0"/>
        <v>158</v>
      </c>
      <c r="D23" s="24">
        <v>1</v>
      </c>
      <c r="G23" s="37" t="s">
        <v>976</v>
      </c>
      <c r="H23" s="24" t="s">
        <v>3108</v>
      </c>
      <c r="I23" s="24">
        <v>131</v>
      </c>
      <c r="J23" s="24">
        <v>5113</v>
      </c>
      <c r="K23" s="24" t="s">
        <v>21</v>
      </c>
      <c r="L23" s="24">
        <v>1</v>
      </c>
      <c r="M23" s="39">
        <v>64516129</v>
      </c>
      <c r="N23" s="39">
        <f t="shared" si="1"/>
        <v>64516129</v>
      </c>
      <c r="O23" s="38" t="s">
        <v>22</v>
      </c>
    </row>
    <row r="24" spans="1:15" ht="15" customHeight="1" x14ac:dyDescent="0.2">
      <c r="A24" s="24" t="s">
        <v>18</v>
      </c>
      <c r="B24" s="36" t="s">
        <v>2118</v>
      </c>
      <c r="C24" s="24">
        <f t="shared" si="0"/>
        <v>159</v>
      </c>
      <c r="D24" s="24">
        <v>1</v>
      </c>
      <c r="G24" s="37" t="s">
        <v>976</v>
      </c>
      <c r="H24" s="24" t="s">
        <v>3109</v>
      </c>
      <c r="I24" s="24">
        <v>333821</v>
      </c>
      <c r="J24" s="24">
        <v>131</v>
      </c>
      <c r="K24" s="24" t="s">
        <v>21</v>
      </c>
      <c r="L24" s="24">
        <v>1</v>
      </c>
      <c r="M24" s="39">
        <v>645161</v>
      </c>
      <c r="N24" s="39">
        <f t="shared" si="1"/>
        <v>645161</v>
      </c>
      <c r="O24" s="38" t="s">
        <v>22</v>
      </c>
    </row>
    <row r="25" spans="1:15" ht="15" customHeight="1" x14ac:dyDescent="0.2">
      <c r="A25" s="24" t="s">
        <v>18</v>
      </c>
      <c r="B25" s="36" t="s">
        <v>2121</v>
      </c>
      <c r="C25" s="24">
        <f t="shared" si="0"/>
        <v>160</v>
      </c>
      <c r="D25" s="24">
        <v>1</v>
      </c>
      <c r="G25" s="37" t="s">
        <v>96</v>
      </c>
      <c r="H25" s="24" t="s">
        <v>3110</v>
      </c>
      <c r="I25" s="24">
        <v>131</v>
      </c>
      <c r="J25" s="24">
        <v>5113</v>
      </c>
      <c r="K25" s="24" t="s">
        <v>21</v>
      </c>
      <c r="L25" s="24">
        <v>1</v>
      </c>
      <c r="M25" s="39">
        <v>16129032</v>
      </c>
      <c r="N25" s="39">
        <f t="shared" si="1"/>
        <v>16129032</v>
      </c>
      <c r="O25" s="38" t="s">
        <v>22</v>
      </c>
    </row>
    <row r="26" spans="1:15" ht="15" customHeight="1" x14ac:dyDescent="0.2">
      <c r="A26" s="24" t="s">
        <v>18</v>
      </c>
      <c r="B26" s="36" t="s">
        <v>2121</v>
      </c>
      <c r="C26" s="24">
        <f t="shared" si="0"/>
        <v>161</v>
      </c>
      <c r="D26" s="24">
        <v>1</v>
      </c>
      <c r="G26" s="37" t="s">
        <v>96</v>
      </c>
      <c r="H26" s="24" t="s">
        <v>3111</v>
      </c>
      <c r="I26" s="24">
        <v>333821</v>
      </c>
      <c r="J26" s="24">
        <v>131</v>
      </c>
      <c r="K26" s="24" t="s">
        <v>21</v>
      </c>
      <c r="L26" s="24">
        <v>1</v>
      </c>
      <c r="M26" s="39">
        <v>161290</v>
      </c>
      <c r="N26" s="39">
        <f t="shared" si="1"/>
        <v>161290</v>
      </c>
      <c r="O26" s="38" t="s">
        <v>22</v>
      </c>
    </row>
    <row r="27" spans="1:15" ht="15" customHeight="1" x14ac:dyDescent="0.2">
      <c r="A27" s="24" t="s">
        <v>18</v>
      </c>
      <c r="B27" s="36" t="s">
        <v>2232</v>
      </c>
      <c r="C27" s="24">
        <f t="shared" si="0"/>
        <v>162</v>
      </c>
      <c r="D27" s="24">
        <v>1</v>
      </c>
      <c r="G27" s="37" t="s">
        <v>96</v>
      </c>
      <c r="H27" s="24" t="s">
        <v>3112</v>
      </c>
      <c r="I27" s="24">
        <v>131</v>
      </c>
      <c r="J27" s="24">
        <v>5113</v>
      </c>
      <c r="K27" s="24" t="s">
        <v>21</v>
      </c>
      <c r="L27" s="24">
        <v>1</v>
      </c>
      <c r="M27" s="39">
        <v>43010753</v>
      </c>
      <c r="N27" s="39">
        <f t="shared" si="1"/>
        <v>43010753</v>
      </c>
      <c r="O27" s="38" t="s">
        <v>22</v>
      </c>
    </row>
    <row r="28" spans="1:15" ht="15" customHeight="1" x14ac:dyDescent="0.2">
      <c r="A28" s="24" t="s">
        <v>18</v>
      </c>
      <c r="B28" s="36" t="s">
        <v>2232</v>
      </c>
      <c r="C28" s="24">
        <f t="shared" si="0"/>
        <v>163</v>
      </c>
      <c r="D28" s="24">
        <v>1</v>
      </c>
      <c r="G28" s="37" t="s">
        <v>96</v>
      </c>
      <c r="H28" s="24" t="s">
        <v>3113</v>
      </c>
      <c r="I28" s="24">
        <v>333821</v>
      </c>
      <c r="J28" s="24">
        <v>131</v>
      </c>
      <c r="K28" s="24" t="s">
        <v>21</v>
      </c>
      <c r="L28" s="24">
        <v>1</v>
      </c>
      <c r="M28" s="39">
        <v>430108</v>
      </c>
      <c r="N28" s="39">
        <f t="shared" si="1"/>
        <v>430108</v>
      </c>
      <c r="O28" s="38" t="s">
        <v>22</v>
      </c>
    </row>
    <row r="29" spans="1:15" ht="15" customHeight="1" x14ac:dyDescent="0.2">
      <c r="A29" s="24" t="s">
        <v>18</v>
      </c>
      <c r="B29" s="36" t="s">
        <v>2232</v>
      </c>
      <c r="C29" s="24">
        <f t="shared" si="0"/>
        <v>164</v>
      </c>
      <c r="D29" s="24">
        <v>1</v>
      </c>
      <c r="G29" s="37" t="s">
        <v>96</v>
      </c>
      <c r="H29" s="24" t="s">
        <v>3114</v>
      </c>
      <c r="I29" s="24">
        <v>131</v>
      </c>
      <c r="J29" s="24">
        <v>5113</v>
      </c>
      <c r="K29" s="24" t="s">
        <v>21</v>
      </c>
      <c r="L29" s="24">
        <v>1</v>
      </c>
      <c r="M29" s="39">
        <v>53763440</v>
      </c>
      <c r="N29" s="39">
        <f t="shared" si="1"/>
        <v>53763440</v>
      </c>
      <c r="O29" s="38" t="s">
        <v>22</v>
      </c>
    </row>
    <row r="30" spans="1:15" ht="15" customHeight="1" x14ac:dyDescent="0.2">
      <c r="A30" s="24" t="s">
        <v>18</v>
      </c>
      <c r="B30" s="36" t="s">
        <v>2232</v>
      </c>
      <c r="C30" s="24">
        <f t="shared" si="0"/>
        <v>165</v>
      </c>
      <c r="D30" s="24">
        <v>1</v>
      </c>
      <c r="G30" s="37" t="s">
        <v>96</v>
      </c>
      <c r="H30" s="24" t="s">
        <v>3115</v>
      </c>
      <c r="I30" s="24">
        <v>333821</v>
      </c>
      <c r="J30" s="24">
        <v>131</v>
      </c>
      <c r="K30" s="24" t="s">
        <v>21</v>
      </c>
      <c r="L30" s="24">
        <v>1</v>
      </c>
      <c r="M30" s="39">
        <v>537634</v>
      </c>
      <c r="N30" s="39">
        <f t="shared" si="1"/>
        <v>537634</v>
      </c>
      <c r="O30" s="38" t="s">
        <v>22</v>
      </c>
    </row>
    <row r="31" spans="1:15" ht="15" customHeight="1" x14ac:dyDescent="0.2">
      <c r="A31" s="24" t="s">
        <v>18</v>
      </c>
      <c r="B31" s="36" t="s">
        <v>1412</v>
      </c>
      <c r="C31" s="24">
        <f t="shared" si="0"/>
        <v>166</v>
      </c>
      <c r="D31" s="24">
        <v>1</v>
      </c>
      <c r="G31" s="37" t="s">
        <v>287</v>
      </c>
      <c r="H31" s="24" t="s">
        <v>3116</v>
      </c>
      <c r="I31" s="24">
        <v>131</v>
      </c>
      <c r="J31" s="24">
        <v>5113</v>
      </c>
      <c r="K31" s="24" t="s">
        <v>21</v>
      </c>
      <c r="L31" s="24">
        <v>1</v>
      </c>
      <c r="M31" s="39">
        <v>43010753</v>
      </c>
      <c r="N31" s="39">
        <f t="shared" si="1"/>
        <v>43010753</v>
      </c>
      <c r="O31" s="38" t="s">
        <v>22</v>
      </c>
    </row>
    <row r="32" spans="1:15" ht="15" customHeight="1" x14ac:dyDescent="0.2">
      <c r="A32" s="24" t="s">
        <v>18</v>
      </c>
      <c r="B32" s="36" t="s">
        <v>1412</v>
      </c>
      <c r="C32" s="24">
        <f t="shared" si="0"/>
        <v>167</v>
      </c>
      <c r="D32" s="24">
        <v>1</v>
      </c>
      <c r="G32" s="37" t="s">
        <v>287</v>
      </c>
      <c r="H32" s="24" t="s">
        <v>3117</v>
      </c>
      <c r="I32" s="24">
        <v>333821</v>
      </c>
      <c r="J32" s="24">
        <v>131</v>
      </c>
      <c r="K32" s="24" t="s">
        <v>21</v>
      </c>
      <c r="L32" s="24">
        <v>1</v>
      </c>
      <c r="M32" s="39">
        <v>430108</v>
      </c>
      <c r="N32" s="39">
        <f t="shared" si="1"/>
        <v>430108</v>
      </c>
      <c r="O32" s="38" t="s">
        <v>22</v>
      </c>
    </row>
    <row r="33" spans="1:15" ht="15" customHeight="1" x14ac:dyDescent="0.2">
      <c r="A33" s="24" t="s">
        <v>18</v>
      </c>
      <c r="B33" s="36" t="s">
        <v>1413</v>
      </c>
      <c r="C33" s="24">
        <f t="shared" si="0"/>
        <v>168</v>
      </c>
      <c r="D33" s="24">
        <v>1</v>
      </c>
      <c r="G33" s="37" t="s">
        <v>2824</v>
      </c>
      <c r="H33" s="24" t="s">
        <v>3118</v>
      </c>
      <c r="I33" s="24">
        <v>131</v>
      </c>
      <c r="J33" s="24">
        <v>5113</v>
      </c>
      <c r="K33" s="24" t="s">
        <v>21</v>
      </c>
      <c r="L33" s="24">
        <v>1</v>
      </c>
      <c r="M33" s="39">
        <v>3225806</v>
      </c>
      <c r="N33" s="39">
        <f t="shared" si="1"/>
        <v>3225806</v>
      </c>
      <c r="O33" s="38" t="s">
        <v>22</v>
      </c>
    </row>
    <row r="34" spans="1:15" ht="15" customHeight="1" x14ac:dyDescent="0.2">
      <c r="A34" s="24" t="s">
        <v>18</v>
      </c>
      <c r="B34" s="36" t="s">
        <v>1413</v>
      </c>
      <c r="C34" s="24">
        <f t="shared" si="0"/>
        <v>169</v>
      </c>
      <c r="D34" s="24">
        <v>1</v>
      </c>
      <c r="G34" s="37" t="s">
        <v>2824</v>
      </c>
      <c r="H34" s="24" t="s">
        <v>3119</v>
      </c>
      <c r="I34" s="24">
        <v>333821</v>
      </c>
      <c r="J34" s="24">
        <v>131</v>
      </c>
      <c r="K34" s="24" t="s">
        <v>21</v>
      </c>
      <c r="L34" s="24">
        <v>1</v>
      </c>
      <c r="M34" s="39">
        <v>32258</v>
      </c>
      <c r="N34" s="39">
        <f t="shared" si="1"/>
        <v>32258</v>
      </c>
      <c r="O34" s="38" t="s">
        <v>22</v>
      </c>
    </row>
    <row r="35" spans="1:15" ht="15" customHeight="1" x14ac:dyDescent="0.2">
      <c r="A35" s="24" t="s">
        <v>18</v>
      </c>
      <c r="B35" s="36" t="s">
        <v>1413</v>
      </c>
      <c r="C35" s="24">
        <f t="shared" si="0"/>
        <v>170</v>
      </c>
      <c r="D35" s="24">
        <v>1</v>
      </c>
      <c r="G35" s="37" t="s">
        <v>2824</v>
      </c>
      <c r="H35" s="24" t="s">
        <v>3120</v>
      </c>
      <c r="I35" s="24">
        <v>131</v>
      </c>
      <c r="J35" s="24">
        <v>5113</v>
      </c>
      <c r="K35" s="24" t="s">
        <v>21</v>
      </c>
      <c r="L35" s="24">
        <v>1</v>
      </c>
      <c r="M35" s="39">
        <v>3225806</v>
      </c>
      <c r="N35" s="39">
        <f t="shared" si="1"/>
        <v>3225806</v>
      </c>
      <c r="O35" s="38" t="s">
        <v>22</v>
      </c>
    </row>
    <row r="36" spans="1:15" ht="15" customHeight="1" x14ac:dyDescent="0.2">
      <c r="A36" s="24" t="s">
        <v>18</v>
      </c>
      <c r="B36" s="36" t="s">
        <v>1413</v>
      </c>
      <c r="C36" s="24">
        <f t="shared" si="0"/>
        <v>171</v>
      </c>
      <c r="D36" s="24">
        <v>1</v>
      </c>
      <c r="G36" s="37" t="s">
        <v>2824</v>
      </c>
      <c r="H36" s="24" t="s">
        <v>3121</v>
      </c>
      <c r="I36" s="24">
        <v>333821</v>
      </c>
      <c r="J36" s="24">
        <v>131</v>
      </c>
      <c r="K36" s="24" t="s">
        <v>21</v>
      </c>
      <c r="L36" s="24">
        <v>1</v>
      </c>
      <c r="M36" s="39">
        <v>32258</v>
      </c>
      <c r="N36" s="39">
        <f t="shared" si="1"/>
        <v>32258</v>
      </c>
      <c r="O36" s="38" t="s">
        <v>22</v>
      </c>
    </row>
    <row r="37" spans="1:15" ht="15" customHeight="1" x14ac:dyDescent="0.2">
      <c r="A37" s="24" t="s">
        <v>18</v>
      </c>
      <c r="B37" s="36" t="s">
        <v>1413</v>
      </c>
      <c r="C37" s="24">
        <f t="shared" si="0"/>
        <v>172</v>
      </c>
      <c r="D37" s="24">
        <v>1</v>
      </c>
      <c r="G37" s="37" t="s">
        <v>2824</v>
      </c>
      <c r="H37" s="24" t="s">
        <v>3122</v>
      </c>
      <c r="I37" s="24">
        <v>131</v>
      </c>
      <c r="J37" s="24">
        <v>5113</v>
      </c>
      <c r="K37" s="24" t="s">
        <v>21</v>
      </c>
      <c r="L37" s="24">
        <v>1</v>
      </c>
      <c r="M37" s="39">
        <v>6451613</v>
      </c>
      <c r="N37" s="39">
        <f t="shared" si="1"/>
        <v>6451613</v>
      </c>
      <c r="O37" s="38" t="s">
        <v>22</v>
      </c>
    </row>
    <row r="38" spans="1:15" ht="15" customHeight="1" x14ac:dyDescent="0.2">
      <c r="A38" s="24" t="s">
        <v>18</v>
      </c>
      <c r="B38" s="36" t="s">
        <v>1413</v>
      </c>
      <c r="C38" s="24">
        <f t="shared" si="0"/>
        <v>173</v>
      </c>
      <c r="D38" s="24">
        <v>1</v>
      </c>
      <c r="G38" s="37" t="s">
        <v>2824</v>
      </c>
      <c r="H38" s="24" t="s">
        <v>3123</v>
      </c>
      <c r="I38" s="24">
        <v>333821</v>
      </c>
      <c r="J38" s="24">
        <v>131</v>
      </c>
      <c r="K38" s="24" t="s">
        <v>21</v>
      </c>
      <c r="L38" s="24">
        <v>1</v>
      </c>
      <c r="M38" s="39">
        <v>64516</v>
      </c>
      <c r="N38" s="39">
        <f t="shared" si="1"/>
        <v>64516</v>
      </c>
      <c r="O38" s="38" t="s">
        <v>22</v>
      </c>
    </row>
    <row r="39" spans="1:15" ht="15" customHeight="1" x14ac:dyDescent="0.2">
      <c r="A39" s="24" t="s">
        <v>18</v>
      </c>
      <c r="B39" s="36" t="s">
        <v>2124</v>
      </c>
      <c r="C39" s="24">
        <f t="shared" si="0"/>
        <v>174</v>
      </c>
      <c r="D39" s="24">
        <v>1</v>
      </c>
      <c r="G39" s="37" t="s">
        <v>96</v>
      </c>
      <c r="H39" s="24" t="s">
        <v>3124</v>
      </c>
      <c r="I39" s="24">
        <v>131</v>
      </c>
      <c r="J39" s="24">
        <v>5113</v>
      </c>
      <c r="K39" s="24" t="s">
        <v>21</v>
      </c>
      <c r="L39" s="24">
        <v>1</v>
      </c>
      <c r="M39" s="39">
        <v>75268817</v>
      </c>
      <c r="N39" s="39">
        <f t="shared" si="1"/>
        <v>75268817</v>
      </c>
      <c r="O39" s="38" t="s">
        <v>22</v>
      </c>
    </row>
    <row r="40" spans="1:15" ht="15" customHeight="1" x14ac:dyDescent="0.2">
      <c r="A40" s="24" t="s">
        <v>18</v>
      </c>
      <c r="B40" s="36" t="s">
        <v>2124</v>
      </c>
      <c r="C40" s="24">
        <f t="shared" si="0"/>
        <v>175</v>
      </c>
      <c r="D40" s="24">
        <v>1</v>
      </c>
      <c r="G40" s="37" t="s">
        <v>96</v>
      </c>
      <c r="H40" s="24" t="s">
        <v>3125</v>
      </c>
      <c r="I40" s="24">
        <v>333821</v>
      </c>
      <c r="J40" s="24">
        <v>131</v>
      </c>
      <c r="K40" s="24" t="s">
        <v>21</v>
      </c>
      <c r="L40" s="24">
        <v>1</v>
      </c>
      <c r="M40" s="39">
        <v>752688</v>
      </c>
      <c r="N40" s="39">
        <f t="shared" si="1"/>
        <v>752688</v>
      </c>
      <c r="O40" s="38" t="s">
        <v>22</v>
      </c>
    </row>
    <row r="41" spans="1:15" ht="15" customHeight="1" x14ac:dyDescent="0.2">
      <c r="A41" s="24" t="s">
        <v>18</v>
      </c>
      <c r="B41" s="36" t="s">
        <v>1415</v>
      </c>
      <c r="C41" s="24">
        <f t="shared" si="0"/>
        <v>176</v>
      </c>
      <c r="D41" s="24">
        <v>1</v>
      </c>
      <c r="G41" s="37" t="s">
        <v>2004</v>
      </c>
      <c r="H41" s="24" t="s">
        <v>3126</v>
      </c>
      <c r="I41" s="24">
        <v>131</v>
      </c>
      <c r="J41" s="24">
        <v>5113</v>
      </c>
      <c r="K41" s="24" t="s">
        <v>21</v>
      </c>
      <c r="L41" s="24">
        <v>1</v>
      </c>
      <c r="M41" s="39">
        <v>96774194</v>
      </c>
      <c r="N41" s="39">
        <f t="shared" si="1"/>
        <v>96774194</v>
      </c>
      <c r="O41" s="38" t="s">
        <v>22</v>
      </c>
    </row>
    <row r="42" spans="1:15" ht="15" customHeight="1" x14ac:dyDescent="0.2">
      <c r="A42" s="24" t="s">
        <v>18</v>
      </c>
      <c r="B42" s="36" t="s">
        <v>2076</v>
      </c>
      <c r="C42" s="24">
        <f t="shared" si="0"/>
        <v>177</v>
      </c>
      <c r="D42" s="24">
        <v>1</v>
      </c>
      <c r="G42" s="37" t="s">
        <v>627</v>
      </c>
      <c r="H42" s="24" t="s">
        <v>3127</v>
      </c>
      <c r="I42" s="24">
        <v>131</v>
      </c>
      <c r="J42" s="24">
        <v>5113</v>
      </c>
      <c r="K42" s="24" t="s">
        <v>21</v>
      </c>
      <c r="L42" s="24">
        <v>1</v>
      </c>
      <c r="M42" s="39">
        <v>21505377</v>
      </c>
      <c r="N42" s="39">
        <f t="shared" si="1"/>
        <v>21505377</v>
      </c>
      <c r="O42" s="38" t="s">
        <v>22</v>
      </c>
    </row>
    <row r="43" spans="1:15" ht="15" customHeight="1" x14ac:dyDescent="0.2">
      <c r="A43" s="24" t="s">
        <v>18</v>
      </c>
      <c r="B43" s="36" t="s">
        <v>2076</v>
      </c>
      <c r="C43" s="24">
        <f t="shared" si="0"/>
        <v>178</v>
      </c>
      <c r="D43" s="24">
        <v>1</v>
      </c>
      <c r="G43" s="37" t="s">
        <v>627</v>
      </c>
      <c r="H43" s="24" t="s">
        <v>3128</v>
      </c>
      <c r="I43" s="24">
        <v>333821</v>
      </c>
      <c r="J43" s="24">
        <v>131</v>
      </c>
      <c r="K43" s="24" t="s">
        <v>21</v>
      </c>
      <c r="L43" s="24">
        <v>1</v>
      </c>
      <c r="M43" s="39">
        <v>215054</v>
      </c>
      <c r="N43" s="39">
        <f t="shared" si="1"/>
        <v>215054</v>
      </c>
      <c r="O43" s="38" t="s">
        <v>22</v>
      </c>
    </row>
    <row r="44" spans="1:15" ht="15" customHeight="1" x14ac:dyDescent="0.2">
      <c r="A44" s="24" t="s">
        <v>18</v>
      </c>
      <c r="B44" s="36" t="s">
        <v>2482</v>
      </c>
      <c r="C44" s="24">
        <f t="shared" si="0"/>
        <v>179</v>
      </c>
      <c r="D44" s="24">
        <v>1</v>
      </c>
      <c r="G44" s="37" t="s">
        <v>627</v>
      </c>
      <c r="H44" s="24" t="s">
        <v>3129</v>
      </c>
      <c r="I44" s="24">
        <v>131</v>
      </c>
      <c r="J44" s="24">
        <v>5113</v>
      </c>
      <c r="K44" s="24" t="s">
        <v>21</v>
      </c>
      <c r="L44" s="24">
        <v>1</v>
      </c>
      <c r="M44" s="39">
        <v>86021505</v>
      </c>
      <c r="N44" s="39">
        <f t="shared" si="1"/>
        <v>86021505</v>
      </c>
      <c r="O44" s="38" t="s">
        <v>22</v>
      </c>
    </row>
    <row r="45" spans="1:15" ht="15" customHeight="1" x14ac:dyDescent="0.2">
      <c r="A45" s="24" t="s">
        <v>18</v>
      </c>
      <c r="B45" s="36" t="s">
        <v>2482</v>
      </c>
      <c r="C45" s="24">
        <f t="shared" si="0"/>
        <v>180</v>
      </c>
      <c r="D45" s="24">
        <v>1</v>
      </c>
      <c r="G45" s="37" t="s">
        <v>627</v>
      </c>
      <c r="H45" s="24" t="s">
        <v>3130</v>
      </c>
      <c r="I45" s="24">
        <v>333821</v>
      </c>
      <c r="J45" s="24">
        <v>131</v>
      </c>
      <c r="K45" s="24" t="s">
        <v>21</v>
      </c>
      <c r="L45" s="24">
        <v>1</v>
      </c>
      <c r="M45" s="39">
        <v>860215</v>
      </c>
      <c r="N45" s="39">
        <f t="shared" si="1"/>
        <v>860215</v>
      </c>
      <c r="O45" s="38" t="s">
        <v>22</v>
      </c>
    </row>
    <row r="46" spans="1:15" ht="15" customHeight="1" x14ac:dyDescent="0.2">
      <c r="A46" s="24" t="s">
        <v>18</v>
      </c>
      <c r="B46" s="36" t="s">
        <v>2048</v>
      </c>
      <c r="C46" s="24">
        <f t="shared" si="0"/>
        <v>181</v>
      </c>
      <c r="D46" s="24">
        <v>1</v>
      </c>
      <c r="G46" s="37" t="s">
        <v>287</v>
      </c>
      <c r="H46" s="24" t="s">
        <v>3131</v>
      </c>
      <c r="I46" s="24">
        <v>131</v>
      </c>
      <c r="J46" s="24">
        <v>5113</v>
      </c>
      <c r="K46" s="24" t="s">
        <v>21</v>
      </c>
      <c r="L46" s="24">
        <v>1</v>
      </c>
      <c r="M46" s="39">
        <v>43010753</v>
      </c>
      <c r="N46" s="39">
        <f t="shared" si="1"/>
        <v>43010753</v>
      </c>
      <c r="O46" s="38" t="s">
        <v>22</v>
      </c>
    </row>
    <row r="47" spans="1:15" ht="15" customHeight="1" x14ac:dyDescent="0.2">
      <c r="A47" s="24" t="s">
        <v>18</v>
      </c>
      <c r="B47" s="36" t="s">
        <v>2048</v>
      </c>
      <c r="C47" s="24">
        <f t="shared" si="0"/>
        <v>182</v>
      </c>
      <c r="D47" s="24">
        <v>1</v>
      </c>
      <c r="G47" s="37" t="s">
        <v>287</v>
      </c>
      <c r="H47" s="24" t="s">
        <v>3132</v>
      </c>
      <c r="I47" s="24">
        <v>333821</v>
      </c>
      <c r="J47" s="24">
        <v>131</v>
      </c>
      <c r="K47" s="24" t="s">
        <v>21</v>
      </c>
      <c r="L47" s="24">
        <v>1</v>
      </c>
      <c r="M47" s="39">
        <v>430108</v>
      </c>
      <c r="N47" s="39">
        <f t="shared" si="1"/>
        <v>430108</v>
      </c>
      <c r="O47" s="38" t="s">
        <v>22</v>
      </c>
    </row>
    <row r="48" spans="1:15" ht="15" customHeight="1" x14ac:dyDescent="0.2">
      <c r="A48" s="24" t="s">
        <v>18</v>
      </c>
      <c r="B48" s="36" t="s">
        <v>1419</v>
      </c>
      <c r="C48" s="24">
        <f t="shared" si="0"/>
        <v>183</v>
      </c>
      <c r="D48" s="24">
        <v>1</v>
      </c>
      <c r="G48" s="37" t="s">
        <v>3087</v>
      </c>
      <c r="H48" s="24" t="s">
        <v>3133</v>
      </c>
      <c r="I48" s="24">
        <v>131</v>
      </c>
      <c r="J48" s="24">
        <v>5113</v>
      </c>
      <c r="K48" s="24" t="s">
        <v>21</v>
      </c>
      <c r="L48" s="24">
        <v>1</v>
      </c>
      <c r="M48" s="39">
        <v>59139785</v>
      </c>
      <c r="N48" s="39">
        <f t="shared" si="1"/>
        <v>59139785</v>
      </c>
      <c r="O48" s="38" t="s">
        <v>22</v>
      </c>
    </row>
    <row r="49" spans="1:15" ht="15" customHeight="1" x14ac:dyDescent="0.2">
      <c r="A49" s="24" t="s">
        <v>18</v>
      </c>
      <c r="B49" s="36" t="s">
        <v>1419</v>
      </c>
      <c r="C49" s="24">
        <f t="shared" si="0"/>
        <v>184</v>
      </c>
      <c r="D49" s="24">
        <v>1</v>
      </c>
      <c r="G49" s="37" t="s">
        <v>3087</v>
      </c>
      <c r="H49" s="24" t="s">
        <v>3134</v>
      </c>
      <c r="I49" s="24">
        <v>333821</v>
      </c>
      <c r="J49" s="24">
        <v>131</v>
      </c>
      <c r="K49" s="24" t="s">
        <v>21</v>
      </c>
      <c r="L49" s="24">
        <v>1</v>
      </c>
      <c r="M49" s="39">
        <v>591398</v>
      </c>
      <c r="N49" s="39">
        <f t="shared" si="1"/>
        <v>591398</v>
      </c>
      <c r="O49" s="38" t="s">
        <v>22</v>
      </c>
    </row>
    <row r="50" spans="1:15" ht="15" customHeight="1" x14ac:dyDescent="0.2">
      <c r="A50" s="24" t="s">
        <v>18</v>
      </c>
      <c r="B50" s="36" t="s">
        <v>1421</v>
      </c>
      <c r="C50" s="24">
        <f t="shared" si="0"/>
        <v>185</v>
      </c>
      <c r="D50" s="24">
        <v>1</v>
      </c>
      <c r="G50" s="37" t="s">
        <v>2824</v>
      </c>
      <c r="H50" s="24" t="s">
        <v>3135</v>
      </c>
      <c r="I50" s="24">
        <v>131</v>
      </c>
      <c r="J50" s="24">
        <v>5113</v>
      </c>
      <c r="K50" s="24" t="s">
        <v>21</v>
      </c>
      <c r="L50" s="24">
        <v>1</v>
      </c>
      <c r="M50" s="39">
        <v>6451613</v>
      </c>
      <c r="N50" s="39">
        <f t="shared" si="1"/>
        <v>6451613</v>
      </c>
      <c r="O50" s="38" t="s">
        <v>22</v>
      </c>
    </row>
    <row r="51" spans="1:15" ht="15" customHeight="1" x14ac:dyDescent="0.2">
      <c r="A51" s="24" t="s">
        <v>18</v>
      </c>
      <c r="B51" s="36" t="s">
        <v>1421</v>
      </c>
      <c r="C51" s="24">
        <f t="shared" si="0"/>
        <v>186</v>
      </c>
      <c r="D51" s="24">
        <v>1</v>
      </c>
      <c r="G51" s="37" t="s">
        <v>2824</v>
      </c>
      <c r="H51" s="24" t="s">
        <v>3136</v>
      </c>
      <c r="I51" s="24">
        <v>333821</v>
      </c>
      <c r="J51" s="24">
        <v>131</v>
      </c>
      <c r="K51" s="24" t="s">
        <v>21</v>
      </c>
      <c r="L51" s="24">
        <v>1</v>
      </c>
      <c r="M51" s="39">
        <v>64516</v>
      </c>
      <c r="N51" s="39">
        <f t="shared" si="1"/>
        <v>64516</v>
      </c>
      <c r="O51" s="38" t="s">
        <v>22</v>
      </c>
    </row>
    <row r="52" spans="1:15" ht="15" customHeight="1" x14ac:dyDescent="0.2">
      <c r="A52" s="24" t="s">
        <v>18</v>
      </c>
      <c r="B52" s="36" t="s">
        <v>1481</v>
      </c>
      <c r="C52" s="24">
        <f t="shared" si="0"/>
        <v>187</v>
      </c>
      <c r="D52" s="24">
        <v>1</v>
      </c>
      <c r="G52" s="37" t="s">
        <v>3088</v>
      </c>
      <c r="H52" s="24" t="s">
        <v>3137</v>
      </c>
      <c r="I52" s="24">
        <v>131</v>
      </c>
      <c r="J52" s="24">
        <v>5113</v>
      </c>
      <c r="K52" s="24" t="s">
        <v>21</v>
      </c>
      <c r="L52" s="24">
        <v>1</v>
      </c>
      <c r="M52" s="39">
        <v>45698925</v>
      </c>
      <c r="N52" s="39">
        <f t="shared" si="1"/>
        <v>45698925</v>
      </c>
      <c r="O52" s="38" t="s">
        <v>22</v>
      </c>
    </row>
    <row r="53" spans="1:15" ht="15" customHeight="1" x14ac:dyDescent="0.2">
      <c r="A53" s="24" t="s">
        <v>18</v>
      </c>
      <c r="B53" s="36" t="s">
        <v>1481</v>
      </c>
      <c r="C53" s="24">
        <f t="shared" si="0"/>
        <v>188</v>
      </c>
      <c r="D53" s="24">
        <v>1</v>
      </c>
      <c r="G53" s="37" t="s">
        <v>3088</v>
      </c>
      <c r="H53" s="24" t="s">
        <v>3138</v>
      </c>
      <c r="I53" s="24">
        <v>333821</v>
      </c>
      <c r="J53" s="24">
        <v>131</v>
      </c>
      <c r="K53" s="24" t="s">
        <v>21</v>
      </c>
      <c r="L53" s="24">
        <v>1</v>
      </c>
      <c r="M53" s="39">
        <v>456989</v>
      </c>
      <c r="N53" s="39">
        <f t="shared" si="1"/>
        <v>456989</v>
      </c>
      <c r="O53" s="38" t="s">
        <v>22</v>
      </c>
    </row>
    <row r="54" spans="1:15" ht="15" customHeight="1" x14ac:dyDescent="0.2">
      <c r="A54" s="24" t="s">
        <v>18</v>
      </c>
      <c r="B54" s="36" t="s">
        <v>1536</v>
      </c>
      <c r="C54" s="24">
        <f t="shared" si="0"/>
        <v>189</v>
      </c>
      <c r="D54" s="24">
        <v>1</v>
      </c>
      <c r="G54" s="37" t="s">
        <v>239</v>
      </c>
      <c r="H54" s="24" t="s">
        <v>3139</v>
      </c>
      <c r="I54" s="24">
        <v>131</v>
      </c>
      <c r="J54" s="24">
        <v>5113</v>
      </c>
      <c r="K54" s="24" t="s">
        <v>21</v>
      </c>
      <c r="L54" s="24">
        <v>1</v>
      </c>
      <c r="M54" s="39">
        <v>56989247</v>
      </c>
      <c r="N54" s="39">
        <f t="shared" si="1"/>
        <v>56989247</v>
      </c>
      <c r="O54" s="38" t="s">
        <v>22</v>
      </c>
    </row>
    <row r="55" spans="1:15" ht="15" customHeight="1" x14ac:dyDescent="0.2">
      <c r="A55" s="24" t="s">
        <v>18</v>
      </c>
      <c r="B55" s="36" t="s">
        <v>1536</v>
      </c>
      <c r="C55" s="24">
        <f t="shared" si="0"/>
        <v>190</v>
      </c>
      <c r="D55" s="24">
        <v>1</v>
      </c>
      <c r="G55" s="37" t="s">
        <v>239</v>
      </c>
      <c r="H55" s="24" t="s">
        <v>3140</v>
      </c>
      <c r="I55" s="24">
        <v>333821</v>
      </c>
      <c r="J55" s="24">
        <v>131</v>
      </c>
      <c r="K55" s="24" t="s">
        <v>21</v>
      </c>
      <c r="L55" s="24">
        <v>1</v>
      </c>
      <c r="M55" s="39">
        <v>569892</v>
      </c>
      <c r="N55" s="39">
        <f t="shared" si="1"/>
        <v>569892</v>
      </c>
      <c r="O55" s="38" t="s">
        <v>22</v>
      </c>
    </row>
    <row r="56" spans="1:15" ht="15" customHeight="1" x14ac:dyDescent="0.2">
      <c r="A56" s="24" t="s">
        <v>18</v>
      </c>
      <c r="B56" s="36" t="s">
        <v>2445</v>
      </c>
      <c r="C56" s="24">
        <f t="shared" si="0"/>
        <v>191</v>
      </c>
      <c r="D56" s="24">
        <v>1</v>
      </c>
      <c r="G56" s="37" t="s">
        <v>96</v>
      </c>
      <c r="H56" s="24" t="s">
        <v>3141</v>
      </c>
      <c r="I56" s="24">
        <v>131</v>
      </c>
      <c r="J56" s="24">
        <v>5113</v>
      </c>
      <c r="K56" s="24" t="s">
        <v>21</v>
      </c>
      <c r="L56" s="24">
        <v>1</v>
      </c>
      <c r="M56" s="39">
        <v>53763441</v>
      </c>
      <c r="N56" s="39">
        <f t="shared" ref="N56:N120" si="2">L56*M56</f>
        <v>53763441</v>
      </c>
      <c r="O56" s="38" t="s">
        <v>22</v>
      </c>
    </row>
    <row r="57" spans="1:15" ht="15" customHeight="1" x14ac:dyDescent="0.2">
      <c r="A57" s="24" t="s">
        <v>18</v>
      </c>
      <c r="B57" s="36" t="s">
        <v>2477</v>
      </c>
      <c r="C57" s="24">
        <f t="shared" si="0"/>
        <v>192</v>
      </c>
      <c r="D57" s="24">
        <v>1</v>
      </c>
      <c r="G57" s="37" t="s">
        <v>1610</v>
      </c>
      <c r="H57" s="24" t="s">
        <v>3482</v>
      </c>
      <c r="I57" s="24">
        <v>64277</v>
      </c>
      <c r="J57" s="24">
        <v>331</v>
      </c>
      <c r="K57" s="24" t="s">
        <v>21</v>
      </c>
      <c r="L57" s="24">
        <v>1</v>
      </c>
      <c r="M57" s="39">
        <v>2422640</v>
      </c>
      <c r="N57" s="39">
        <f t="shared" si="2"/>
        <v>2422640</v>
      </c>
      <c r="O57" s="38" t="s">
        <v>22</v>
      </c>
    </row>
    <row r="58" spans="1:15" ht="15" customHeight="1" x14ac:dyDescent="0.2">
      <c r="A58" s="24" t="s">
        <v>18</v>
      </c>
      <c r="B58" s="36" t="s">
        <v>2355</v>
      </c>
      <c r="C58" s="24">
        <f t="shared" si="0"/>
        <v>193</v>
      </c>
      <c r="D58" s="24">
        <v>1</v>
      </c>
      <c r="G58" s="37" t="s">
        <v>158</v>
      </c>
      <c r="H58" s="24" t="s">
        <v>3158</v>
      </c>
      <c r="I58" s="24">
        <v>64277</v>
      </c>
      <c r="J58" s="24">
        <v>331</v>
      </c>
      <c r="K58" s="24" t="s">
        <v>21</v>
      </c>
      <c r="L58" s="24">
        <v>1</v>
      </c>
      <c r="M58" s="39">
        <v>3240000</v>
      </c>
      <c r="N58" s="39">
        <f t="shared" si="2"/>
        <v>3240000</v>
      </c>
      <c r="O58" s="38" t="s">
        <v>22</v>
      </c>
    </row>
    <row r="59" spans="1:15" ht="15" customHeight="1" x14ac:dyDescent="0.2">
      <c r="A59" s="24" t="s">
        <v>18</v>
      </c>
      <c r="B59" s="36" t="s">
        <v>2045</v>
      </c>
      <c r="C59" s="24">
        <f t="shared" si="0"/>
        <v>194</v>
      </c>
      <c r="D59" s="24">
        <v>1</v>
      </c>
      <c r="G59" s="37" t="s">
        <v>158</v>
      </c>
      <c r="H59" s="24" t="s">
        <v>3159</v>
      </c>
      <c r="I59" s="24">
        <v>64277</v>
      </c>
      <c r="J59" s="24">
        <v>331</v>
      </c>
      <c r="K59" s="24" t="s">
        <v>21</v>
      </c>
      <c r="L59" s="24">
        <v>1</v>
      </c>
      <c r="M59" s="39">
        <v>3240000</v>
      </c>
      <c r="N59" s="39">
        <f t="shared" si="2"/>
        <v>3240000</v>
      </c>
      <c r="O59" s="38" t="s">
        <v>22</v>
      </c>
    </row>
    <row r="60" spans="1:15" ht="15" customHeight="1" x14ac:dyDescent="0.2">
      <c r="A60" s="24" t="s">
        <v>18</v>
      </c>
      <c r="B60" s="36" t="s">
        <v>2477</v>
      </c>
      <c r="C60" s="24">
        <f t="shared" si="0"/>
        <v>195</v>
      </c>
      <c r="D60" s="24">
        <v>1</v>
      </c>
      <c r="G60" s="37" t="s">
        <v>1569</v>
      </c>
      <c r="H60" s="24" t="s">
        <v>3339</v>
      </c>
      <c r="I60" s="24">
        <v>64277</v>
      </c>
      <c r="J60" s="24">
        <v>331</v>
      </c>
      <c r="K60" s="24" t="s">
        <v>21</v>
      </c>
      <c r="L60" s="24">
        <v>1</v>
      </c>
      <c r="M60" s="39">
        <v>24000</v>
      </c>
      <c r="N60" s="39">
        <f t="shared" si="2"/>
        <v>24000</v>
      </c>
      <c r="O60" s="38" t="s">
        <v>22</v>
      </c>
    </row>
    <row r="61" spans="1:15" ht="15" customHeight="1" x14ac:dyDescent="0.2">
      <c r="A61" s="24" t="s">
        <v>18</v>
      </c>
      <c r="B61" s="36" t="s">
        <v>2477</v>
      </c>
      <c r="C61" s="24">
        <f t="shared" si="0"/>
        <v>196</v>
      </c>
      <c r="D61" s="24">
        <v>1</v>
      </c>
      <c r="G61" s="37" t="s">
        <v>1569</v>
      </c>
      <c r="H61" s="24" t="s">
        <v>3340</v>
      </c>
      <c r="I61" s="24">
        <v>64277</v>
      </c>
      <c r="J61" s="24">
        <v>331</v>
      </c>
      <c r="K61" s="24" t="s">
        <v>21</v>
      </c>
      <c r="L61" s="24">
        <v>1</v>
      </c>
      <c r="M61" s="39">
        <v>81000</v>
      </c>
      <c r="N61" s="39">
        <f t="shared" si="2"/>
        <v>81000</v>
      </c>
      <c r="O61" s="38" t="s">
        <v>22</v>
      </c>
    </row>
    <row r="62" spans="1:15" ht="15" customHeight="1" x14ac:dyDescent="0.2">
      <c r="A62" s="24" t="s">
        <v>18</v>
      </c>
      <c r="B62" s="36" t="s">
        <v>2354</v>
      </c>
      <c r="C62" s="24">
        <f t="shared" si="0"/>
        <v>197</v>
      </c>
      <c r="D62" s="24">
        <v>1</v>
      </c>
      <c r="G62" s="37" t="s">
        <v>1569</v>
      </c>
      <c r="H62" s="24" t="s">
        <v>3341</v>
      </c>
      <c r="I62" s="24">
        <v>64277</v>
      </c>
      <c r="J62" s="24">
        <v>331</v>
      </c>
      <c r="K62" s="24" t="s">
        <v>21</v>
      </c>
      <c r="L62" s="24">
        <v>1</v>
      </c>
      <c r="M62" s="39">
        <v>55000</v>
      </c>
      <c r="N62" s="39">
        <f t="shared" si="2"/>
        <v>55000</v>
      </c>
      <c r="O62" s="38" t="s">
        <v>22</v>
      </c>
    </row>
    <row r="63" spans="1:15" ht="15" customHeight="1" x14ac:dyDescent="0.2">
      <c r="A63" s="24" t="s">
        <v>18</v>
      </c>
      <c r="B63" s="36" t="s">
        <v>2354</v>
      </c>
      <c r="C63" s="24">
        <f t="shared" si="0"/>
        <v>198</v>
      </c>
      <c r="D63" s="24">
        <v>1</v>
      </c>
      <c r="G63" s="37" t="s">
        <v>1569</v>
      </c>
      <c r="H63" s="24" t="s">
        <v>3342</v>
      </c>
      <c r="I63" s="24">
        <v>64277</v>
      </c>
      <c r="J63" s="24">
        <v>331</v>
      </c>
      <c r="K63" s="24" t="s">
        <v>21</v>
      </c>
      <c r="L63" s="24">
        <v>1</v>
      </c>
      <c r="M63" s="39">
        <v>55000</v>
      </c>
      <c r="N63" s="39">
        <f t="shared" si="2"/>
        <v>55000</v>
      </c>
      <c r="O63" s="38" t="s">
        <v>22</v>
      </c>
    </row>
    <row r="64" spans="1:15" ht="15" customHeight="1" x14ac:dyDescent="0.2">
      <c r="A64" s="24" t="s">
        <v>18</v>
      </c>
      <c r="B64" s="36" t="s">
        <v>2441</v>
      </c>
      <c r="C64" s="24">
        <f t="shared" si="0"/>
        <v>199</v>
      </c>
      <c r="D64" s="24">
        <v>1</v>
      </c>
      <c r="G64" s="37" t="s">
        <v>1569</v>
      </c>
      <c r="H64" s="24" t="s">
        <v>3343</v>
      </c>
      <c r="I64" s="24">
        <v>64277</v>
      </c>
      <c r="J64" s="24">
        <v>331</v>
      </c>
      <c r="K64" s="24" t="s">
        <v>21</v>
      </c>
      <c r="L64" s="24">
        <v>1</v>
      </c>
      <c r="M64" s="39">
        <v>12000</v>
      </c>
      <c r="N64" s="39">
        <f t="shared" si="2"/>
        <v>12000</v>
      </c>
      <c r="O64" s="38" t="s">
        <v>22</v>
      </c>
    </row>
    <row r="65" spans="1:15" ht="15" customHeight="1" x14ac:dyDescent="0.2">
      <c r="A65" s="24" t="s">
        <v>18</v>
      </c>
      <c r="B65" s="36" t="s">
        <v>2441</v>
      </c>
      <c r="C65" s="24">
        <f t="shared" si="0"/>
        <v>200</v>
      </c>
      <c r="D65" s="24">
        <v>1</v>
      </c>
      <c r="G65" s="37" t="s">
        <v>1569</v>
      </c>
      <c r="H65" s="24" t="s">
        <v>3344</v>
      </c>
      <c r="I65" s="24">
        <v>64277</v>
      </c>
      <c r="J65" s="24">
        <v>331</v>
      </c>
      <c r="K65" s="24" t="s">
        <v>21</v>
      </c>
      <c r="L65" s="24">
        <v>1</v>
      </c>
      <c r="M65" s="39">
        <v>12000</v>
      </c>
      <c r="N65" s="39">
        <f t="shared" si="2"/>
        <v>12000</v>
      </c>
      <c r="O65" s="38" t="s">
        <v>22</v>
      </c>
    </row>
    <row r="66" spans="1:15" ht="15" customHeight="1" x14ac:dyDescent="0.2">
      <c r="A66" s="24" t="s">
        <v>18</v>
      </c>
      <c r="B66" s="83" t="s">
        <v>2441</v>
      </c>
      <c r="C66" s="24">
        <f t="shared" si="0"/>
        <v>201</v>
      </c>
      <c r="D66" s="24">
        <v>1</v>
      </c>
      <c r="G66" s="37" t="s">
        <v>1569</v>
      </c>
      <c r="H66" s="24" t="s">
        <v>3345</v>
      </c>
      <c r="I66" s="24">
        <v>64277</v>
      </c>
      <c r="J66" s="24">
        <v>331</v>
      </c>
      <c r="K66" s="24" t="s">
        <v>21</v>
      </c>
      <c r="L66" s="24">
        <v>1</v>
      </c>
      <c r="M66" s="39">
        <v>12000</v>
      </c>
      <c r="N66" s="39">
        <f t="shared" si="2"/>
        <v>12000</v>
      </c>
      <c r="O66" s="38" t="s">
        <v>22</v>
      </c>
    </row>
    <row r="67" spans="1:15" ht="15" customHeight="1" x14ac:dyDescent="0.2">
      <c r="A67" s="24" t="s">
        <v>18</v>
      </c>
      <c r="B67" s="83" t="s">
        <v>2441</v>
      </c>
      <c r="C67" s="24">
        <f t="shared" si="0"/>
        <v>202</v>
      </c>
      <c r="D67" s="24">
        <v>1</v>
      </c>
      <c r="G67" s="37" t="s">
        <v>1569</v>
      </c>
      <c r="H67" s="24" t="s">
        <v>3346</v>
      </c>
      <c r="I67" s="24">
        <v>64277</v>
      </c>
      <c r="J67" s="24">
        <v>331</v>
      </c>
      <c r="K67" s="24" t="s">
        <v>21</v>
      </c>
      <c r="L67" s="24">
        <v>1</v>
      </c>
      <c r="M67" s="39">
        <v>32000</v>
      </c>
      <c r="N67" s="39">
        <f t="shared" si="2"/>
        <v>32000</v>
      </c>
      <c r="O67" s="38" t="s">
        <v>22</v>
      </c>
    </row>
    <row r="68" spans="1:15" ht="15" customHeight="1" x14ac:dyDescent="0.2">
      <c r="A68" s="24" t="s">
        <v>18</v>
      </c>
      <c r="B68" s="36" t="s">
        <v>2442</v>
      </c>
      <c r="C68" s="24">
        <f t="shared" si="0"/>
        <v>203</v>
      </c>
      <c r="D68" s="24">
        <v>1</v>
      </c>
      <c r="G68" s="37" t="s">
        <v>3146</v>
      </c>
      <c r="H68" s="24" t="s">
        <v>3483</v>
      </c>
      <c r="I68" s="24">
        <v>6425</v>
      </c>
      <c r="J68" s="24">
        <v>331</v>
      </c>
      <c r="K68" s="24" t="s">
        <v>21</v>
      </c>
      <c r="L68" s="24">
        <v>1</v>
      </c>
      <c r="M68" s="39">
        <v>11000</v>
      </c>
      <c r="N68" s="39">
        <f t="shared" si="2"/>
        <v>11000</v>
      </c>
      <c r="O68" s="38" t="s">
        <v>22</v>
      </c>
    </row>
    <row r="69" spans="1:15" ht="15" customHeight="1" x14ac:dyDescent="0.2">
      <c r="A69" s="24" t="s">
        <v>18</v>
      </c>
      <c r="B69" s="36" t="s">
        <v>2442</v>
      </c>
      <c r="C69" s="24">
        <f t="shared" ref="C69:C132" si="3">C68+D69</f>
        <v>204</v>
      </c>
      <c r="D69" s="24">
        <v>1</v>
      </c>
      <c r="G69" s="37" t="s">
        <v>1569</v>
      </c>
      <c r="H69" s="24" t="s">
        <v>3347</v>
      </c>
      <c r="I69" s="24">
        <v>64277</v>
      </c>
      <c r="J69" s="24">
        <v>331</v>
      </c>
      <c r="K69" s="24" t="s">
        <v>21</v>
      </c>
      <c r="L69" s="24">
        <v>1</v>
      </c>
      <c r="M69" s="39">
        <v>122000</v>
      </c>
      <c r="N69" s="39">
        <f t="shared" si="2"/>
        <v>122000</v>
      </c>
      <c r="O69" s="38" t="s">
        <v>22</v>
      </c>
    </row>
    <row r="70" spans="1:15" ht="15" customHeight="1" x14ac:dyDescent="0.2">
      <c r="A70" s="24" t="s">
        <v>18</v>
      </c>
      <c r="B70" s="36" t="s">
        <v>3142</v>
      </c>
      <c r="C70" s="24">
        <f t="shared" si="3"/>
        <v>205</v>
      </c>
      <c r="D70" s="24">
        <v>1</v>
      </c>
      <c r="G70" s="37" t="s">
        <v>1569</v>
      </c>
      <c r="H70" s="24" t="s">
        <v>3348</v>
      </c>
      <c r="I70" s="24">
        <v>64277</v>
      </c>
      <c r="J70" s="24">
        <v>331</v>
      </c>
      <c r="K70" s="24" t="s">
        <v>21</v>
      </c>
      <c r="L70" s="24">
        <v>1</v>
      </c>
      <c r="M70" s="39">
        <v>12000</v>
      </c>
      <c r="N70" s="39">
        <f t="shared" si="2"/>
        <v>12000</v>
      </c>
      <c r="O70" s="38" t="s">
        <v>22</v>
      </c>
    </row>
    <row r="71" spans="1:15" ht="15" customHeight="1" x14ac:dyDescent="0.2">
      <c r="A71" s="24" t="s">
        <v>18</v>
      </c>
      <c r="B71" s="36" t="s">
        <v>3142</v>
      </c>
      <c r="C71" s="24">
        <f t="shared" si="3"/>
        <v>206</v>
      </c>
      <c r="D71" s="24">
        <v>1</v>
      </c>
      <c r="G71" s="37" t="s">
        <v>1569</v>
      </c>
      <c r="H71" s="24" t="s">
        <v>3349</v>
      </c>
      <c r="I71" s="24">
        <v>64277</v>
      </c>
      <c r="J71" s="24">
        <v>331</v>
      </c>
      <c r="K71" s="24" t="s">
        <v>21</v>
      </c>
      <c r="L71" s="24">
        <v>1</v>
      </c>
      <c r="M71" s="39">
        <v>12000</v>
      </c>
      <c r="N71" s="39">
        <f t="shared" si="2"/>
        <v>12000</v>
      </c>
      <c r="O71" s="38" t="s">
        <v>22</v>
      </c>
    </row>
    <row r="72" spans="1:15" ht="15" customHeight="1" x14ac:dyDescent="0.2">
      <c r="A72" s="24" t="s">
        <v>18</v>
      </c>
      <c r="B72" s="36" t="s">
        <v>2356</v>
      </c>
      <c r="C72" s="24">
        <f t="shared" si="3"/>
        <v>207</v>
      </c>
      <c r="D72" s="24">
        <v>1</v>
      </c>
      <c r="G72" s="37" t="s">
        <v>1569</v>
      </c>
      <c r="H72" s="24" t="s">
        <v>3350</v>
      </c>
      <c r="I72" s="24">
        <v>64277</v>
      </c>
      <c r="J72" s="24">
        <v>331</v>
      </c>
      <c r="K72" s="24" t="s">
        <v>21</v>
      </c>
      <c r="L72" s="24">
        <v>1</v>
      </c>
      <c r="M72" s="39">
        <v>87000</v>
      </c>
      <c r="N72" s="39">
        <f t="shared" si="2"/>
        <v>87000</v>
      </c>
      <c r="O72" s="38" t="s">
        <v>22</v>
      </c>
    </row>
    <row r="73" spans="1:15" ht="15" customHeight="1" x14ac:dyDescent="0.2">
      <c r="A73" s="24" t="s">
        <v>18</v>
      </c>
      <c r="B73" s="36" t="s">
        <v>2356</v>
      </c>
      <c r="C73" s="24">
        <f t="shared" si="3"/>
        <v>208</v>
      </c>
      <c r="D73" s="24">
        <v>1</v>
      </c>
      <c r="G73" s="37" t="s">
        <v>1569</v>
      </c>
      <c r="H73" s="24" t="s">
        <v>3351</v>
      </c>
      <c r="I73" s="24">
        <v>64277</v>
      </c>
      <c r="J73" s="24">
        <v>331</v>
      </c>
      <c r="K73" s="24" t="s">
        <v>21</v>
      </c>
      <c r="L73" s="24">
        <v>1</v>
      </c>
      <c r="M73" s="39">
        <v>28000</v>
      </c>
      <c r="N73" s="39">
        <f t="shared" si="2"/>
        <v>28000</v>
      </c>
      <c r="O73" s="38" t="s">
        <v>22</v>
      </c>
    </row>
    <row r="74" spans="1:15" ht="15" customHeight="1" x14ac:dyDescent="0.2">
      <c r="A74" s="24" t="s">
        <v>18</v>
      </c>
      <c r="B74" s="36" t="s">
        <v>2356</v>
      </c>
      <c r="C74" s="24">
        <f t="shared" si="3"/>
        <v>209</v>
      </c>
      <c r="D74" s="24">
        <v>1</v>
      </c>
      <c r="G74" s="37" t="s">
        <v>1569</v>
      </c>
      <c r="H74" s="24" t="s">
        <v>3352</v>
      </c>
      <c r="I74" s="24">
        <v>64277</v>
      </c>
      <c r="J74" s="24">
        <v>331</v>
      </c>
      <c r="K74" s="24" t="s">
        <v>21</v>
      </c>
      <c r="L74" s="24">
        <v>1</v>
      </c>
      <c r="M74" s="39">
        <v>124000</v>
      </c>
      <c r="N74" s="39">
        <f t="shared" si="2"/>
        <v>124000</v>
      </c>
      <c r="O74" s="38" t="s">
        <v>22</v>
      </c>
    </row>
    <row r="75" spans="1:15" ht="15" customHeight="1" x14ac:dyDescent="0.2">
      <c r="A75" s="24" t="s">
        <v>18</v>
      </c>
      <c r="B75" s="36" t="s">
        <v>2356</v>
      </c>
      <c r="C75" s="24">
        <f t="shared" si="3"/>
        <v>210</v>
      </c>
      <c r="D75" s="24">
        <v>1</v>
      </c>
      <c r="G75" s="37" t="s">
        <v>1569</v>
      </c>
      <c r="H75" s="24" t="s">
        <v>3353</v>
      </c>
      <c r="I75" s="24">
        <v>64277</v>
      </c>
      <c r="J75" s="24">
        <v>331</v>
      </c>
      <c r="K75" s="24" t="s">
        <v>21</v>
      </c>
      <c r="L75" s="24">
        <v>1</v>
      </c>
      <c r="M75" s="39">
        <v>150000</v>
      </c>
      <c r="N75" s="39">
        <f t="shared" si="2"/>
        <v>150000</v>
      </c>
      <c r="O75" s="38" t="s">
        <v>22</v>
      </c>
    </row>
    <row r="76" spans="1:15" ht="15" customHeight="1" x14ac:dyDescent="0.2">
      <c r="A76" s="24" t="s">
        <v>18</v>
      </c>
      <c r="B76" s="36" t="s">
        <v>2356</v>
      </c>
      <c r="C76" s="24">
        <f t="shared" si="3"/>
        <v>211</v>
      </c>
      <c r="D76" s="24">
        <v>1</v>
      </c>
      <c r="G76" s="37" t="s">
        <v>1569</v>
      </c>
      <c r="H76" s="24" t="s">
        <v>3354</v>
      </c>
      <c r="I76" s="24">
        <v>64277</v>
      </c>
      <c r="J76" s="24">
        <v>331</v>
      </c>
      <c r="K76" s="24" t="s">
        <v>21</v>
      </c>
      <c r="L76" s="24">
        <v>1</v>
      </c>
      <c r="M76" s="39">
        <v>22000</v>
      </c>
      <c r="N76" s="39">
        <f t="shared" si="2"/>
        <v>22000</v>
      </c>
      <c r="O76" s="38" t="s">
        <v>22</v>
      </c>
    </row>
    <row r="77" spans="1:15" ht="15" customHeight="1" x14ac:dyDescent="0.2">
      <c r="A77" s="24" t="s">
        <v>18</v>
      </c>
      <c r="B77" s="36" t="s">
        <v>3143</v>
      </c>
      <c r="C77" s="24">
        <f t="shared" si="3"/>
        <v>212</v>
      </c>
      <c r="D77" s="24">
        <v>1</v>
      </c>
      <c r="G77" s="37" t="s">
        <v>1569</v>
      </c>
      <c r="H77" s="24" t="s">
        <v>3355</v>
      </c>
      <c r="I77" s="24">
        <v>64277</v>
      </c>
      <c r="J77" s="24">
        <v>331</v>
      </c>
      <c r="K77" s="24" t="s">
        <v>21</v>
      </c>
      <c r="L77" s="24">
        <v>1</v>
      </c>
      <c r="M77" s="39">
        <v>12000</v>
      </c>
      <c r="N77" s="39">
        <f t="shared" si="2"/>
        <v>12000</v>
      </c>
      <c r="O77" s="38" t="s">
        <v>22</v>
      </c>
    </row>
    <row r="78" spans="1:15" ht="15" customHeight="1" x14ac:dyDescent="0.2">
      <c r="A78" s="24" t="s">
        <v>18</v>
      </c>
      <c r="B78" s="36" t="s">
        <v>3143</v>
      </c>
      <c r="C78" s="24">
        <f t="shared" si="3"/>
        <v>213</v>
      </c>
      <c r="D78" s="24">
        <v>1</v>
      </c>
      <c r="G78" s="37" t="s">
        <v>1569</v>
      </c>
      <c r="H78" s="24" t="s">
        <v>3356</v>
      </c>
      <c r="I78" s="24">
        <v>64277</v>
      </c>
      <c r="J78" s="24">
        <v>331</v>
      </c>
      <c r="K78" s="24" t="s">
        <v>21</v>
      </c>
      <c r="L78" s="24">
        <v>1</v>
      </c>
      <c r="M78" s="39">
        <v>111000</v>
      </c>
      <c r="N78" s="39">
        <f t="shared" si="2"/>
        <v>111000</v>
      </c>
      <c r="O78" s="38" t="s">
        <v>22</v>
      </c>
    </row>
    <row r="79" spans="1:15" ht="15" customHeight="1" x14ac:dyDescent="0.2">
      <c r="A79" s="24" t="s">
        <v>18</v>
      </c>
      <c r="B79" s="36" t="s">
        <v>3143</v>
      </c>
      <c r="C79" s="24">
        <f t="shared" si="3"/>
        <v>214</v>
      </c>
      <c r="D79" s="24">
        <v>1</v>
      </c>
      <c r="G79" s="37" t="s">
        <v>1569</v>
      </c>
      <c r="H79" s="24" t="s">
        <v>3357</v>
      </c>
      <c r="I79" s="24">
        <v>64277</v>
      </c>
      <c r="J79" s="24">
        <v>331</v>
      </c>
      <c r="K79" s="24" t="s">
        <v>21</v>
      </c>
      <c r="L79" s="24">
        <v>1</v>
      </c>
      <c r="M79" s="39">
        <v>48000</v>
      </c>
      <c r="N79" s="39">
        <f t="shared" si="2"/>
        <v>48000</v>
      </c>
      <c r="O79" s="38" t="s">
        <v>22</v>
      </c>
    </row>
    <row r="80" spans="1:15" ht="15" customHeight="1" x14ac:dyDescent="0.2">
      <c r="A80" s="24" t="s">
        <v>18</v>
      </c>
      <c r="B80" s="36" t="s">
        <v>3143</v>
      </c>
      <c r="C80" s="24">
        <f t="shared" si="3"/>
        <v>215</v>
      </c>
      <c r="D80" s="24">
        <v>1</v>
      </c>
      <c r="G80" s="37" t="s">
        <v>1569</v>
      </c>
      <c r="H80" s="24" t="s">
        <v>3358</v>
      </c>
      <c r="I80" s="24">
        <v>64277</v>
      </c>
      <c r="J80" s="24">
        <v>331</v>
      </c>
      <c r="K80" s="24" t="s">
        <v>21</v>
      </c>
      <c r="L80" s="24">
        <v>1</v>
      </c>
      <c r="M80" s="39">
        <v>12000</v>
      </c>
      <c r="N80" s="39">
        <f t="shared" si="2"/>
        <v>12000</v>
      </c>
      <c r="O80" s="38" t="s">
        <v>22</v>
      </c>
    </row>
    <row r="81" spans="1:15" ht="15" customHeight="1" x14ac:dyDescent="0.2">
      <c r="A81" s="24" t="s">
        <v>18</v>
      </c>
      <c r="B81" s="36" t="s">
        <v>2479</v>
      </c>
      <c r="C81" s="24">
        <f t="shared" si="3"/>
        <v>216</v>
      </c>
      <c r="D81" s="24">
        <v>1</v>
      </c>
      <c r="G81" s="37" t="s">
        <v>1569</v>
      </c>
      <c r="H81" s="24" t="s">
        <v>3359</v>
      </c>
      <c r="I81" s="24">
        <v>64277</v>
      </c>
      <c r="J81" s="24">
        <v>331</v>
      </c>
      <c r="K81" s="24" t="s">
        <v>21</v>
      </c>
      <c r="L81" s="24">
        <v>1</v>
      </c>
      <c r="M81" s="39">
        <v>36000</v>
      </c>
      <c r="N81" s="39">
        <f t="shared" si="2"/>
        <v>36000</v>
      </c>
      <c r="O81" s="38" t="s">
        <v>22</v>
      </c>
    </row>
    <row r="82" spans="1:15" ht="15" customHeight="1" x14ac:dyDescent="0.2">
      <c r="A82" s="24" t="s">
        <v>18</v>
      </c>
      <c r="B82" s="36" t="s">
        <v>2479</v>
      </c>
      <c r="C82" s="24">
        <f t="shared" si="3"/>
        <v>217</v>
      </c>
      <c r="D82" s="24">
        <v>1</v>
      </c>
      <c r="G82" s="37" t="s">
        <v>1569</v>
      </c>
      <c r="H82" s="24" t="s">
        <v>3360</v>
      </c>
      <c r="I82" s="24">
        <v>64277</v>
      </c>
      <c r="J82" s="24">
        <v>331</v>
      </c>
      <c r="K82" s="24" t="s">
        <v>21</v>
      </c>
      <c r="L82" s="24">
        <v>1</v>
      </c>
      <c r="M82" s="39">
        <v>68000</v>
      </c>
      <c r="N82" s="39">
        <f t="shared" si="2"/>
        <v>68000</v>
      </c>
      <c r="O82" s="38" t="s">
        <v>22</v>
      </c>
    </row>
    <row r="83" spans="1:15" ht="15" customHeight="1" x14ac:dyDescent="0.2">
      <c r="A83" s="24" t="s">
        <v>18</v>
      </c>
      <c r="B83" s="36" t="s">
        <v>2479</v>
      </c>
      <c r="C83" s="24">
        <f t="shared" si="3"/>
        <v>218</v>
      </c>
      <c r="D83" s="24">
        <v>1</v>
      </c>
      <c r="G83" s="37" t="s">
        <v>1569</v>
      </c>
      <c r="H83" s="24" t="s">
        <v>3361</v>
      </c>
      <c r="I83" s="24">
        <v>64277</v>
      </c>
      <c r="J83" s="24">
        <v>331</v>
      </c>
      <c r="K83" s="24" t="s">
        <v>21</v>
      </c>
      <c r="L83" s="24">
        <v>1</v>
      </c>
      <c r="M83" s="39">
        <v>57000</v>
      </c>
      <c r="N83" s="39">
        <f t="shared" si="2"/>
        <v>57000</v>
      </c>
      <c r="O83" s="38" t="s">
        <v>22</v>
      </c>
    </row>
    <row r="84" spans="1:15" ht="15" customHeight="1" x14ac:dyDescent="0.2">
      <c r="A84" s="24" t="s">
        <v>18</v>
      </c>
      <c r="B84" s="36" t="s">
        <v>2479</v>
      </c>
      <c r="C84" s="24">
        <f t="shared" si="3"/>
        <v>219</v>
      </c>
      <c r="D84" s="24">
        <v>1</v>
      </c>
      <c r="G84" s="37" t="s">
        <v>1569</v>
      </c>
      <c r="H84" s="24" t="s">
        <v>3362</v>
      </c>
      <c r="I84" s="24">
        <v>64277</v>
      </c>
      <c r="J84" s="24">
        <v>331</v>
      </c>
      <c r="K84" s="24" t="s">
        <v>21</v>
      </c>
      <c r="L84" s="24">
        <v>1</v>
      </c>
      <c r="M84" s="39">
        <v>57000</v>
      </c>
      <c r="N84" s="39">
        <f t="shared" si="2"/>
        <v>57000</v>
      </c>
      <c r="O84" s="38" t="s">
        <v>22</v>
      </c>
    </row>
    <row r="85" spans="1:15" ht="15" customHeight="1" x14ac:dyDescent="0.2">
      <c r="A85" s="24" t="s">
        <v>18</v>
      </c>
      <c r="B85" s="36" t="s">
        <v>2479</v>
      </c>
      <c r="C85" s="24">
        <f t="shared" si="3"/>
        <v>220</v>
      </c>
      <c r="D85" s="24">
        <v>1</v>
      </c>
      <c r="G85" s="37" t="s">
        <v>1569</v>
      </c>
      <c r="H85" s="24" t="s">
        <v>3363</v>
      </c>
      <c r="I85" s="24">
        <v>64277</v>
      </c>
      <c r="J85" s="24">
        <v>331</v>
      </c>
      <c r="K85" s="24" t="s">
        <v>21</v>
      </c>
      <c r="L85" s="24">
        <v>1</v>
      </c>
      <c r="M85" s="39">
        <v>37000</v>
      </c>
      <c r="N85" s="39">
        <f t="shared" si="2"/>
        <v>37000</v>
      </c>
      <c r="O85" s="38" t="s">
        <v>22</v>
      </c>
    </row>
    <row r="86" spans="1:15" ht="15" customHeight="1" x14ac:dyDescent="0.2">
      <c r="A86" s="24" t="s">
        <v>18</v>
      </c>
      <c r="B86" s="36" t="s">
        <v>2116</v>
      </c>
      <c r="C86" s="24">
        <f t="shared" si="3"/>
        <v>221</v>
      </c>
      <c r="D86" s="24">
        <v>1</v>
      </c>
      <c r="G86" s="37" t="s">
        <v>1569</v>
      </c>
      <c r="H86" s="24" t="s">
        <v>3364</v>
      </c>
      <c r="I86" s="24">
        <v>64277</v>
      </c>
      <c r="J86" s="24">
        <v>331</v>
      </c>
      <c r="K86" s="24" t="s">
        <v>21</v>
      </c>
      <c r="L86" s="24">
        <v>1</v>
      </c>
      <c r="M86" s="39">
        <v>36000</v>
      </c>
      <c r="N86" s="39">
        <f t="shared" si="2"/>
        <v>36000</v>
      </c>
      <c r="O86" s="38" t="s">
        <v>22</v>
      </c>
    </row>
    <row r="87" spans="1:15" ht="15" customHeight="1" x14ac:dyDescent="0.2">
      <c r="A87" s="24" t="s">
        <v>18</v>
      </c>
      <c r="B87" s="36" t="s">
        <v>1532</v>
      </c>
      <c r="C87" s="24">
        <f t="shared" si="3"/>
        <v>222</v>
      </c>
      <c r="D87" s="24">
        <v>1</v>
      </c>
      <c r="G87" s="37" t="s">
        <v>1569</v>
      </c>
      <c r="H87" s="24" t="s">
        <v>3365</v>
      </c>
      <c r="I87" s="24">
        <v>64277</v>
      </c>
      <c r="J87" s="24">
        <v>331</v>
      </c>
      <c r="K87" s="24" t="s">
        <v>21</v>
      </c>
      <c r="L87" s="24">
        <v>1</v>
      </c>
      <c r="M87" s="39">
        <v>71000</v>
      </c>
      <c r="N87" s="39">
        <f t="shared" si="2"/>
        <v>71000</v>
      </c>
      <c r="O87" s="38" t="s">
        <v>22</v>
      </c>
    </row>
    <row r="88" spans="1:15" ht="15" customHeight="1" x14ac:dyDescent="0.2">
      <c r="A88" s="24" t="s">
        <v>18</v>
      </c>
      <c r="B88" s="36" t="s">
        <v>1532</v>
      </c>
      <c r="C88" s="24">
        <f t="shared" si="3"/>
        <v>223</v>
      </c>
      <c r="D88" s="24">
        <v>1</v>
      </c>
      <c r="G88" s="37" t="s">
        <v>1569</v>
      </c>
      <c r="H88" s="24" t="s">
        <v>3366</v>
      </c>
      <c r="I88" s="24">
        <v>64277</v>
      </c>
      <c r="J88" s="24">
        <v>331</v>
      </c>
      <c r="K88" s="24" t="s">
        <v>21</v>
      </c>
      <c r="L88" s="24">
        <v>1</v>
      </c>
      <c r="M88" s="39">
        <v>57000</v>
      </c>
      <c r="N88" s="39">
        <f t="shared" si="2"/>
        <v>57000</v>
      </c>
      <c r="O88" s="38" t="s">
        <v>22</v>
      </c>
    </row>
    <row r="89" spans="1:15" ht="15" customHeight="1" x14ac:dyDescent="0.2">
      <c r="A89" s="24" t="s">
        <v>18</v>
      </c>
      <c r="B89" s="36" t="s">
        <v>2042</v>
      </c>
      <c r="C89" s="24">
        <f t="shared" si="3"/>
        <v>224</v>
      </c>
      <c r="D89" s="24">
        <v>1</v>
      </c>
      <c r="G89" s="37" t="s">
        <v>1569</v>
      </c>
      <c r="H89" s="24" t="s">
        <v>3367</v>
      </c>
      <c r="I89" s="24">
        <v>64277</v>
      </c>
      <c r="J89" s="24">
        <v>331</v>
      </c>
      <c r="K89" s="24" t="s">
        <v>21</v>
      </c>
      <c r="L89" s="24">
        <v>1</v>
      </c>
      <c r="M89" s="39">
        <v>12000</v>
      </c>
      <c r="N89" s="39">
        <f t="shared" si="2"/>
        <v>12000</v>
      </c>
      <c r="O89" s="38" t="s">
        <v>22</v>
      </c>
    </row>
    <row r="90" spans="1:15" ht="15" customHeight="1" x14ac:dyDescent="0.2">
      <c r="A90" s="24" t="s">
        <v>18</v>
      </c>
      <c r="B90" s="36" t="s">
        <v>2042</v>
      </c>
      <c r="C90" s="24">
        <f t="shared" si="3"/>
        <v>225</v>
      </c>
      <c r="D90" s="24">
        <v>1</v>
      </c>
      <c r="G90" s="37" t="s">
        <v>1569</v>
      </c>
      <c r="H90" s="24" t="s">
        <v>3368</v>
      </c>
      <c r="I90" s="24">
        <v>64277</v>
      </c>
      <c r="J90" s="24">
        <v>331</v>
      </c>
      <c r="K90" s="24" t="s">
        <v>21</v>
      </c>
      <c r="L90" s="24">
        <v>1</v>
      </c>
      <c r="M90" s="39">
        <v>19000</v>
      </c>
      <c r="N90" s="39">
        <f t="shared" si="2"/>
        <v>19000</v>
      </c>
      <c r="O90" s="38" t="s">
        <v>22</v>
      </c>
    </row>
    <row r="91" spans="1:15" ht="15" customHeight="1" x14ac:dyDescent="0.2">
      <c r="A91" s="24" t="s">
        <v>18</v>
      </c>
      <c r="B91" s="36" t="s">
        <v>2042</v>
      </c>
      <c r="C91" s="24">
        <f t="shared" si="3"/>
        <v>226</v>
      </c>
      <c r="D91" s="24">
        <v>1</v>
      </c>
      <c r="G91" s="37" t="s">
        <v>1569</v>
      </c>
      <c r="H91" s="24" t="s">
        <v>3369</v>
      </c>
      <c r="I91" s="24">
        <v>64277</v>
      </c>
      <c r="J91" s="24">
        <v>331</v>
      </c>
      <c r="K91" s="24" t="s">
        <v>21</v>
      </c>
      <c r="L91" s="24">
        <v>1</v>
      </c>
      <c r="M91" s="39">
        <v>13000</v>
      </c>
      <c r="N91" s="39">
        <f t="shared" si="2"/>
        <v>13000</v>
      </c>
      <c r="O91" s="38" t="s">
        <v>22</v>
      </c>
    </row>
    <row r="92" spans="1:15" ht="15" customHeight="1" x14ac:dyDescent="0.2">
      <c r="A92" s="24" t="s">
        <v>18</v>
      </c>
      <c r="B92" s="36" t="s">
        <v>2042</v>
      </c>
      <c r="C92" s="24">
        <f t="shared" si="3"/>
        <v>227</v>
      </c>
      <c r="D92" s="24">
        <v>1</v>
      </c>
      <c r="G92" s="37" t="s">
        <v>1569</v>
      </c>
      <c r="H92" s="24" t="s">
        <v>3370</v>
      </c>
      <c r="I92" s="24">
        <v>64277</v>
      </c>
      <c r="J92" s="24">
        <v>331</v>
      </c>
      <c r="K92" s="24" t="s">
        <v>21</v>
      </c>
      <c r="L92" s="24">
        <v>1</v>
      </c>
      <c r="M92" s="39">
        <v>15000</v>
      </c>
      <c r="N92" s="39">
        <f t="shared" si="2"/>
        <v>15000</v>
      </c>
      <c r="O92" s="38" t="s">
        <v>22</v>
      </c>
    </row>
    <row r="93" spans="1:15" ht="15" customHeight="1" x14ac:dyDescent="0.2">
      <c r="A93" s="24" t="s">
        <v>18</v>
      </c>
      <c r="B93" s="36" t="s">
        <v>2231</v>
      </c>
      <c r="C93" s="24">
        <f t="shared" si="3"/>
        <v>228</v>
      </c>
      <c r="D93" s="24">
        <v>1</v>
      </c>
      <c r="G93" s="37" t="s">
        <v>1592</v>
      </c>
      <c r="H93" s="24" t="s">
        <v>3484</v>
      </c>
      <c r="I93" s="24">
        <v>64277</v>
      </c>
      <c r="J93" s="24">
        <v>331</v>
      </c>
      <c r="K93" s="24" t="s">
        <v>21</v>
      </c>
      <c r="L93" s="24">
        <v>1</v>
      </c>
      <c r="M93" s="39">
        <v>2556000</v>
      </c>
      <c r="N93" s="39">
        <f t="shared" si="2"/>
        <v>2556000</v>
      </c>
      <c r="O93" s="38" t="s">
        <v>22</v>
      </c>
    </row>
    <row r="94" spans="1:15" ht="15" customHeight="1" x14ac:dyDescent="0.2">
      <c r="A94" s="24" t="s">
        <v>18</v>
      </c>
      <c r="B94" s="36" t="s">
        <v>2231</v>
      </c>
      <c r="C94" s="24">
        <f t="shared" si="3"/>
        <v>229</v>
      </c>
      <c r="D94" s="24">
        <v>1</v>
      </c>
      <c r="G94" s="37" t="s">
        <v>1569</v>
      </c>
      <c r="H94" s="24" t="s">
        <v>3371</v>
      </c>
      <c r="I94" s="24">
        <v>64277</v>
      </c>
      <c r="J94" s="24">
        <v>331</v>
      </c>
      <c r="K94" s="24" t="s">
        <v>21</v>
      </c>
      <c r="L94" s="24">
        <v>1</v>
      </c>
      <c r="M94" s="39">
        <v>28000</v>
      </c>
      <c r="N94" s="39">
        <f t="shared" si="2"/>
        <v>28000</v>
      </c>
      <c r="O94" s="38" t="s">
        <v>22</v>
      </c>
    </row>
    <row r="95" spans="1:15" ht="15" customHeight="1" x14ac:dyDescent="0.2">
      <c r="A95" s="24" t="s">
        <v>18</v>
      </c>
      <c r="B95" s="36" t="s">
        <v>2043</v>
      </c>
      <c r="C95" s="24">
        <f t="shared" si="3"/>
        <v>230</v>
      </c>
      <c r="D95" s="24">
        <v>1</v>
      </c>
      <c r="G95" s="37" t="s">
        <v>1569</v>
      </c>
      <c r="H95" s="24" t="s">
        <v>3372</v>
      </c>
      <c r="I95" s="24">
        <v>64277</v>
      </c>
      <c r="J95" s="24">
        <v>331</v>
      </c>
      <c r="K95" s="24" t="s">
        <v>21</v>
      </c>
      <c r="L95" s="24">
        <v>1</v>
      </c>
      <c r="M95" s="39">
        <v>32000</v>
      </c>
      <c r="N95" s="39">
        <f t="shared" si="2"/>
        <v>32000</v>
      </c>
      <c r="O95" s="38" t="s">
        <v>22</v>
      </c>
    </row>
    <row r="96" spans="1:15" ht="15" customHeight="1" x14ac:dyDescent="0.2">
      <c r="A96" s="24" t="s">
        <v>18</v>
      </c>
      <c r="B96" s="36" t="s">
        <v>2043</v>
      </c>
      <c r="C96" s="24">
        <f t="shared" si="3"/>
        <v>231</v>
      </c>
      <c r="D96" s="24">
        <v>1</v>
      </c>
      <c r="G96" s="37" t="s">
        <v>1569</v>
      </c>
      <c r="H96" s="24" t="s">
        <v>3373</v>
      </c>
      <c r="I96" s="24">
        <v>64277</v>
      </c>
      <c r="J96" s="24">
        <v>331</v>
      </c>
      <c r="K96" s="24" t="s">
        <v>21</v>
      </c>
      <c r="L96" s="24">
        <v>1</v>
      </c>
      <c r="M96" s="39">
        <v>12000</v>
      </c>
      <c r="N96" s="39">
        <f t="shared" si="2"/>
        <v>12000</v>
      </c>
      <c r="O96" s="38" t="s">
        <v>22</v>
      </c>
    </row>
    <row r="97" spans="1:15" ht="15" customHeight="1" x14ac:dyDescent="0.2">
      <c r="A97" s="24" t="s">
        <v>18</v>
      </c>
      <c r="B97" s="36" t="s">
        <v>2043</v>
      </c>
      <c r="C97" s="24">
        <f t="shared" si="3"/>
        <v>232</v>
      </c>
      <c r="D97" s="24">
        <v>1</v>
      </c>
      <c r="G97" s="37" t="s">
        <v>1569</v>
      </c>
      <c r="H97" s="24" t="s">
        <v>3374</v>
      </c>
      <c r="I97" s="24">
        <v>64277</v>
      </c>
      <c r="J97" s="24">
        <v>331</v>
      </c>
      <c r="K97" s="24" t="s">
        <v>21</v>
      </c>
      <c r="L97" s="24">
        <v>1</v>
      </c>
      <c r="M97" s="39">
        <v>12000</v>
      </c>
      <c r="N97" s="39">
        <f t="shared" si="2"/>
        <v>12000</v>
      </c>
      <c r="O97" s="38" t="s">
        <v>22</v>
      </c>
    </row>
    <row r="98" spans="1:15" ht="15" customHeight="1" x14ac:dyDescent="0.2">
      <c r="A98" s="24" t="s">
        <v>18</v>
      </c>
      <c r="B98" s="36" t="s">
        <v>2043</v>
      </c>
      <c r="C98" s="24">
        <f t="shared" si="3"/>
        <v>233</v>
      </c>
      <c r="D98" s="24">
        <v>1</v>
      </c>
      <c r="G98" s="37" t="s">
        <v>1569</v>
      </c>
      <c r="H98" s="24" t="s">
        <v>3375</v>
      </c>
      <c r="I98" s="24">
        <v>64277</v>
      </c>
      <c r="J98" s="24">
        <v>331</v>
      </c>
      <c r="K98" s="24" t="s">
        <v>21</v>
      </c>
      <c r="L98" s="24">
        <v>1</v>
      </c>
      <c r="M98" s="39">
        <v>148000</v>
      </c>
      <c r="N98" s="39">
        <f t="shared" si="2"/>
        <v>148000</v>
      </c>
      <c r="O98" s="38" t="s">
        <v>22</v>
      </c>
    </row>
    <row r="99" spans="1:15" ht="15" customHeight="1" x14ac:dyDescent="0.2">
      <c r="A99" s="24" t="s">
        <v>18</v>
      </c>
      <c r="B99" s="36" t="s">
        <v>1533</v>
      </c>
      <c r="C99" s="24">
        <f t="shared" si="3"/>
        <v>234</v>
      </c>
      <c r="D99" s="24">
        <v>1</v>
      </c>
      <c r="G99" s="37" t="s">
        <v>1569</v>
      </c>
      <c r="H99" s="24" t="s">
        <v>3376</v>
      </c>
      <c r="I99" s="24">
        <v>64277</v>
      </c>
      <c r="J99" s="24">
        <v>331</v>
      </c>
      <c r="K99" s="24" t="s">
        <v>21</v>
      </c>
      <c r="L99" s="24">
        <v>1</v>
      </c>
      <c r="M99" s="39">
        <v>23000</v>
      </c>
      <c r="N99" s="39">
        <f t="shared" si="2"/>
        <v>23000</v>
      </c>
      <c r="O99" s="38" t="s">
        <v>22</v>
      </c>
    </row>
    <row r="100" spans="1:15" ht="15" customHeight="1" x14ac:dyDescent="0.2">
      <c r="A100" s="24" t="s">
        <v>18</v>
      </c>
      <c r="B100" s="36" t="s">
        <v>1533</v>
      </c>
      <c r="C100" s="24">
        <f t="shared" si="3"/>
        <v>235</v>
      </c>
      <c r="D100" s="24">
        <v>1</v>
      </c>
      <c r="G100" s="37" t="s">
        <v>1569</v>
      </c>
      <c r="H100" s="24" t="s">
        <v>3377</v>
      </c>
      <c r="I100" s="24">
        <v>64277</v>
      </c>
      <c r="J100" s="24">
        <v>331</v>
      </c>
      <c r="K100" s="24" t="s">
        <v>21</v>
      </c>
      <c r="L100" s="24">
        <v>1</v>
      </c>
      <c r="M100" s="39">
        <v>23000</v>
      </c>
      <c r="N100" s="39">
        <f t="shared" si="2"/>
        <v>23000</v>
      </c>
      <c r="O100" s="38" t="s">
        <v>22</v>
      </c>
    </row>
    <row r="101" spans="1:15" ht="15" customHeight="1" x14ac:dyDescent="0.2">
      <c r="A101" s="24" t="s">
        <v>18</v>
      </c>
      <c r="B101" s="36" t="s">
        <v>1533</v>
      </c>
      <c r="C101" s="24">
        <f t="shared" si="3"/>
        <v>236</v>
      </c>
      <c r="D101" s="24">
        <v>1</v>
      </c>
      <c r="G101" s="37" t="s">
        <v>1569</v>
      </c>
      <c r="H101" s="24" t="s">
        <v>3378</v>
      </c>
      <c r="I101" s="24">
        <v>64277</v>
      </c>
      <c r="J101" s="24">
        <v>331</v>
      </c>
      <c r="K101" s="24" t="s">
        <v>21</v>
      </c>
      <c r="L101" s="24">
        <v>1</v>
      </c>
      <c r="M101" s="39">
        <v>26000</v>
      </c>
      <c r="N101" s="39">
        <f t="shared" si="2"/>
        <v>26000</v>
      </c>
      <c r="O101" s="38" t="s">
        <v>22</v>
      </c>
    </row>
    <row r="102" spans="1:15" ht="15" customHeight="1" x14ac:dyDescent="0.2">
      <c r="A102" s="24" t="s">
        <v>18</v>
      </c>
      <c r="B102" s="36" t="s">
        <v>1533</v>
      </c>
      <c r="C102" s="24">
        <f t="shared" si="3"/>
        <v>237</v>
      </c>
      <c r="D102" s="24">
        <v>1</v>
      </c>
      <c r="G102" s="37" t="s">
        <v>1569</v>
      </c>
      <c r="H102" s="24" t="s">
        <v>3379</v>
      </c>
      <c r="I102" s="24">
        <v>64277</v>
      </c>
      <c r="J102" s="24">
        <v>331</v>
      </c>
      <c r="K102" s="24" t="s">
        <v>21</v>
      </c>
      <c r="L102" s="24">
        <v>1</v>
      </c>
      <c r="M102" s="39">
        <v>12000</v>
      </c>
      <c r="N102" s="39">
        <f t="shared" si="2"/>
        <v>12000</v>
      </c>
      <c r="O102" s="38" t="s">
        <v>22</v>
      </c>
    </row>
    <row r="103" spans="1:15" ht="15" customHeight="1" x14ac:dyDescent="0.2">
      <c r="A103" s="24" t="s">
        <v>18</v>
      </c>
      <c r="B103" s="36" t="s">
        <v>1533</v>
      </c>
      <c r="C103" s="24">
        <f t="shared" si="3"/>
        <v>238</v>
      </c>
      <c r="D103" s="24">
        <v>1</v>
      </c>
      <c r="G103" s="37" t="s">
        <v>1569</v>
      </c>
      <c r="H103" s="24" t="s">
        <v>3380</v>
      </c>
      <c r="I103" s="24">
        <v>64277</v>
      </c>
      <c r="J103" s="24">
        <v>331</v>
      </c>
      <c r="K103" s="24" t="s">
        <v>21</v>
      </c>
      <c r="L103" s="24">
        <v>1</v>
      </c>
      <c r="M103" s="39">
        <v>26000</v>
      </c>
      <c r="N103" s="39">
        <f t="shared" si="2"/>
        <v>26000</v>
      </c>
      <c r="O103" s="38" t="s">
        <v>22</v>
      </c>
    </row>
    <row r="104" spans="1:15" ht="15" customHeight="1" x14ac:dyDescent="0.2">
      <c r="A104" s="24" t="s">
        <v>18</v>
      </c>
      <c r="B104" s="36" t="s">
        <v>2114</v>
      </c>
      <c r="C104" s="24">
        <f t="shared" si="3"/>
        <v>239</v>
      </c>
      <c r="D104" s="24">
        <v>1</v>
      </c>
      <c r="G104" s="37" t="s">
        <v>1569</v>
      </c>
      <c r="H104" s="24" t="s">
        <v>3381</v>
      </c>
      <c r="I104" s="24">
        <v>64277</v>
      </c>
      <c r="J104" s="24">
        <v>331</v>
      </c>
      <c r="K104" s="24" t="s">
        <v>21</v>
      </c>
      <c r="L104" s="24">
        <v>1</v>
      </c>
      <c r="M104" s="39">
        <v>12000</v>
      </c>
      <c r="N104" s="39">
        <f t="shared" si="2"/>
        <v>12000</v>
      </c>
      <c r="O104" s="38" t="s">
        <v>22</v>
      </c>
    </row>
    <row r="105" spans="1:15" ht="15" customHeight="1" x14ac:dyDescent="0.2">
      <c r="A105" s="24" t="s">
        <v>18</v>
      </c>
      <c r="B105" s="36" t="s">
        <v>2114</v>
      </c>
      <c r="C105" s="24">
        <f t="shared" si="3"/>
        <v>240</v>
      </c>
      <c r="D105" s="24">
        <v>1</v>
      </c>
      <c r="G105" s="37" t="s">
        <v>1569</v>
      </c>
      <c r="H105" s="24" t="s">
        <v>3382</v>
      </c>
      <c r="I105" s="24">
        <v>64277</v>
      </c>
      <c r="J105" s="24">
        <v>331</v>
      </c>
      <c r="K105" s="24" t="s">
        <v>21</v>
      </c>
      <c r="L105" s="24">
        <v>1</v>
      </c>
      <c r="M105" s="39">
        <v>12000</v>
      </c>
      <c r="N105" s="39">
        <f t="shared" si="2"/>
        <v>12000</v>
      </c>
      <c r="O105" s="38" t="s">
        <v>22</v>
      </c>
    </row>
    <row r="106" spans="1:15" ht="15" customHeight="1" x14ac:dyDescent="0.2">
      <c r="A106" s="24" t="s">
        <v>18</v>
      </c>
      <c r="B106" s="36" t="s">
        <v>1474</v>
      </c>
      <c r="C106" s="24">
        <f t="shared" si="3"/>
        <v>241</v>
      </c>
      <c r="D106" s="24">
        <v>1</v>
      </c>
      <c r="G106" s="37" t="s">
        <v>1569</v>
      </c>
      <c r="H106" s="24" t="s">
        <v>3383</v>
      </c>
      <c r="I106" s="24">
        <v>64277</v>
      </c>
      <c r="J106" s="24">
        <v>331</v>
      </c>
      <c r="K106" s="24" t="s">
        <v>21</v>
      </c>
      <c r="L106" s="24">
        <v>1</v>
      </c>
      <c r="M106" s="39">
        <v>12000</v>
      </c>
      <c r="N106" s="39">
        <f t="shared" si="2"/>
        <v>12000</v>
      </c>
      <c r="O106" s="38" t="s">
        <v>22</v>
      </c>
    </row>
    <row r="107" spans="1:15" ht="15" customHeight="1" x14ac:dyDescent="0.2">
      <c r="A107" s="24" t="s">
        <v>18</v>
      </c>
      <c r="B107" s="36" t="s">
        <v>1474</v>
      </c>
      <c r="C107" s="24">
        <f t="shared" si="3"/>
        <v>242</v>
      </c>
      <c r="D107" s="24">
        <v>1</v>
      </c>
      <c r="G107" s="37" t="s">
        <v>1569</v>
      </c>
      <c r="H107" s="24" t="s">
        <v>3384</v>
      </c>
      <c r="I107" s="24">
        <v>64277</v>
      </c>
      <c r="J107" s="24">
        <v>331</v>
      </c>
      <c r="K107" s="24" t="s">
        <v>21</v>
      </c>
      <c r="L107" s="24">
        <v>1</v>
      </c>
      <c r="M107" s="39">
        <v>12000</v>
      </c>
      <c r="N107" s="39">
        <f t="shared" si="2"/>
        <v>12000</v>
      </c>
      <c r="O107" s="38" t="s">
        <v>22</v>
      </c>
    </row>
    <row r="108" spans="1:15" ht="15" customHeight="1" x14ac:dyDescent="0.2">
      <c r="A108" s="24" t="s">
        <v>18</v>
      </c>
      <c r="B108" s="36" t="s">
        <v>2044</v>
      </c>
      <c r="C108" s="24">
        <f t="shared" si="3"/>
        <v>243</v>
      </c>
      <c r="D108" s="24">
        <v>1</v>
      </c>
      <c r="G108" s="37" t="s">
        <v>1569</v>
      </c>
      <c r="H108" s="24" t="s">
        <v>3385</v>
      </c>
      <c r="I108" s="24">
        <v>64277</v>
      </c>
      <c r="J108" s="24">
        <v>331</v>
      </c>
      <c r="K108" s="24" t="s">
        <v>21</v>
      </c>
      <c r="L108" s="24">
        <v>1</v>
      </c>
      <c r="M108" s="39">
        <v>12000</v>
      </c>
      <c r="N108" s="39">
        <f t="shared" si="2"/>
        <v>12000</v>
      </c>
      <c r="O108" s="38" t="s">
        <v>22</v>
      </c>
    </row>
    <row r="109" spans="1:15" ht="15" customHeight="1" x14ac:dyDescent="0.2">
      <c r="A109" s="24" t="s">
        <v>18</v>
      </c>
      <c r="B109" s="36" t="s">
        <v>2044</v>
      </c>
      <c r="C109" s="24">
        <f t="shared" si="3"/>
        <v>244</v>
      </c>
      <c r="D109" s="24">
        <v>1</v>
      </c>
      <c r="G109" s="37" t="s">
        <v>1569</v>
      </c>
      <c r="H109" s="24" t="s">
        <v>3386</v>
      </c>
      <c r="I109" s="24">
        <v>64277</v>
      </c>
      <c r="J109" s="24">
        <v>331</v>
      </c>
      <c r="K109" s="24" t="s">
        <v>21</v>
      </c>
      <c r="L109" s="24">
        <v>1</v>
      </c>
      <c r="M109" s="39">
        <v>12000</v>
      </c>
      <c r="N109" s="39">
        <f t="shared" si="2"/>
        <v>12000</v>
      </c>
      <c r="O109" s="38" t="s">
        <v>22</v>
      </c>
    </row>
    <row r="110" spans="1:15" ht="15" customHeight="1" x14ac:dyDescent="0.2">
      <c r="A110" s="24" t="s">
        <v>18</v>
      </c>
      <c r="B110" s="36">
        <v>45869</v>
      </c>
      <c r="C110" s="24">
        <f t="shared" si="3"/>
        <v>245</v>
      </c>
      <c r="D110" s="24">
        <v>1</v>
      </c>
      <c r="G110" s="37" t="s">
        <v>1569</v>
      </c>
      <c r="H110" s="24" t="s">
        <v>3387</v>
      </c>
      <c r="I110" s="24">
        <v>64277</v>
      </c>
      <c r="J110" s="24">
        <v>331</v>
      </c>
      <c r="K110" s="24" t="s">
        <v>21</v>
      </c>
      <c r="L110" s="24">
        <v>1</v>
      </c>
      <c r="M110" s="39">
        <v>90000</v>
      </c>
      <c r="N110" s="39">
        <f t="shared" si="2"/>
        <v>90000</v>
      </c>
      <c r="O110" s="38" t="s">
        <v>22</v>
      </c>
    </row>
    <row r="111" spans="1:15" ht="15" customHeight="1" x14ac:dyDescent="0.2">
      <c r="A111" s="24" t="s">
        <v>18</v>
      </c>
      <c r="B111" s="36" t="s">
        <v>1532</v>
      </c>
      <c r="C111" s="24">
        <f t="shared" si="3"/>
        <v>246</v>
      </c>
      <c r="D111" s="24">
        <v>1</v>
      </c>
      <c r="G111" s="37" t="s">
        <v>3147</v>
      </c>
      <c r="H111" s="24" t="s">
        <v>3475</v>
      </c>
      <c r="I111" s="24">
        <v>64276</v>
      </c>
      <c r="J111" s="24">
        <v>331</v>
      </c>
      <c r="K111" s="24" t="s">
        <v>21</v>
      </c>
      <c r="L111" s="24">
        <v>1</v>
      </c>
      <c r="M111" s="39">
        <v>1760000</v>
      </c>
      <c r="N111" s="39">
        <f t="shared" si="2"/>
        <v>1760000</v>
      </c>
      <c r="O111" s="38" t="s">
        <v>22</v>
      </c>
    </row>
    <row r="112" spans="1:15" ht="15" customHeight="1" x14ac:dyDescent="0.2">
      <c r="A112" s="24" t="s">
        <v>18</v>
      </c>
      <c r="B112" s="36" t="s">
        <v>2042</v>
      </c>
      <c r="C112" s="24">
        <f t="shared" si="3"/>
        <v>247</v>
      </c>
      <c r="D112" s="24">
        <v>1</v>
      </c>
      <c r="G112" s="37" t="s">
        <v>3148</v>
      </c>
      <c r="H112" s="24" t="s">
        <v>3476</v>
      </c>
      <c r="I112" s="24">
        <v>64277</v>
      </c>
      <c r="J112" s="24">
        <v>331</v>
      </c>
      <c r="K112" s="24" t="s">
        <v>21</v>
      </c>
      <c r="L112" s="24">
        <v>1</v>
      </c>
      <c r="M112" s="39">
        <v>329000</v>
      </c>
      <c r="N112" s="39">
        <f t="shared" si="2"/>
        <v>329000</v>
      </c>
      <c r="O112" s="38" t="s">
        <v>22</v>
      </c>
    </row>
    <row r="113" spans="1:15" ht="15" customHeight="1" x14ac:dyDescent="0.2">
      <c r="A113" s="24" t="s">
        <v>18</v>
      </c>
      <c r="B113" s="36" t="s">
        <v>2480</v>
      </c>
      <c r="C113" s="24">
        <f t="shared" si="3"/>
        <v>248</v>
      </c>
      <c r="D113" s="24">
        <v>1</v>
      </c>
      <c r="G113" s="37" t="s">
        <v>3149</v>
      </c>
      <c r="H113" s="24" t="s">
        <v>3474</v>
      </c>
      <c r="I113" s="24">
        <v>64277</v>
      </c>
      <c r="J113" s="24">
        <v>331</v>
      </c>
      <c r="K113" s="24" t="s">
        <v>21</v>
      </c>
      <c r="L113" s="24">
        <v>1</v>
      </c>
      <c r="M113" s="39">
        <v>1543320</v>
      </c>
      <c r="N113" s="39">
        <f t="shared" si="2"/>
        <v>1543320</v>
      </c>
      <c r="O113" s="38" t="s">
        <v>22</v>
      </c>
    </row>
    <row r="114" spans="1:15" ht="15" customHeight="1" x14ac:dyDescent="0.2">
      <c r="A114" s="24" t="s">
        <v>18</v>
      </c>
      <c r="B114" s="36" t="s">
        <v>3144</v>
      </c>
      <c r="C114" s="24">
        <f t="shared" si="3"/>
        <v>249</v>
      </c>
      <c r="D114" s="24">
        <v>1</v>
      </c>
      <c r="G114" s="37" t="s">
        <v>3150</v>
      </c>
      <c r="H114" s="24" t="s">
        <v>3473</v>
      </c>
      <c r="I114" s="24">
        <v>64277</v>
      </c>
      <c r="J114" s="24">
        <v>331</v>
      </c>
      <c r="K114" s="24" t="s">
        <v>21</v>
      </c>
      <c r="L114" s="24">
        <v>1</v>
      </c>
      <c r="M114" s="39">
        <v>696600</v>
      </c>
      <c r="N114" s="39">
        <f t="shared" si="2"/>
        <v>696600</v>
      </c>
      <c r="O114" s="38" t="s">
        <v>22</v>
      </c>
    </row>
    <row r="115" spans="1:15" ht="15" customHeight="1" x14ac:dyDescent="0.2">
      <c r="A115" s="24" t="s">
        <v>18</v>
      </c>
      <c r="B115" s="36" t="s">
        <v>2300</v>
      </c>
      <c r="C115" s="24">
        <f t="shared" si="3"/>
        <v>250</v>
      </c>
      <c r="D115" s="24">
        <v>1</v>
      </c>
      <c r="G115" s="37" t="s">
        <v>638</v>
      </c>
      <c r="H115" s="24" t="s">
        <v>3472</v>
      </c>
      <c r="I115" s="24">
        <v>64277</v>
      </c>
      <c r="J115" s="24">
        <v>331</v>
      </c>
      <c r="K115" s="24" t="s">
        <v>21</v>
      </c>
      <c r="L115" s="24">
        <v>1</v>
      </c>
      <c r="M115" s="39">
        <v>960120</v>
      </c>
      <c r="N115" s="39">
        <f t="shared" si="2"/>
        <v>960120</v>
      </c>
      <c r="O115" s="38" t="s">
        <v>22</v>
      </c>
    </row>
    <row r="116" spans="1:15" ht="15" customHeight="1" x14ac:dyDescent="0.2">
      <c r="A116" s="24" t="s">
        <v>18</v>
      </c>
      <c r="B116" s="36" t="s">
        <v>2481</v>
      </c>
      <c r="C116" s="24">
        <f t="shared" si="3"/>
        <v>251</v>
      </c>
      <c r="D116" s="24">
        <v>1</v>
      </c>
      <c r="G116" s="37" t="s">
        <v>3151</v>
      </c>
      <c r="H116" s="24" t="s">
        <v>3477</v>
      </c>
      <c r="I116" s="24">
        <v>64277</v>
      </c>
      <c r="J116" s="24">
        <v>331</v>
      </c>
      <c r="K116" s="24" t="s">
        <v>21</v>
      </c>
      <c r="L116" s="24">
        <v>1</v>
      </c>
      <c r="M116" s="39">
        <v>2199000</v>
      </c>
      <c r="N116" s="39">
        <f t="shared" si="2"/>
        <v>2199000</v>
      </c>
      <c r="O116" s="38" t="s">
        <v>22</v>
      </c>
    </row>
    <row r="117" spans="1:15" ht="15" customHeight="1" x14ac:dyDescent="0.2">
      <c r="A117" s="24" t="s">
        <v>18</v>
      </c>
      <c r="B117" s="36" t="s">
        <v>2119</v>
      </c>
      <c r="C117" s="24">
        <f t="shared" si="3"/>
        <v>252</v>
      </c>
      <c r="D117" s="24">
        <v>1</v>
      </c>
      <c r="G117" s="37" t="s">
        <v>158</v>
      </c>
      <c r="H117" s="24" t="s">
        <v>3160</v>
      </c>
      <c r="I117" s="24">
        <v>64277</v>
      </c>
      <c r="J117" s="24">
        <v>331</v>
      </c>
      <c r="K117" s="24" t="s">
        <v>21</v>
      </c>
      <c r="L117" s="24">
        <v>1</v>
      </c>
      <c r="M117" s="39">
        <v>3240000</v>
      </c>
      <c r="N117" s="39">
        <f t="shared" si="2"/>
        <v>3240000</v>
      </c>
      <c r="O117" s="38" t="s">
        <v>22</v>
      </c>
    </row>
    <row r="118" spans="1:15" ht="15" customHeight="1" x14ac:dyDescent="0.2">
      <c r="A118" s="24" t="s">
        <v>18</v>
      </c>
      <c r="B118" s="36" t="s">
        <v>2118</v>
      </c>
      <c r="C118" s="24">
        <f t="shared" si="3"/>
        <v>253</v>
      </c>
      <c r="D118" s="24">
        <v>1</v>
      </c>
      <c r="G118" s="37" t="s">
        <v>1569</v>
      </c>
      <c r="H118" s="24" t="s">
        <v>3388</v>
      </c>
      <c r="I118" s="24">
        <v>64277</v>
      </c>
      <c r="J118" s="24">
        <v>331</v>
      </c>
      <c r="K118" s="24" t="s">
        <v>21</v>
      </c>
      <c r="L118" s="24">
        <v>1</v>
      </c>
      <c r="M118" s="39">
        <v>54000</v>
      </c>
      <c r="N118" s="39">
        <f t="shared" si="2"/>
        <v>54000</v>
      </c>
      <c r="O118" s="38" t="s">
        <v>22</v>
      </c>
    </row>
    <row r="119" spans="1:15" ht="15" customHeight="1" x14ac:dyDescent="0.2">
      <c r="A119" s="24" t="s">
        <v>18</v>
      </c>
      <c r="B119" s="36" t="s">
        <v>2118</v>
      </c>
      <c r="C119" s="24">
        <f t="shared" si="3"/>
        <v>254</v>
      </c>
      <c r="D119" s="24">
        <v>1</v>
      </c>
      <c r="G119" s="37" t="s">
        <v>1569</v>
      </c>
      <c r="H119" s="24" t="s">
        <v>3389</v>
      </c>
      <c r="I119" s="24">
        <v>64277</v>
      </c>
      <c r="J119" s="24">
        <v>331</v>
      </c>
      <c r="K119" s="24" t="s">
        <v>21</v>
      </c>
      <c r="L119" s="24">
        <v>1</v>
      </c>
      <c r="M119" s="39">
        <v>99000</v>
      </c>
      <c r="N119" s="39">
        <f t="shared" si="2"/>
        <v>99000</v>
      </c>
      <c r="O119" s="38" t="s">
        <v>22</v>
      </c>
    </row>
    <row r="120" spans="1:15" ht="15" customHeight="1" x14ac:dyDescent="0.2">
      <c r="A120" s="24" t="s">
        <v>18</v>
      </c>
      <c r="B120" s="36" t="s">
        <v>1475</v>
      </c>
      <c r="C120" s="24">
        <f t="shared" si="3"/>
        <v>255</v>
      </c>
      <c r="D120" s="24">
        <v>1</v>
      </c>
      <c r="G120" s="37" t="s">
        <v>1569</v>
      </c>
      <c r="H120" s="24" t="s">
        <v>3390</v>
      </c>
      <c r="I120" s="24">
        <v>64277</v>
      </c>
      <c r="J120" s="24">
        <v>331</v>
      </c>
      <c r="K120" s="24" t="s">
        <v>21</v>
      </c>
      <c r="L120" s="24">
        <v>1</v>
      </c>
      <c r="M120" s="39">
        <v>50000</v>
      </c>
      <c r="N120" s="39">
        <f t="shared" si="2"/>
        <v>50000</v>
      </c>
      <c r="O120" s="38" t="s">
        <v>22</v>
      </c>
    </row>
    <row r="121" spans="1:15" ht="15" customHeight="1" x14ac:dyDescent="0.2">
      <c r="A121" s="24" t="s">
        <v>18</v>
      </c>
      <c r="B121" s="36" t="s">
        <v>2121</v>
      </c>
      <c r="C121" s="24">
        <f t="shared" si="3"/>
        <v>256</v>
      </c>
      <c r="D121" s="24">
        <v>1</v>
      </c>
      <c r="G121" s="37" t="s">
        <v>1569</v>
      </c>
      <c r="H121" s="24" t="s">
        <v>3391</v>
      </c>
      <c r="I121" s="24">
        <v>64277</v>
      </c>
      <c r="J121" s="24">
        <v>331</v>
      </c>
      <c r="K121" s="24" t="s">
        <v>21</v>
      </c>
      <c r="L121" s="24">
        <v>1</v>
      </c>
      <c r="M121" s="39">
        <v>119000</v>
      </c>
      <c r="N121" s="39">
        <f t="shared" ref="N121:N184" si="4">L121*M121</f>
        <v>119000</v>
      </c>
      <c r="O121" s="38" t="s">
        <v>22</v>
      </c>
    </row>
    <row r="122" spans="1:15" ht="15" customHeight="1" x14ac:dyDescent="0.2">
      <c r="A122" s="24" t="s">
        <v>18</v>
      </c>
      <c r="B122" s="36" t="s">
        <v>2121</v>
      </c>
      <c r="C122" s="24">
        <f t="shared" si="3"/>
        <v>257</v>
      </c>
      <c r="D122" s="24">
        <v>1</v>
      </c>
      <c r="G122" s="37" t="s">
        <v>1569</v>
      </c>
      <c r="H122" s="24" t="s">
        <v>3392</v>
      </c>
      <c r="I122" s="24">
        <v>64277</v>
      </c>
      <c r="J122" s="24">
        <v>331</v>
      </c>
      <c r="K122" s="24" t="s">
        <v>21</v>
      </c>
      <c r="L122" s="24">
        <v>1</v>
      </c>
      <c r="M122" s="39">
        <v>52000</v>
      </c>
      <c r="N122" s="39">
        <f t="shared" si="4"/>
        <v>52000</v>
      </c>
      <c r="O122" s="38" t="s">
        <v>22</v>
      </c>
    </row>
    <row r="123" spans="1:15" ht="15" customHeight="1" x14ac:dyDescent="0.2">
      <c r="A123" s="24" t="s">
        <v>18</v>
      </c>
      <c r="B123" s="36" t="s">
        <v>2232</v>
      </c>
      <c r="C123" s="24">
        <f t="shared" si="3"/>
        <v>258</v>
      </c>
      <c r="D123" s="24">
        <v>1</v>
      </c>
      <c r="G123" s="37" t="s">
        <v>1569</v>
      </c>
      <c r="H123" s="24" t="s">
        <v>3393</v>
      </c>
      <c r="I123" s="24">
        <v>64277</v>
      </c>
      <c r="J123" s="24">
        <v>331</v>
      </c>
      <c r="K123" s="24" t="s">
        <v>21</v>
      </c>
      <c r="L123" s="24">
        <v>1</v>
      </c>
      <c r="M123" s="39">
        <v>49000</v>
      </c>
      <c r="N123" s="39">
        <f t="shared" si="4"/>
        <v>49000</v>
      </c>
      <c r="O123" s="38" t="s">
        <v>22</v>
      </c>
    </row>
    <row r="124" spans="1:15" ht="15" customHeight="1" x14ac:dyDescent="0.2">
      <c r="A124" s="24" t="s">
        <v>18</v>
      </c>
      <c r="B124" s="36" t="s">
        <v>2232</v>
      </c>
      <c r="C124" s="24">
        <f t="shared" si="3"/>
        <v>259</v>
      </c>
      <c r="D124" s="24">
        <v>1</v>
      </c>
      <c r="G124" s="37" t="s">
        <v>1569</v>
      </c>
      <c r="H124" s="24" t="s">
        <v>3394</v>
      </c>
      <c r="I124" s="24">
        <v>64277</v>
      </c>
      <c r="J124" s="24">
        <v>331</v>
      </c>
      <c r="K124" s="24" t="s">
        <v>21</v>
      </c>
      <c r="L124" s="24">
        <v>1</v>
      </c>
      <c r="M124" s="39">
        <v>14000</v>
      </c>
      <c r="N124" s="39">
        <f t="shared" si="4"/>
        <v>14000</v>
      </c>
      <c r="O124" s="38" t="s">
        <v>22</v>
      </c>
    </row>
    <row r="125" spans="1:15" ht="15" customHeight="1" x14ac:dyDescent="0.2">
      <c r="A125" s="24" t="s">
        <v>18</v>
      </c>
      <c r="B125" s="36" t="s">
        <v>1411</v>
      </c>
      <c r="C125" s="24">
        <f t="shared" si="3"/>
        <v>260</v>
      </c>
      <c r="D125" s="24">
        <v>1</v>
      </c>
      <c r="G125" s="37" t="s">
        <v>1569</v>
      </c>
      <c r="H125" s="24" t="s">
        <v>3395</v>
      </c>
      <c r="I125" s="24">
        <v>64277</v>
      </c>
      <c r="J125" s="24">
        <v>331</v>
      </c>
      <c r="K125" s="24" t="s">
        <v>21</v>
      </c>
      <c r="L125" s="24">
        <v>1</v>
      </c>
      <c r="M125" s="39">
        <v>12000</v>
      </c>
      <c r="N125" s="39">
        <f t="shared" si="4"/>
        <v>12000</v>
      </c>
      <c r="O125" s="38" t="s">
        <v>22</v>
      </c>
    </row>
    <row r="126" spans="1:15" ht="15" customHeight="1" x14ac:dyDescent="0.2">
      <c r="A126" s="24" t="s">
        <v>18</v>
      </c>
      <c r="B126" s="36" t="s">
        <v>1411</v>
      </c>
      <c r="C126" s="24">
        <f t="shared" si="3"/>
        <v>261</v>
      </c>
      <c r="D126" s="24">
        <v>1</v>
      </c>
      <c r="G126" s="37" t="s">
        <v>1569</v>
      </c>
      <c r="H126" s="24" t="s">
        <v>3396</v>
      </c>
      <c r="I126" s="24">
        <v>64277</v>
      </c>
      <c r="J126" s="24">
        <v>331</v>
      </c>
      <c r="K126" s="24" t="s">
        <v>21</v>
      </c>
      <c r="L126" s="24">
        <v>1</v>
      </c>
      <c r="M126" s="39">
        <v>10000</v>
      </c>
      <c r="N126" s="39">
        <f t="shared" si="4"/>
        <v>10000</v>
      </c>
      <c r="O126" s="38" t="s">
        <v>22</v>
      </c>
    </row>
    <row r="127" spans="1:15" ht="15" customHeight="1" x14ac:dyDescent="0.2">
      <c r="A127" s="24" t="s">
        <v>18</v>
      </c>
      <c r="B127" s="36" t="s">
        <v>1476</v>
      </c>
      <c r="C127" s="24">
        <f t="shared" si="3"/>
        <v>262</v>
      </c>
      <c r="D127" s="24">
        <v>1</v>
      </c>
      <c r="G127" s="37" t="s">
        <v>1569</v>
      </c>
      <c r="H127" s="24" t="s">
        <v>3397</v>
      </c>
      <c r="I127" s="24">
        <v>64277</v>
      </c>
      <c r="J127" s="24">
        <v>331</v>
      </c>
      <c r="K127" s="24" t="s">
        <v>21</v>
      </c>
      <c r="L127" s="24">
        <v>1</v>
      </c>
      <c r="M127" s="39">
        <v>12000</v>
      </c>
      <c r="N127" s="39">
        <f t="shared" si="4"/>
        <v>12000</v>
      </c>
      <c r="O127" s="38" t="s">
        <v>22</v>
      </c>
    </row>
    <row r="128" spans="1:15" ht="15" customHeight="1" x14ac:dyDescent="0.2">
      <c r="A128" s="24" t="s">
        <v>18</v>
      </c>
      <c r="B128" s="36" t="s">
        <v>1476</v>
      </c>
      <c r="C128" s="24">
        <f t="shared" si="3"/>
        <v>263</v>
      </c>
      <c r="D128" s="24">
        <v>1</v>
      </c>
      <c r="G128" s="37" t="s">
        <v>1569</v>
      </c>
      <c r="H128" s="24" t="s">
        <v>3398</v>
      </c>
      <c r="I128" s="24">
        <v>64277</v>
      </c>
      <c r="J128" s="24">
        <v>331</v>
      </c>
      <c r="K128" s="24" t="s">
        <v>21</v>
      </c>
      <c r="L128" s="24">
        <v>1</v>
      </c>
      <c r="M128" s="39">
        <v>12000</v>
      </c>
      <c r="N128" s="39">
        <f t="shared" si="4"/>
        <v>12000</v>
      </c>
      <c r="O128" s="38" t="s">
        <v>22</v>
      </c>
    </row>
    <row r="129" spans="1:15" ht="15" customHeight="1" x14ac:dyDescent="0.2">
      <c r="A129" s="24" t="s">
        <v>18</v>
      </c>
      <c r="B129" s="36" t="s">
        <v>2123</v>
      </c>
      <c r="C129" s="24">
        <f t="shared" si="3"/>
        <v>264</v>
      </c>
      <c r="D129" s="24">
        <v>1</v>
      </c>
      <c r="G129" s="37" t="s">
        <v>1569</v>
      </c>
      <c r="H129" s="24" t="s">
        <v>3399</v>
      </c>
      <c r="I129" s="24">
        <v>64277</v>
      </c>
      <c r="J129" s="24">
        <v>331</v>
      </c>
      <c r="K129" s="24" t="s">
        <v>21</v>
      </c>
      <c r="L129" s="24">
        <v>1</v>
      </c>
      <c r="M129" s="39">
        <v>18000</v>
      </c>
      <c r="N129" s="39">
        <f t="shared" si="4"/>
        <v>18000</v>
      </c>
      <c r="O129" s="38" t="s">
        <v>22</v>
      </c>
    </row>
    <row r="130" spans="1:15" ht="15" customHeight="1" x14ac:dyDescent="0.2">
      <c r="A130" s="24" t="s">
        <v>18</v>
      </c>
      <c r="B130" s="36" t="s">
        <v>2123</v>
      </c>
      <c r="C130" s="24">
        <f t="shared" si="3"/>
        <v>265</v>
      </c>
      <c r="D130" s="24">
        <v>1</v>
      </c>
      <c r="G130" s="37" t="s">
        <v>1569</v>
      </c>
      <c r="H130" s="24" t="s">
        <v>3400</v>
      </c>
      <c r="I130" s="24">
        <v>64277</v>
      </c>
      <c r="J130" s="24">
        <v>331</v>
      </c>
      <c r="K130" s="24" t="s">
        <v>21</v>
      </c>
      <c r="L130" s="24">
        <v>1</v>
      </c>
      <c r="M130" s="39">
        <v>24000</v>
      </c>
      <c r="N130" s="39">
        <f t="shared" si="4"/>
        <v>24000</v>
      </c>
      <c r="O130" s="38" t="s">
        <v>22</v>
      </c>
    </row>
    <row r="131" spans="1:15" ht="15" customHeight="1" x14ac:dyDescent="0.2">
      <c r="A131" s="24" t="s">
        <v>18</v>
      </c>
      <c r="B131" s="36" t="s">
        <v>1412</v>
      </c>
      <c r="C131" s="24">
        <f t="shared" si="3"/>
        <v>266</v>
      </c>
      <c r="D131" s="24">
        <v>1</v>
      </c>
      <c r="G131" s="37" t="s">
        <v>1569</v>
      </c>
      <c r="H131" s="24" t="s">
        <v>3401</v>
      </c>
      <c r="I131" s="24">
        <v>64277</v>
      </c>
      <c r="J131" s="24">
        <v>331</v>
      </c>
      <c r="K131" s="24" t="s">
        <v>21</v>
      </c>
      <c r="L131" s="24">
        <v>1</v>
      </c>
      <c r="M131" s="39">
        <v>38000</v>
      </c>
      <c r="N131" s="39">
        <f t="shared" si="4"/>
        <v>38000</v>
      </c>
      <c r="O131" s="38" t="s">
        <v>22</v>
      </c>
    </row>
    <row r="132" spans="1:15" ht="15" customHeight="1" x14ac:dyDescent="0.2">
      <c r="A132" s="24" t="s">
        <v>18</v>
      </c>
      <c r="B132" s="36" t="s">
        <v>1412</v>
      </c>
      <c r="C132" s="24">
        <f t="shared" si="3"/>
        <v>267</v>
      </c>
      <c r="D132" s="24">
        <v>1</v>
      </c>
      <c r="G132" s="37" t="s">
        <v>1569</v>
      </c>
      <c r="H132" s="24" t="s">
        <v>3402</v>
      </c>
      <c r="I132" s="24">
        <v>64277</v>
      </c>
      <c r="J132" s="24">
        <v>331</v>
      </c>
      <c r="K132" s="24" t="s">
        <v>21</v>
      </c>
      <c r="L132" s="24">
        <v>1</v>
      </c>
      <c r="M132" s="39">
        <v>12000</v>
      </c>
      <c r="N132" s="39">
        <f t="shared" si="4"/>
        <v>12000</v>
      </c>
      <c r="O132" s="38" t="s">
        <v>22</v>
      </c>
    </row>
    <row r="133" spans="1:15" ht="15" customHeight="1" x14ac:dyDescent="0.2">
      <c r="A133" s="24" t="s">
        <v>18</v>
      </c>
      <c r="B133" s="36" t="s">
        <v>1412</v>
      </c>
      <c r="C133" s="24">
        <f t="shared" ref="C133:C196" si="5">C132+D133</f>
        <v>268</v>
      </c>
      <c r="D133" s="24">
        <v>1</v>
      </c>
      <c r="G133" s="37" t="s">
        <v>1569</v>
      </c>
      <c r="H133" s="24" t="s">
        <v>3403</v>
      </c>
      <c r="I133" s="24">
        <v>64277</v>
      </c>
      <c r="J133" s="24">
        <v>331</v>
      </c>
      <c r="K133" s="24" t="s">
        <v>21</v>
      </c>
      <c r="L133" s="24">
        <v>1</v>
      </c>
      <c r="M133" s="39">
        <v>12000</v>
      </c>
      <c r="N133" s="39">
        <f t="shared" si="4"/>
        <v>12000</v>
      </c>
      <c r="O133" s="38" t="s">
        <v>22</v>
      </c>
    </row>
    <row r="134" spans="1:15" ht="15" customHeight="1" x14ac:dyDescent="0.2">
      <c r="A134" s="24" t="s">
        <v>18</v>
      </c>
      <c r="B134" s="36" t="s">
        <v>1412</v>
      </c>
      <c r="C134" s="24">
        <f t="shared" si="5"/>
        <v>269</v>
      </c>
      <c r="D134" s="24">
        <v>1</v>
      </c>
      <c r="G134" s="37" t="s">
        <v>1569</v>
      </c>
      <c r="H134" s="24" t="s">
        <v>3404</v>
      </c>
      <c r="I134" s="24">
        <v>64277</v>
      </c>
      <c r="J134" s="24">
        <v>331</v>
      </c>
      <c r="K134" s="24" t="s">
        <v>21</v>
      </c>
      <c r="L134" s="24">
        <v>1</v>
      </c>
      <c r="M134" s="39">
        <v>12000</v>
      </c>
      <c r="N134" s="39">
        <f t="shared" si="4"/>
        <v>12000</v>
      </c>
      <c r="O134" s="38" t="s">
        <v>22</v>
      </c>
    </row>
    <row r="135" spans="1:15" ht="15" customHeight="1" x14ac:dyDescent="0.2">
      <c r="A135" s="24" t="s">
        <v>18</v>
      </c>
      <c r="B135" s="36" t="s">
        <v>1412</v>
      </c>
      <c r="C135" s="24">
        <f t="shared" si="5"/>
        <v>270</v>
      </c>
      <c r="D135" s="24">
        <v>1</v>
      </c>
      <c r="G135" s="37" t="s">
        <v>1569</v>
      </c>
      <c r="H135" s="24" t="s">
        <v>3405</v>
      </c>
      <c r="I135" s="24">
        <v>64277</v>
      </c>
      <c r="J135" s="24">
        <v>331</v>
      </c>
      <c r="K135" s="24" t="s">
        <v>21</v>
      </c>
      <c r="L135" s="24">
        <v>1</v>
      </c>
      <c r="M135" s="39">
        <v>12000</v>
      </c>
      <c r="N135" s="39">
        <f t="shared" si="4"/>
        <v>12000</v>
      </c>
      <c r="O135" s="38" t="s">
        <v>22</v>
      </c>
    </row>
    <row r="136" spans="1:15" ht="15" customHeight="1" x14ac:dyDescent="0.2">
      <c r="A136" s="24" t="s">
        <v>18</v>
      </c>
      <c r="B136" s="36" t="s">
        <v>1415</v>
      </c>
      <c r="C136" s="24">
        <f t="shared" si="5"/>
        <v>271</v>
      </c>
      <c r="D136" s="24">
        <v>1</v>
      </c>
      <c r="G136" s="37" t="s">
        <v>3152</v>
      </c>
      <c r="H136" s="24" t="s">
        <v>3478</v>
      </c>
      <c r="I136" s="24">
        <v>64277</v>
      </c>
      <c r="J136" s="24">
        <v>331</v>
      </c>
      <c r="K136" s="24" t="s">
        <v>21</v>
      </c>
      <c r="L136" s="24">
        <v>1</v>
      </c>
      <c r="M136" s="39">
        <v>540000</v>
      </c>
      <c r="N136" s="39">
        <f t="shared" si="4"/>
        <v>540000</v>
      </c>
      <c r="O136" s="38" t="s">
        <v>22</v>
      </c>
    </row>
    <row r="137" spans="1:15" ht="15" customHeight="1" x14ac:dyDescent="0.2">
      <c r="A137" s="24" t="s">
        <v>18</v>
      </c>
      <c r="B137" s="36" t="s">
        <v>1415</v>
      </c>
      <c r="C137" s="24">
        <f t="shared" si="5"/>
        <v>272</v>
      </c>
      <c r="D137" s="24">
        <v>1</v>
      </c>
      <c r="G137" s="37" t="s">
        <v>1569</v>
      </c>
      <c r="H137" s="24" t="s">
        <v>3406</v>
      </c>
      <c r="I137" s="24">
        <v>64277</v>
      </c>
      <c r="J137" s="24">
        <v>331</v>
      </c>
      <c r="K137" s="24" t="s">
        <v>21</v>
      </c>
      <c r="L137" s="24">
        <v>1</v>
      </c>
      <c r="M137" s="39">
        <v>12000</v>
      </c>
      <c r="N137" s="39">
        <f t="shared" si="4"/>
        <v>12000</v>
      </c>
      <c r="O137" s="38" t="s">
        <v>22</v>
      </c>
    </row>
    <row r="138" spans="1:15" ht="15" customHeight="1" x14ac:dyDescent="0.2">
      <c r="A138" s="24" t="s">
        <v>18</v>
      </c>
      <c r="B138" s="36" t="s">
        <v>1415</v>
      </c>
      <c r="C138" s="24">
        <f t="shared" si="5"/>
        <v>273</v>
      </c>
      <c r="D138" s="24">
        <v>1</v>
      </c>
      <c r="G138" s="37" t="s">
        <v>1569</v>
      </c>
      <c r="H138" s="24" t="s">
        <v>3407</v>
      </c>
      <c r="I138" s="24">
        <v>64277</v>
      </c>
      <c r="J138" s="24">
        <v>331</v>
      </c>
      <c r="K138" s="24" t="s">
        <v>21</v>
      </c>
      <c r="L138" s="24">
        <v>1</v>
      </c>
      <c r="M138" s="39">
        <v>12000</v>
      </c>
      <c r="N138" s="39">
        <f t="shared" si="4"/>
        <v>12000</v>
      </c>
      <c r="O138" s="38" t="s">
        <v>22</v>
      </c>
    </row>
    <row r="139" spans="1:15" ht="15" customHeight="1" x14ac:dyDescent="0.2">
      <c r="A139" s="24" t="s">
        <v>18</v>
      </c>
      <c r="B139" s="36" t="s">
        <v>1415</v>
      </c>
      <c r="C139" s="24">
        <f t="shared" si="5"/>
        <v>274</v>
      </c>
      <c r="D139" s="24">
        <v>1</v>
      </c>
      <c r="G139" s="37" t="s">
        <v>1569</v>
      </c>
      <c r="H139" s="24" t="s">
        <v>3408</v>
      </c>
      <c r="I139" s="24">
        <v>64277</v>
      </c>
      <c r="J139" s="24">
        <v>331</v>
      </c>
      <c r="K139" s="24" t="s">
        <v>21</v>
      </c>
      <c r="L139" s="24">
        <v>1</v>
      </c>
      <c r="M139" s="39">
        <v>12000</v>
      </c>
      <c r="N139" s="39">
        <f t="shared" si="4"/>
        <v>12000</v>
      </c>
      <c r="O139" s="38" t="s">
        <v>22</v>
      </c>
    </row>
    <row r="140" spans="1:15" ht="15" customHeight="1" x14ac:dyDescent="0.2">
      <c r="A140" s="24" t="s">
        <v>18</v>
      </c>
      <c r="B140" s="36" t="s">
        <v>1415</v>
      </c>
      <c r="C140" s="24">
        <f t="shared" si="5"/>
        <v>275</v>
      </c>
      <c r="D140" s="24">
        <v>1</v>
      </c>
      <c r="G140" s="37" t="s">
        <v>1569</v>
      </c>
      <c r="H140" s="24" t="s">
        <v>3409</v>
      </c>
      <c r="I140" s="24">
        <v>64277</v>
      </c>
      <c r="J140" s="24">
        <v>331</v>
      </c>
      <c r="K140" s="24" t="s">
        <v>21</v>
      </c>
      <c r="L140" s="24">
        <v>1</v>
      </c>
      <c r="M140" s="39">
        <v>12000</v>
      </c>
      <c r="N140" s="39">
        <f t="shared" si="4"/>
        <v>12000</v>
      </c>
      <c r="O140" s="38" t="s">
        <v>22</v>
      </c>
    </row>
    <row r="141" spans="1:15" ht="15" customHeight="1" x14ac:dyDescent="0.2">
      <c r="A141" s="24" t="s">
        <v>18</v>
      </c>
      <c r="B141" s="36" t="s">
        <v>1534</v>
      </c>
      <c r="C141" s="24">
        <f t="shared" si="5"/>
        <v>276</v>
      </c>
      <c r="D141" s="24">
        <v>1</v>
      </c>
      <c r="G141" s="37" t="s">
        <v>1569</v>
      </c>
      <c r="H141" s="24" t="s">
        <v>3410</v>
      </c>
      <c r="I141" s="24">
        <v>64277</v>
      </c>
      <c r="J141" s="24">
        <v>331</v>
      </c>
      <c r="K141" s="24" t="s">
        <v>21</v>
      </c>
      <c r="L141" s="24">
        <v>1</v>
      </c>
      <c r="M141" s="39">
        <v>25000</v>
      </c>
      <c r="N141" s="39">
        <f t="shared" si="4"/>
        <v>25000</v>
      </c>
      <c r="O141" s="38" t="s">
        <v>22</v>
      </c>
    </row>
    <row r="142" spans="1:15" ht="15" customHeight="1" x14ac:dyDescent="0.2">
      <c r="A142" s="24" t="s">
        <v>18</v>
      </c>
      <c r="B142" s="36" t="s">
        <v>1534</v>
      </c>
      <c r="C142" s="24">
        <f t="shared" si="5"/>
        <v>277</v>
      </c>
      <c r="D142" s="24">
        <v>1</v>
      </c>
      <c r="G142" s="37" t="s">
        <v>1569</v>
      </c>
      <c r="H142" s="24" t="s">
        <v>3411</v>
      </c>
      <c r="I142" s="24">
        <v>64277</v>
      </c>
      <c r="J142" s="24">
        <v>331</v>
      </c>
      <c r="K142" s="24" t="s">
        <v>21</v>
      </c>
      <c r="L142" s="24">
        <v>1</v>
      </c>
      <c r="M142" s="39">
        <v>25000</v>
      </c>
      <c r="N142" s="39">
        <f t="shared" si="4"/>
        <v>25000</v>
      </c>
      <c r="O142" s="38" t="s">
        <v>22</v>
      </c>
    </row>
    <row r="143" spans="1:15" ht="15" customHeight="1" x14ac:dyDescent="0.2">
      <c r="A143" s="24" t="s">
        <v>18</v>
      </c>
      <c r="B143" s="36" t="s">
        <v>1534</v>
      </c>
      <c r="C143" s="24">
        <f t="shared" si="5"/>
        <v>278</v>
      </c>
      <c r="D143" s="24">
        <v>1</v>
      </c>
      <c r="G143" s="37" t="s">
        <v>1569</v>
      </c>
      <c r="H143" s="24" t="s">
        <v>3412</v>
      </c>
      <c r="I143" s="24">
        <v>64277</v>
      </c>
      <c r="J143" s="24">
        <v>331</v>
      </c>
      <c r="K143" s="24" t="s">
        <v>21</v>
      </c>
      <c r="L143" s="24">
        <v>1</v>
      </c>
      <c r="M143" s="39">
        <v>12000</v>
      </c>
      <c r="N143" s="39">
        <f t="shared" si="4"/>
        <v>12000</v>
      </c>
      <c r="O143" s="38" t="s">
        <v>22</v>
      </c>
    </row>
    <row r="144" spans="1:15" ht="15" customHeight="1" x14ac:dyDescent="0.2">
      <c r="A144" s="24" t="s">
        <v>18</v>
      </c>
      <c r="B144" s="36" t="s">
        <v>1534</v>
      </c>
      <c r="C144" s="24">
        <f t="shared" si="5"/>
        <v>279</v>
      </c>
      <c r="D144" s="24">
        <v>1</v>
      </c>
      <c r="G144" s="37" t="s">
        <v>1569</v>
      </c>
      <c r="H144" s="24" t="s">
        <v>3413</v>
      </c>
      <c r="I144" s="24">
        <v>64277</v>
      </c>
      <c r="J144" s="24">
        <v>331</v>
      </c>
      <c r="K144" s="24" t="s">
        <v>21</v>
      </c>
      <c r="L144" s="24">
        <v>1</v>
      </c>
      <c r="M144" s="39">
        <v>12000</v>
      </c>
      <c r="N144" s="39">
        <f t="shared" si="4"/>
        <v>12000</v>
      </c>
      <c r="O144" s="38" t="s">
        <v>22</v>
      </c>
    </row>
    <row r="145" spans="1:15" ht="15" customHeight="1" x14ac:dyDescent="0.2">
      <c r="A145" s="24" t="s">
        <v>18</v>
      </c>
      <c r="B145" s="36" t="s">
        <v>1534</v>
      </c>
      <c r="C145" s="24">
        <f t="shared" si="5"/>
        <v>280</v>
      </c>
      <c r="D145" s="24">
        <v>1</v>
      </c>
      <c r="G145" s="37" t="s">
        <v>1569</v>
      </c>
      <c r="H145" s="24" t="s">
        <v>3414</v>
      </c>
      <c r="I145" s="24">
        <v>64277</v>
      </c>
      <c r="J145" s="24">
        <v>331</v>
      </c>
      <c r="K145" s="24" t="s">
        <v>21</v>
      </c>
      <c r="L145" s="24">
        <v>1</v>
      </c>
      <c r="M145" s="39">
        <v>12000</v>
      </c>
      <c r="N145" s="39">
        <f t="shared" si="4"/>
        <v>12000</v>
      </c>
      <c r="O145" s="38" t="s">
        <v>22</v>
      </c>
    </row>
    <row r="146" spans="1:15" ht="15" customHeight="1" x14ac:dyDescent="0.2">
      <c r="A146" s="24" t="s">
        <v>18</v>
      </c>
      <c r="B146" s="36" t="s">
        <v>1534</v>
      </c>
      <c r="C146" s="24">
        <f t="shared" si="5"/>
        <v>281</v>
      </c>
      <c r="D146" s="24">
        <v>1</v>
      </c>
      <c r="G146" s="37" t="s">
        <v>1569</v>
      </c>
      <c r="H146" s="24" t="s">
        <v>3415</v>
      </c>
      <c r="I146" s="24">
        <v>64277</v>
      </c>
      <c r="J146" s="24">
        <v>331</v>
      </c>
      <c r="K146" s="24" t="s">
        <v>21</v>
      </c>
      <c r="L146" s="24">
        <v>1</v>
      </c>
      <c r="M146" s="39">
        <v>12000</v>
      </c>
      <c r="N146" s="39">
        <f t="shared" si="4"/>
        <v>12000</v>
      </c>
      <c r="O146" s="38" t="s">
        <v>22</v>
      </c>
    </row>
    <row r="147" spans="1:15" ht="15" customHeight="1" x14ac:dyDescent="0.2">
      <c r="A147" s="24" t="s">
        <v>18</v>
      </c>
      <c r="B147" s="36" t="s">
        <v>1534</v>
      </c>
      <c r="C147" s="24">
        <f t="shared" si="5"/>
        <v>282</v>
      </c>
      <c r="D147" s="24">
        <v>1</v>
      </c>
      <c r="G147" s="37" t="s">
        <v>1569</v>
      </c>
      <c r="H147" s="24" t="s">
        <v>3416</v>
      </c>
      <c r="I147" s="24">
        <v>64277</v>
      </c>
      <c r="J147" s="24">
        <v>331</v>
      </c>
      <c r="K147" s="24" t="s">
        <v>21</v>
      </c>
      <c r="L147" s="24">
        <v>1</v>
      </c>
      <c r="M147" s="39">
        <v>12000</v>
      </c>
      <c r="N147" s="39">
        <f t="shared" si="4"/>
        <v>12000</v>
      </c>
      <c r="O147" s="38" t="s">
        <v>22</v>
      </c>
    </row>
    <row r="148" spans="1:15" ht="15" customHeight="1" x14ac:dyDescent="0.2">
      <c r="A148" s="24" t="s">
        <v>18</v>
      </c>
      <c r="B148" s="36" t="s">
        <v>1534</v>
      </c>
      <c r="C148" s="24">
        <f t="shared" si="5"/>
        <v>283</v>
      </c>
      <c r="D148" s="24">
        <v>1</v>
      </c>
      <c r="G148" s="37" t="s">
        <v>1569</v>
      </c>
      <c r="H148" s="24" t="s">
        <v>3417</v>
      </c>
      <c r="I148" s="24">
        <v>64277</v>
      </c>
      <c r="J148" s="24">
        <v>331</v>
      </c>
      <c r="K148" s="24" t="s">
        <v>21</v>
      </c>
      <c r="L148" s="24">
        <v>1</v>
      </c>
      <c r="M148" s="39">
        <v>12000</v>
      </c>
      <c r="N148" s="39">
        <f t="shared" si="4"/>
        <v>12000</v>
      </c>
      <c r="O148" s="38" t="s">
        <v>22</v>
      </c>
    </row>
    <row r="149" spans="1:15" ht="15" customHeight="1" x14ac:dyDescent="0.2">
      <c r="A149" s="24" t="s">
        <v>18</v>
      </c>
      <c r="B149" s="36" t="s">
        <v>1534</v>
      </c>
      <c r="C149" s="24">
        <f t="shared" si="5"/>
        <v>284</v>
      </c>
      <c r="D149" s="24">
        <v>1</v>
      </c>
      <c r="G149" s="37" t="s">
        <v>1569</v>
      </c>
      <c r="H149" s="24" t="s">
        <v>3418</v>
      </c>
      <c r="I149" s="24">
        <v>64277</v>
      </c>
      <c r="J149" s="24">
        <v>331</v>
      </c>
      <c r="K149" s="24" t="s">
        <v>21</v>
      </c>
      <c r="L149" s="24">
        <v>1</v>
      </c>
      <c r="M149" s="39">
        <v>12000</v>
      </c>
      <c r="N149" s="39">
        <f t="shared" si="4"/>
        <v>12000</v>
      </c>
      <c r="O149" s="38" t="s">
        <v>22</v>
      </c>
    </row>
    <row r="150" spans="1:15" ht="15" customHeight="1" x14ac:dyDescent="0.2">
      <c r="A150" s="24" t="s">
        <v>18</v>
      </c>
      <c r="B150" s="36" t="s">
        <v>1534</v>
      </c>
      <c r="C150" s="24">
        <f t="shared" si="5"/>
        <v>285</v>
      </c>
      <c r="D150" s="24">
        <v>1</v>
      </c>
      <c r="G150" s="37" t="s">
        <v>1569</v>
      </c>
      <c r="H150" s="24" t="s">
        <v>3419</v>
      </c>
      <c r="I150" s="24">
        <v>64277</v>
      </c>
      <c r="J150" s="24">
        <v>331</v>
      </c>
      <c r="K150" s="24" t="s">
        <v>21</v>
      </c>
      <c r="L150" s="24">
        <v>1</v>
      </c>
      <c r="M150" s="39">
        <v>12000</v>
      </c>
      <c r="N150" s="39">
        <f t="shared" si="4"/>
        <v>12000</v>
      </c>
      <c r="O150" s="38" t="s">
        <v>22</v>
      </c>
    </row>
    <row r="151" spans="1:15" ht="15" customHeight="1" x14ac:dyDescent="0.2">
      <c r="A151" s="24" t="s">
        <v>18</v>
      </c>
      <c r="B151" s="36" t="s">
        <v>1534</v>
      </c>
      <c r="C151" s="24">
        <f t="shared" si="5"/>
        <v>286</v>
      </c>
      <c r="D151" s="24">
        <v>1</v>
      </c>
      <c r="G151" s="37" t="s">
        <v>1569</v>
      </c>
      <c r="H151" s="24" t="s">
        <v>3420</v>
      </c>
      <c r="I151" s="24">
        <v>64277</v>
      </c>
      <c r="J151" s="24">
        <v>331</v>
      </c>
      <c r="K151" s="24" t="s">
        <v>21</v>
      </c>
      <c r="L151" s="24">
        <v>1</v>
      </c>
      <c r="M151" s="39">
        <v>12000</v>
      </c>
      <c r="N151" s="39">
        <f t="shared" si="4"/>
        <v>12000</v>
      </c>
      <c r="O151" s="38" t="s">
        <v>22</v>
      </c>
    </row>
    <row r="152" spans="1:15" ht="15" customHeight="1" x14ac:dyDescent="0.2">
      <c r="A152" s="24" t="s">
        <v>18</v>
      </c>
      <c r="B152" s="36" t="s">
        <v>1534</v>
      </c>
      <c r="C152" s="24">
        <f t="shared" si="5"/>
        <v>287</v>
      </c>
      <c r="D152" s="24">
        <v>1</v>
      </c>
      <c r="G152" s="37" t="s">
        <v>1569</v>
      </c>
      <c r="H152" s="24" t="s">
        <v>3421</v>
      </c>
      <c r="I152" s="24">
        <v>64277</v>
      </c>
      <c r="J152" s="24">
        <v>331</v>
      </c>
      <c r="K152" s="24" t="s">
        <v>21</v>
      </c>
      <c r="L152" s="24">
        <v>1</v>
      </c>
      <c r="M152" s="39">
        <v>12000</v>
      </c>
      <c r="N152" s="39">
        <f t="shared" si="4"/>
        <v>12000</v>
      </c>
      <c r="O152" s="38" t="s">
        <v>22</v>
      </c>
    </row>
    <row r="153" spans="1:15" ht="15" customHeight="1" x14ac:dyDescent="0.2">
      <c r="A153" s="24" t="s">
        <v>18</v>
      </c>
      <c r="B153" s="36" t="s">
        <v>1534</v>
      </c>
      <c r="C153" s="24">
        <f t="shared" si="5"/>
        <v>288</v>
      </c>
      <c r="D153" s="24">
        <v>1</v>
      </c>
      <c r="G153" s="37" t="s">
        <v>1569</v>
      </c>
      <c r="H153" s="24" t="s">
        <v>3422</v>
      </c>
      <c r="I153" s="24">
        <v>64277</v>
      </c>
      <c r="J153" s="24">
        <v>331</v>
      </c>
      <c r="K153" s="24" t="s">
        <v>21</v>
      </c>
      <c r="L153" s="24">
        <v>1</v>
      </c>
      <c r="M153" s="39">
        <v>12000</v>
      </c>
      <c r="N153" s="39">
        <f t="shared" si="4"/>
        <v>12000</v>
      </c>
      <c r="O153" s="38" t="s">
        <v>22</v>
      </c>
    </row>
    <row r="154" spans="1:15" ht="15" customHeight="1" x14ac:dyDescent="0.2">
      <c r="A154" s="24" t="s">
        <v>18</v>
      </c>
      <c r="B154" s="36" t="s">
        <v>1534</v>
      </c>
      <c r="C154" s="24">
        <f t="shared" si="5"/>
        <v>289</v>
      </c>
      <c r="D154" s="24">
        <v>1</v>
      </c>
      <c r="G154" s="37" t="s">
        <v>1569</v>
      </c>
      <c r="H154" s="24" t="s">
        <v>3423</v>
      </c>
      <c r="I154" s="24">
        <v>64277</v>
      </c>
      <c r="J154" s="24">
        <v>331</v>
      </c>
      <c r="K154" s="24" t="s">
        <v>21</v>
      </c>
      <c r="L154" s="24">
        <v>1</v>
      </c>
      <c r="M154" s="39">
        <v>12000</v>
      </c>
      <c r="N154" s="39">
        <f t="shared" si="4"/>
        <v>12000</v>
      </c>
      <c r="O154" s="38" t="s">
        <v>22</v>
      </c>
    </row>
    <row r="155" spans="1:15" ht="15" customHeight="1" x14ac:dyDescent="0.2">
      <c r="A155" s="24" t="s">
        <v>18</v>
      </c>
      <c r="B155" s="36" t="s">
        <v>1534</v>
      </c>
      <c r="C155" s="24">
        <f t="shared" si="5"/>
        <v>290</v>
      </c>
      <c r="D155" s="24">
        <v>1</v>
      </c>
      <c r="G155" s="37" t="s">
        <v>1569</v>
      </c>
      <c r="H155" s="24" t="s">
        <v>3424</v>
      </c>
      <c r="I155" s="24">
        <v>64277</v>
      </c>
      <c r="J155" s="24">
        <v>331</v>
      </c>
      <c r="K155" s="24" t="s">
        <v>21</v>
      </c>
      <c r="L155" s="24">
        <v>1</v>
      </c>
      <c r="M155" s="39">
        <v>12000</v>
      </c>
      <c r="N155" s="39">
        <f t="shared" si="4"/>
        <v>12000</v>
      </c>
      <c r="O155" s="38" t="s">
        <v>22</v>
      </c>
    </row>
    <row r="156" spans="1:15" ht="15" customHeight="1" x14ac:dyDescent="0.2">
      <c r="A156" s="24" t="s">
        <v>18</v>
      </c>
      <c r="B156" s="36" t="s">
        <v>2047</v>
      </c>
      <c r="C156" s="24">
        <f t="shared" si="5"/>
        <v>291</v>
      </c>
      <c r="D156" s="24">
        <v>1</v>
      </c>
      <c r="G156" s="37" t="s">
        <v>1351</v>
      </c>
      <c r="H156" s="24" t="s">
        <v>3425</v>
      </c>
      <c r="I156" s="24">
        <v>64277</v>
      </c>
      <c r="J156" s="24">
        <v>331</v>
      </c>
      <c r="K156" s="24" t="s">
        <v>21</v>
      </c>
      <c r="L156" s="24">
        <v>1</v>
      </c>
      <c r="M156" s="39">
        <v>12000</v>
      </c>
      <c r="N156" s="39">
        <f t="shared" si="4"/>
        <v>12000</v>
      </c>
      <c r="O156" s="38" t="s">
        <v>22</v>
      </c>
    </row>
    <row r="157" spans="1:15" ht="15" customHeight="1" x14ac:dyDescent="0.2">
      <c r="A157" s="24" t="s">
        <v>18</v>
      </c>
      <c r="B157" s="36" t="s">
        <v>2047</v>
      </c>
      <c r="C157" s="24">
        <f t="shared" si="5"/>
        <v>292</v>
      </c>
      <c r="D157" s="24">
        <v>1</v>
      </c>
      <c r="G157" s="37" t="s">
        <v>1569</v>
      </c>
      <c r="H157" s="24" t="s">
        <v>3426</v>
      </c>
      <c r="I157" s="24">
        <v>64277</v>
      </c>
      <c r="J157" s="24">
        <v>331</v>
      </c>
      <c r="K157" s="24" t="s">
        <v>21</v>
      </c>
      <c r="L157" s="24">
        <v>1</v>
      </c>
      <c r="M157" s="39">
        <v>12000</v>
      </c>
      <c r="N157" s="39">
        <f t="shared" si="4"/>
        <v>12000</v>
      </c>
      <c r="O157" s="38" t="s">
        <v>22</v>
      </c>
    </row>
    <row r="158" spans="1:15" ht="15" customHeight="1" x14ac:dyDescent="0.2">
      <c r="A158" s="24" t="s">
        <v>18</v>
      </c>
      <c r="B158" s="36" t="s">
        <v>2047</v>
      </c>
      <c r="C158" s="24">
        <f t="shared" si="5"/>
        <v>293</v>
      </c>
      <c r="D158" s="24">
        <v>1</v>
      </c>
      <c r="G158" s="37" t="s">
        <v>1569</v>
      </c>
      <c r="H158" s="24" t="s">
        <v>3427</v>
      </c>
      <c r="I158" s="24">
        <v>64277</v>
      </c>
      <c r="J158" s="24">
        <v>331</v>
      </c>
      <c r="K158" s="24" t="s">
        <v>21</v>
      </c>
      <c r="L158" s="24">
        <v>1</v>
      </c>
      <c r="M158" s="39">
        <v>38000</v>
      </c>
      <c r="N158" s="39">
        <f t="shared" si="4"/>
        <v>38000</v>
      </c>
      <c r="O158" s="38" t="s">
        <v>22</v>
      </c>
    </row>
    <row r="159" spans="1:15" ht="15" customHeight="1" x14ac:dyDescent="0.2">
      <c r="A159" s="24" t="s">
        <v>18</v>
      </c>
      <c r="B159" s="36" t="s">
        <v>2047</v>
      </c>
      <c r="C159" s="24">
        <f t="shared" si="5"/>
        <v>294</v>
      </c>
      <c r="D159" s="24">
        <v>1</v>
      </c>
      <c r="G159" s="37" t="s">
        <v>1569</v>
      </c>
      <c r="H159" s="24" t="s">
        <v>3428</v>
      </c>
      <c r="I159" s="24">
        <v>64277</v>
      </c>
      <c r="J159" s="24">
        <v>331</v>
      </c>
      <c r="K159" s="24" t="s">
        <v>21</v>
      </c>
      <c r="L159" s="24">
        <v>1</v>
      </c>
      <c r="M159" s="39">
        <v>33000</v>
      </c>
      <c r="N159" s="39">
        <f t="shared" si="4"/>
        <v>33000</v>
      </c>
      <c r="O159" s="38" t="s">
        <v>22</v>
      </c>
    </row>
    <row r="160" spans="1:15" ht="15" customHeight="1" x14ac:dyDescent="0.2">
      <c r="A160" s="24" t="s">
        <v>18</v>
      </c>
      <c r="B160" s="36" t="s">
        <v>2047</v>
      </c>
      <c r="C160" s="24">
        <f t="shared" si="5"/>
        <v>295</v>
      </c>
      <c r="D160" s="24">
        <v>1</v>
      </c>
      <c r="G160" s="37" t="s">
        <v>1569</v>
      </c>
      <c r="H160" s="24" t="s">
        <v>3429</v>
      </c>
      <c r="I160" s="24">
        <v>64277</v>
      </c>
      <c r="J160" s="24">
        <v>331</v>
      </c>
      <c r="K160" s="24" t="s">
        <v>21</v>
      </c>
      <c r="L160" s="24">
        <v>1</v>
      </c>
      <c r="M160" s="39">
        <v>15000</v>
      </c>
      <c r="N160" s="39">
        <f t="shared" si="4"/>
        <v>15000</v>
      </c>
      <c r="O160" s="38" t="s">
        <v>22</v>
      </c>
    </row>
    <row r="161" spans="1:15" ht="15" customHeight="1" x14ac:dyDescent="0.2">
      <c r="A161" s="24" t="s">
        <v>18</v>
      </c>
      <c r="B161" s="36" t="s">
        <v>2339</v>
      </c>
      <c r="C161" s="24">
        <f t="shared" si="5"/>
        <v>296</v>
      </c>
      <c r="D161" s="24">
        <v>1</v>
      </c>
      <c r="G161" s="37" t="s">
        <v>1569</v>
      </c>
      <c r="H161" s="24" t="s">
        <v>3430</v>
      </c>
      <c r="I161" s="24">
        <v>64277</v>
      </c>
      <c r="J161" s="24">
        <v>331</v>
      </c>
      <c r="K161" s="24" t="s">
        <v>21</v>
      </c>
      <c r="L161" s="24">
        <v>1</v>
      </c>
      <c r="M161" s="39">
        <v>131000</v>
      </c>
      <c r="N161" s="39">
        <f t="shared" si="4"/>
        <v>131000</v>
      </c>
      <c r="O161" s="38" t="s">
        <v>22</v>
      </c>
    </row>
    <row r="162" spans="1:15" ht="15" customHeight="1" x14ac:dyDescent="0.2">
      <c r="A162" s="24" t="s">
        <v>18</v>
      </c>
      <c r="B162" s="36" t="s">
        <v>2481</v>
      </c>
      <c r="C162" s="24">
        <f t="shared" si="5"/>
        <v>297</v>
      </c>
      <c r="D162" s="24">
        <v>1</v>
      </c>
      <c r="G162" s="37" t="s">
        <v>1351</v>
      </c>
      <c r="H162" s="24" t="s">
        <v>3431</v>
      </c>
      <c r="I162" s="24">
        <v>64277</v>
      </c>
      <c r="J162" s="24">
        <v>331</v>
      </c>
      <c r="K162" s="24" t="s">
        <v>21</v>
      </c>
      <c r="L162" s="24">
        <v>1</v>
      </c>
      <c r="M162" s="39">
        <v>75000</v>
      </c>
      <c r="N162" s="39">
        <f t="shared" si="4"/>
        <v>75000</v>
      </c>
      <c r="O162" s="38" t="s">
        <v>22</v>
      </c>
    </row>
    <row r="163" spans="1:15" ht="15" customHeight="1" x14ac:dyDescent="0.2">
      <c r="A163" s="24" t="s">
        <v>18</v>
      </c>
      <c r="B163" s="36" t="s">
        <v>2482</v>
      </c>
      <c r="C163" s="24">
        <f t="shared" si="5"/>
        <v>298</v>
      </c>
      <c r="D163" s="24">
        <v>1</v>
      </c>
      <c r="G163" s="37" t="s">
        <v>3153</v>
      </c>
      <c r="H163" s="24" t="s">
        <v>3485</v>
      </c>
      <c r="I163" s="24">
        <v>6425</v>
      </c>
      <c r="J163" s="24">
        <v>331</v>
      </c>
      <c r="K163" s="24" t="s">
        <v>21</v>
      </c>
      <c r="L163" s="24">
        <v>1</v>
      </c>
      <c r="M163" s="39">
        <v>62</v>
      </c>
      <c r="N163" s="39">
        <f t="shared" si="4"/>
        <v>62</v>
      </c>
      <c r="O163" s="38" t="s">
        <v>22</v>
      </c>
    </row>
    <row r="164" spans="1:15" ht="15" customHeight="1" x14ac:dyDescent="0.2">
      <c r="A164" s="24" t="s">
        <v>18</v>
      </c>
      <c r="B164" s="36" t="s">
        <v>2119</v>
      </c>
      <c r="C164" s="24">
        <f t="shared" si="5"/>
        <v>299</v>
      </c>
      <c r="D164" s="24">
        <v>1</v>
      </c>
      <c r="G164" s="37" t="s">
        <v>3154</v>
      </c>
      <c r="H164" s="24" t="s">
        <v>3481</v>
      </c>
      <c r="I164" s="24">
        <v>64277</v>
      </c>
      <c r="J164" s="24">
        <v>331</v>
      </c>
      <c r="K164" s="24" t="s">
        <v>21</v>
      </c>
      <c r="L164" s="24">
        <v>1</v>
      </c>
      <c r="M164" s="39">
        <v>103000</v>
      </c>
      <c r="N164" s="39">
        <f t="shared" si="4"/>
        <v>103000</v>
      </c>
      <c r="O164" s="38" t="s">
        <v>22</v>
      </c>
    </row>
    <row r="165" spans="1:15" ht="15" customHeight="1" x14ac:dyDescent="0.2">
      <c r="A165" s="24" t="s">
        <v>18</v>
      </c>
      <c r="B165" s="36" t="s">
        <v>2119</v>
      </c>
      <c r="C165" s="24">
        <f t="shared" si="5"/>
        <v>300</v>
      </c>
      <c r="D165" s="24">
        <v>1</v>
      </c>
      <c r="G165" s="37" t="s">
        <v>1569</v>
      </c>
      <c r="H165" s="24" t="s">
        <v>3432</v>
      </c>
      <c r="I165" s="24">
        <v>64277</v>
      </c>
      <c r="J165" s="24">
        <v>331</v>
      </c>
      <c r="K165" s="24" t="s">
        <v>21</v>
      </c>
      <c r="L165" s="24">
        <v>1</v>
      </c>
      <c r="M165" s="39">
        <v>153000</v>
      </c>
      <c r="N165" s="39">
        <f t="shared" si="4"/>
        <v>153000</v>
      </c>
      <c r="O165" s="38" t="s">
        <v>22</v>
      </c>
    </row>
    <row r="166" spans="1:15" ht="15" customHeight="1" x14ac:dyDescent="0.2">
      <c r="A166" s="24" t="s">
        <v>18</v>
      </c>
      <c r="B166" s="36" t="s">
        <v>2119</v>
      </c>
      <c r="C166" s="24">
        <f t="shared" si="5"/>
        <v>301</v>
      </c>
      <c r="D166" s="24">
        <v>1</v>
      </c>
      <c r="G166" s="37" t="s">
        <v>1569</v>
      </c>
      <c r="H166" s="24" t="s">
        <v>3433</v>
      </c>
      <c r="I166" s="24">
        <v>64277</v>
      </c>
      <c r="J166" s="24">
        <v>331</v>
      </c>
      <c r="K166" s="24" t="s">
        <v>21</v>
      </c>
      <c r="L166" s="24">
        <v>1</v>
      </c>
      <c r="M166" s="39">
        <v>12000</v>
      </c>
      <c r="N166" s="39">
        <f t="shared" si="4"/>
        <v>12000</v>
      </c>
      <c r="O166" s="38" t="s">
        <v>22</v>
      </c>
    </row>
    <row r="167" spans="1:15" ht="15" customHeight="1" x14ac:dyDescent="0.2">
      <c r="A167" s="24" t="s">
        <v>18</v>
      </c>
      <c r="B167" s="36" t="s">
        <v>2119</v>
      </c>
      <c r="C167" s="24">
        <f t="shared" si="5"/>
        <v>302</v>
      </c>
      <c r="D167" s="24">
        <v>1</v>
      </c>
      <c r="G167" s="37" t="s">
        <v>1569</v>
      </c>
      <c r="H167" s="24" t="s">
        <v>3434</v>
      </c>
      <c r="I167" s="24">
        <v>64277</v>
      </c>
      <c r="J167" s="24">
        <v>331</v>
      </c>
      <c r="K167" s="24" t="s">
        <v>21</v>
      </c>
      <c r="L167" s="24">
        <v>1</v>
      </c>
      <c r="M167" s="39">
        <v>14000</v>
      </c>
      <c r="N167" s="39">
        <f t="shared" si="4"/>
        <v>14000</v>
      </c>
      <c r="O167" s="38" t="s">
        <v>22</v>
      </c>
    </row>
    <row r="168" spans="1:15" ht="15" customHeight="1" x14ac:dyDescent="0.2">
      <c r="A168" s="24" t="s">
        <v>18</v>
      </c>
      <c r="B168" s="36" t="s">
        <v>1411</v>
      </c>
      <c r="C168" s="24">
        <f t="shared" si="5"/>
        <v>303</v>
      </c>
      <c r="D168" s="24">
        <v>1</v>
      </c>
      <c r="G168" s="37" t="s">
        <v>3155</v>
      </c>
      <c r="H168" s="24" t="s">
        <v>3471</v>
      </c>
      <c r="I168" s="24">
        <v>64277</v>
      </c>
      <c r="J168" s="24">
        <v>331</v>
      </c>
      <c r="K168" s="24" t="s">
        <v>21</v>
      </c>
      <c r="L168" s="24">
        <v>1</v>
      </c>
      <c r="M168" s="39">
        <v>1584000</v>
      </c>
      <c r="N168" s="39">
        <f t="shared" si="4"/>
        <v>1584000</v>
      </c>
      <c r="O168" s="38" t="s">
        <v>22</v>
      </c>
    </row>
    <row r="169" spans="1:15" ht="15" customHeight="1" x14ac:dyDescent="0.2">
      <c r="A169" s="24" t="s">
        <v>18</v>
      </c>
      <c r="B169" s="36" t="s">
        <v>1477</v>
      </c>
      <c r="C169" s="24">
        <f t="shared" si="5"/>
        <v>304</v>
      </c>
      <c r="D169" s="24">
        <v>1</v>
      </c>
      <c r="G169" s="37" t="s">
        <v>92</v>
      </c>
      <c r="H169" s="24" t="s">
        <v>3470</v>
      </c>
      <c r="I169" s="24">
        <v>64277</v>
      </c>
      <c r="J169" s="24">
        <v>331</v>
      </c>
      <c r="K169" s="24" t="s">
        <v>21</v>
      </c>
      <c r="L169" s="24">
        <v>1</v>
      </c>
      <c r="M169" s="39">
        <v>1270000</v>
      </c>
      <c r="N169" s="39">
        <f t="shared" si="4"/>
        <v>1270000</v>
      </c>
      <c r="O169" s="38" t="s">
        <v>22</v>
      </c>
    </row>
    <row r="170" spans="1:15" ht="15" customHeight="1" x14ac:dyDescent="0.2">
      <c r="A170" s="24" t="s">
        <v>18</v>
      </c>
      <c r="B170" s="36" t="s">
        <v>1534</v>
      </c>
      <c r="C170" s="24">
        <f t="shared" si="5"/>
        <v>305</v>
      </c>
      <c r="D170" s="24">
        <v>1</v>
      </c>
      <c r="G170" s="37" t="s">
        <v>1744</v>
      </c>
      <c r="H170" s="24" t="s">
        <v>3469</v>
      </c>
      <c r="I170" s="24">
        <v>64277</v>
      </c>
      <c r="J170" s="24">
        <v>331</v>
      </c>
      <c r="K170" s="24" t="s">
        <v>21</v>
      </c>
      <c r="L170" s="24">
        <v>1</v>
      </c>
      <c r="M170" s="39">
        <v>976320</v>
      </c>
      <c r="N170" s="39">
        <f t="shared" si="4"/>
        <v>976320</v>
      </c>
      <c r="O170" s="38" t="s">
        <v>22</v>
      </c>
    </row>
    <row r="171" spans="1:15" ht="15" customHeight="1" x14ac:dyDescent="0.2">
      <c r="A171" s="24" t="s">
        <v>18</v>
      </c>
      <c r="B171" s="36" t="s">
        <v>2481</v>
      </c>
      <c r="C171" s="24">
        <f t="shared" si="5"/>
        <v>306</v>
      </c>
      <c r="D171" s="24">
        <v>1</v>
      </c>
      <c r="G171" s="37" t="s">
        <v>893</v>
      </c>
      <c r="H171" s="24" t="s">
        <v>3479</v>
      </c>
      <c r="I171" s="24">
        <v>64277</v>
      </c>
      <c r="J171" s="24">
        <v>331</v>
      </c>
      <c r="K171" s="24" t="s">
        <v>21</v>
      </c>
      <c r="L171" s="24">
        <v>1</v>
      </c>
      <c r="M171" s="39">
        <v>15134000</v>
      </c>
      <c r="N171" s="39">
        <f t="shared" si="4"/>
        <v>15134000</v>
      </c>
      <c r="O171" s="38" t="s">
        <v>22</v>
      </c>
    </row>
    <row r="172" spans="1:15" ht="15" customHeight="1" x14ac:dyDescent="0.2">
      <c r="A172" s="24" t="s">
        <v>18</v>
      </c>
      <c r="B172" s="36" t="s">
        <v>1478</v>
      </c>
      <c r="C172" s="24">
        <f t="shared" si="5"/>
        <v>307</v>
      </c>
      <c r="D172" s="24">
        <v>1</v>
      </c>
      <c r="G172" s="37" t="s">
        <v>3156</v>
      </c>
      <c r="H172" s="24" t="s">
        <v>3468</v>
      </c>
      <c r="I172" s="24">
        <v>64277</v>
      </c>
      <c r="J172" s="24">
        <v>331</v>
      </c>
      <c r="K172" s="24" t="s">
        <v>21</v>
      </c>
      <c r="L172" s="24">
        <v>1</v>
      </c>
      <c r="M172" s="39">
        <v>2651728</v>
      </c>
      <c r="N172" s="39">
        <f t="shared" si="4"/>
        <v>2651728</v>
      </c>
      <c r="O172" s="38" t="s">
        <v>22</v>
      </c>
    </row>
    <row r="173" spans="1:15" ht="15" customHeight="1" x14ac:dyDescent="0.2">
      <c r="A173" s="24" t="s">
        <v>18</v>
      </c>
      <c r="B173" s="36" t="s">
        <v>1478</v>
      </c>
      <c r="C173" s="24">
        <f t="shared" si="5"/>
        <v>308</v>
      </c>
      <c r="D173" s="24">
        <v>1</v>
      </c>
      <c r="G173" s="37" t="s">
        <v>1569</v>
      </c>
      <c r="H173" s="24" t="s">
        <v>3435</v>
      </c>
      <c r="I173" s="24">
        <v>64277</v>
      </c>
      <c r="J173" s="24">
        <v>331</v>
      </c>
      <c r="K173" s="24" t="s">
        <v>21</v>
      </c>
      <c r="L173" s="24">
        <v>1</v>
      </c>
      <c r="M173" s="39">
        <v>12000</v>
      </c>
      <c r="N173" s="39">
        <f t="shared" si="4"/>
        <v>12000</v>
      </c>
      <c r="O173" s="38" t="s">
        <v>22</v>
      </c>
    </row>
    <row r="174" spans="1:15" ht="15" customHeight="1" x14ac:dyDescent="0.2">
      <c r="A174" s="24" t="s">
        <v>18</v>
      </c>
      <c r="B174" s="36" t="s">
        <v>1478</v>
      </c>
      <c r="C174" s="24">
        <f t="shared" si="5"/>
        <v>309</v>
      </c>
      <c r="D174" s="24">
        <v>1</v>
      </c>
      <c r="G174" s="37" t="s">
        <v>1569</v>
      </c>
      <c r="H174" s="24" t="s">
        <v>3436</v>
      </c>
      <c r="I174" s="24">
        <v>64277</v>
      </c>
      <c r="J174" s="24">
        <v>331</v>
      </c>
      <c r="K174" s="24" t="s">
        <v>21</v>
      </c>
      <c r="L174" s="24">
        <v>1</v>
      </c>
      <c r="M174" s="39">
        <v>10000</v>
      </c>
      <c r="N174" s="39">
        <f t="shared" si="4"/>
        <v>10000</v>
      </c>
      <c r="O174" s="38" t="s">
        <v>22</v>
      </c>
    </row>
    <row r="175" spans="1:15" ht="15" customHeight="1" x14ac:dyDescent="0.2">
      <c r="A175" s="24" t="s">
        <v>18</v>
      </c>
      <c r="B175" s="36" t="s">
        <v>2077</v>
      </c>
      <c r="C175" s="24">
        <f t="shared" si="5"/>
        <v>310</v>
      </c>
      <c r="D175" s="24">
        <v>1</v>
      </c>
      <c r="G175" s="37" t="s">
        <v>1569</v>
      </c>
      <c r="H175" s="24" t="s">
        <v>3437</v>
      </c>
      <c r="I175" s="24">
        <v>64277</v>
      </c>
      <c r="J175" s="24">
        <v>331</v>
      </c>
      <c r="K175" s="24" t="s">
        <v>21</v>
      </c>
      <c r="L175" s="24">
        <v>1</v>
      </c>
      <c r="M175" s="39">
        <v>40000</v>
      </c>
      <c r="N175" s="39">
        <f t="shared" si="4"/>
        <v>40000</v>
      </c>
      <c r="O175" s="38" t="s">
        <v>22</v>
      </c>
    </row>
    <row r="176" spans="1:15" ht="15" customHeight="1" x14ac:dyDescent="0.2">
      <c r="A176" s="24" t="s">
        <v>18</v>
      </c>
      <c r="B176" s="36" t="s">
        <v>2077</v>
      </c>
      <c r="C176" s="24">
        <f t="shared" si="5"/>
        <v>311</v>
      </c>
      <c r="D176" s="24">
        <v>1</v>
      </c>
      <c r="G176" s="37" t="s">
        <v>1569</v>
      </c>
      <c r="H176" s="24" t="s">
        <v>3438</v>
      </c>
      <c r="I176" s="24">
        <v>64277</v>
      </c>
      <c r="J176" s="24">
        <v>331</v>
      </c>
      <c r="K176" s="24" t="s">
        <v>21</v>
      </c>
      <c r="L176" s="24">
        <v>1</v>
      </c>
      <c r="M176" s="39">
        <v>13000</v>
      </c>
      <c r="N176" s="39">
        <f t="shared" si="4"/>
        <v>13000</v>
      </c>
      <c r="O176" s="38" t="s">
        <v>22</v>
      </c>
    </row>
    <row r="177" spans="1:15" ht="15" customHeight="1" x14ac:dyDescent="0.2">
      <c r="A177" s="24" t="s">
        <v>18</v>
      </c>
      <c r="B177" s="36" t="s">
        <v>2077</v>
      </c>
      <c r="C177" s="24">
        <f t="shared" si="5"/>
        <v>312</v>
      </c>
      <c r="D177" s="24">
        <v>1</v>
      </c>
      <c r="G177" s="37" t="s">
        <v>1569</v>
      </c>
      <c r="H177" s="24" t="s">
        <v>3439</v>
      </c>
      <c r="I177" s="24">
        <v>64277</v>
      </c>
      <c r="J177" s="24">
        <v>331</v>
      </c>
      <c r="K177" s="24" t="s">
        <v>21</v>
      </c>
      <c r="L177" s="24">
        <v>1</v>
      </c>
      <c r="M177" s="39">
        <v>145000</v>
      </c>
      <c r="N177" s="39">
        <f t="shared" si="4"/>
        <v>145000</v>
      </c>
      <c r="O177" s="38" t="s">
        <v>22</v>
      </c>
    </row>
    <row r="178" spans="1:15" ht="15" customHeight="1" x14ac:dyDescent="0.2">
      <c r="A178" s="24" t="s">
        <v>18</v>
      </c>
      <c r="B178" s="36" t="s">
        <v>2049</v>
      </c>
      <c r="C178" s="24">
        <f t="shared" si="5"/>
        <v>313</v>
      </c>
      <c r="D178" s="24">
        <v>1</v>
      </c>
      <c r="G178" s="37" t="s">
        <v>1569</v>
      </c>
      <c r="H178" s="24" t="s">
        <v>3440</v>
      </c>
      <c r="I178" s="24">
        <v>64277</v>
      </c>
      <c r="J178" s="24">
        <v>331</v>
      </c>
      <c r="K178" s="24" t="s">
        <v>21</v>
      </c>
      <c r="L178" s="24">
        <v>1</v>
      </c>
      <c r="M178" s="39">
        <v>25000</v>
      </c>
      <c r="N178" s="39">
        <f t="shared" si="4"/>
        <v>25000</v>
      </c>
      <c r="O178" s="38" t="s">
        <v>22</v>
      </c>
    </row>
    <row r="179" spans="1:15" ht="15" customHeight="1" x14ac:dyDescent="0.2">
      <c r="A179" s="24" t="s">
        <v>18</v>
      </c>
      <c r="B179" s="36" t="s">
        <v>2483</v>
      </c>
      <c r="C179" s="24">
        <f t="shared" si="5"/>
        <v>314</v>
      </c>
      <c r="D179" s="24">
        <v>1</v>
      </c>
      <c r="G179" s="37" t="s">
        <v>1569</v>
      </c>
      <c r="H179" s="24" t="s">
        <v>3441</v>
      </c>
      <c r="I179" s="24">
        <v>64277</v>
      </c>
      <c r="J179" s="24">
        <v>331</v>
      </c>
      <c r="K179" s="24" t="s">
        <v>21</v>
      </c>
      <c r="L179" s="24">
        <v>1</v>
      </c>
      <c r="M179" s="39">
        <v>91000</v>
      </c>
      <c r="N179" s="39">
        <f t="shared" si="4"/>
        <v>91000</v>
      </c>
      <c r="O179" s="38" t="s">
        <v>22</v>
      </c>
    </row>
    <row r="180" spans="1:15" ht="15" customHeight="1" x14ac:dyDescent="0.2">
      <c r="A180" s="24" t="s">
        <v>18</v>
      </c>
      <c r="B180" s="36" t="s">
        <v>2050</v>
      </c>
      <c r="C180" s="24">
        <f t="shared" si="5"/>
        <v>315</v>
      </c>
      <c r="D180" s="24">
        <v>1</v>
      </c>
      <c r="G180" s="37" t="s">
        <v>1569</v>
      </c>
      <c r="H180" s="24" t="s">
        <v>3442</v>
      </c>
      <c r="I180" s="24">
        <v>64277</v>
      </c>
      <c r="J180" s="24">
        <v>331</v>
      </c>
      <c r="K180" s="24" t="s">
        <v>21</v>
      </c>
      <c r="L180" s="24">
        <v>1</v>
      </c>
      <c r="M180" s="39">
        <v>35000</v>
      </c>
      <c r="N180" s="39">
        <f t="shared" si="4"/>
        <v>35000</v>
      </c>
      <c r="O180" s="38" t="s">
        <v>22</v>
      </c>
    </row>
    <row r="181" spans="1:15" ht="15" customHeight="1" x14ac:dyDescent="0.2">
      <c r="A181" s="24" t="s">
        <v>18</v>
      </c>
      <c r="B181" s="36" t="s">
        <v>2050</v>
      </c>
      <c r="C181" s="24">
        <f t="shared" si="5"/>
        <v>316</v>
      </c>
      <c r="D181" s="24">
        <v>1</v>
      </c>
      <c r="G181" s="37" t="s">
        <v>1351</v>
      </c>
      <c r="H181" s="24" t="s">
        <v>3443</v>
      </c>
      <c r="I181" s="24">
        <v>64277</v>
      </c>
      <c r="J181" s="24">
        <v>331</v>
      </c>
      <c r="K181" s="24" t="s">
        <v>21</v>
      </c>
      <c r="L181" s="24">
        <v>1</v>
      </c>
      <c r="M181" s="39">
        <v>139000</v>
      </c>
      <c r="N181" s="39">
        <f t="shared" si="4"/>
        <v>139000</v>
      </c>
      <c r="O181" s="38" t="s">
        <v>22</v>
      </c>
    </row>
    <row r="182" spans="1:15" ht="15" customHeight="1" x14ac:dyDescent="0.2">
      <c r="A182" s="24" t="s">
        <v>18</v>
      </c>
      <c r="B182" s="36" t="s">
        <v>2050</v>
      </c>
      <c r="C182" s="24">
        <f t="shared" si="5"/>
        <v>317</v>
      </c>
      <c r="D182" s="24">
        <v>1</v>
      </c>
      <c r="G182" s="37" t="s">
        <v>1569</v>
      </c>
      <c r="H182" s="24" t="s">
        <v>3444</v>
      </c>
      <c r="I182" s="24">
        <v>64277</v>
      </c>
      <c r="J182" s="24">
        <v>331</v>
      </c>
      <c r="K182" s="24" t="s">
        <v>21</v>
      </c>
      <c r="L182" s="24">
        <v>1</v>
      </c>
      <c r="M182" s="39">
        <v>12000</v>
      </c>
      <c r="N182" s="39">
        <f t="shared" si="4"/>
        <v>12000</v>
      </c>
      <c r="O182" s="38" t="s">
        <v>22</v>
      </c>
    </row>
    <row r="183" spans="1:15" ht="15" customHeight="1" x14ac:dyDescent="0.2">
      <c r="A183" s="24" t="s">
        <v>18</v>
      </c>
      <c r="B183" s="36" t="s">
        <v>2050</v>
      </c>
      <c r="C183" s="24">
        <f t="shared" si="5"/>
        <v>318</v>
      </c>
      <c r="D183" s="24">
        <v>1</v>
      </c>
      <c r="G183" s="37" t="s">
        <v>1569</v>
      </c>
      <c r="H183" s="24" t="s">
        <v>3445</v>
      </c>
      <c r="I183" s="24">
        <v>64277</v>
      </c>
      <c r="J183" s="24">
        <v>331</v>
      </c>
      <c r="K183" s="24" t="s">
        <v>21</v>
      </c>
      <c r="L183" s="24">
        <v>1</v>
      </c>
      <c r="M183" s="39">
        <v>12000</v>
      </c>
      <c r="N183" s="39">
        <f t="shared" si="4"/>
        <v>12000</v>
      </c>
      <c r="O183" s="38" t="s">
        <v>22</v>
      </c>
    </row>
    <row r="184" spans="1:15" ht="15" customHeight="1" x14ac:dyDescent="0.2">
      <c r="A184" s="24" t="s">
        <v>18</v>
      </c>
      <c r="B184" s="36" t="s">
        <v>2050</v>
      </c>
      <c r="C184" s="24">
        <f t="shared" si="5"/>
        <v>319</v>
      </c>
      <c r="D184" s="24">
        <v>1</v>
      </c>
      <c r="G184" s="37" t="s">
        <v>1569</v>
      </c>
      <c r="H184" s="24" t="s">
        <v>3446</v>
      </c>
      <c r="I184" s="24">
        <v>64277</v>
      </c>
      <c r="J184" s="24">
        <v>331</v>
      </c>
      <c r="K184" s="24" t="s">
        <v>21</v>
      </c>
      <c r="L184" s="24">
        <v>1</v>
      </c>
      <c r="M184" s="39">
        <v>12000</v>
      </c>
      <c r="N184" s="39">
        <f t="shared" si="4"/>
        <v>12000</v>
      </c>
      <c r="O184" s="38" t="s">
        <v>22</v>
      </c>
    </row>
    <row r="185" spans="1:15" ht="15" customHeight="1" x14ac:dyDescent="0.2">
      <c r="A185" s="24" t="s">
        <v>18</v>
      </c>
      <c r="B185" s="36" t="s">
        <v>2050</v>
      </c>
      <c r="C185" s="24">
        <f t="shared" si="5"/>
        <v>320</v>
      </c>
      <c r="D185" s="24">
        <v>1</v>
      </c>
      <c r="G185" s="37" t="s">
        <v>1569</v>
      </c>
      <c r="H185" s="24" t="s">
        <v>3447</v>
      </c>
      <c r="I185" s="24">
        <v>64277</v>
      </c>
      <c r="J185" s="24">
        <v>331</v>
      </c>
      <c r="K185" s="24" t="s">
        <v>21</v>
      </c>
      <c r="L185" s="24">
        <v>1</v>
      </c>
      <c r="M185" s="39">
        <v>13000</v>
      </c>
      <c r="N185" s="39">
        <f t="shared" ref="N185:N248" si="6">L185*M185</f>
        <v>13000</v>
      </c>
      <c r="O185" s="38" t="s">
        <v>22</v>
      </c>
    </row>
    <row r="186" spans="1:15" ht="15" customHeight="1" x14ac:dyDescent="0.2">
      <c r="A186" s="24" t="s">
        <v>18</v>
      </c>
      <c r="B186" s="36" t="s">
        <v>2050</v>
      </c>
      <c r="C186" s="24">
        <f t="shared" si="5"/>
        <v>321</v>
      </c>
      <c r="D186" s="24">
        <v>1</v>
      </c>
      <c r="G186" s="37" t="s">
        <v>1569</v>
      </c>
      <c r="H186" s="24" t="s">
        <v>3448</v>
      </c>
      <c r="I186" s="24">
        <v>64277</v>
      </c>
      <c r="J186" s="24">
        <v>331</v>
      </c>
      <c r="K186" s="24" t="s">
        <v>21</v>
      </c>
      <c r="L186" s="24">
        <v>1</v>
      </c>
      <c r="M186" s="39">
        <v>12000</v>
      </c>
      <c r="N186" s="39">
        <f t="shared" si="6"/>
        <v>12000</v>
      </c>
      <c r="O186" s="38" t="s">
        <v>22</v>
      </c>
    </row>
    <row r="187" spans="1:15" ht="15" customHeight="1" x14ac:dyDescent="0.2">
      <c r="A187" s="24" t="s">
        <v>18</v>
      </c>
      <c r="B187" s="36" t="s">
        <v>2050</v>
      </c>
      <c r="C187" s="24">
        <f t="shared" si="5"/>
        <v>322</v>
      </c>
      <c r="D187" s="24">
        <v>1</v>
      </c>
      <c r="G187" s="37" t="s">
        <v>1569</v>
      </c>
      <c r="H187" s="24" t="s">
        <v>3449</v>
      </c>
      <c r="I187" s="24">
        <v>64277</v>
      </c>
      <c r="J187" s="24">
        <v>331</v>
      </c>
      <c r="K187" s="24" t="s">
        <v>21</v>
      </c>
      <c r="L187" s="24">
        <v>1</v>
      </c>
      <c r="M187" s="39">
        <v>12000</v>
      </c>
      <c r="N187" s="39">
        <f t="shared" si="6"/>
        <v>12000</v>
      </c>
      <c r="O187" s="38" t="s">
        <v>22</v>
      </c>
    </row>
    <row r="188" spans="1:15" ht="15" customHeight="1" x14ac:dyDescent="0.2">
      <c r="A188" s="24" t="s">
        <v>18</v>
      </c>
      <c r="B188" s="36" t="s">
        <v>1537</v>
      </c>
      <c r="C188" s="24">
        <f t="shared" si="5"/>
        <v>323</v>
      </c>
      <c r="D188" s="24">
        <v>1</v>
      </c>
      <c r="G188" s="37" t="s">
        <v>1569</v>
      </c>
      <c r="H188" s="24" t="s">
        <v>3450</v>
      </c>
      <c r="I188" s="24">
        <v>64277</v>
      </c>
      <c r="J188" s="24">
        <v>331</v>
      </c>
      <c r="K188" s="24" t="s">
        <v>21</v>
      </c>
      <c r="L188" s="24">
        <v>1</v>
      </c>
      <c r="M188" s="39">
        <v>37000</v>
      </c>
      <c r="N188" s="39">
        <f t="shared" si="6"/>
        <v>37000</v>
      </c>
      <c r="O188" s="38" t="s">
        <v>22</v>
      </c>
    </row>
    <row r="189" spans="1:15" ht="15" customHeight="1" x14ac:dyDescent="0.2">
      <c r="A189" s="24" t="s">
        <v>18</v>
      </c>
      <c r="B189" s="36" t="s">
        <v>1537</v>
      </c>
      <c r="C189" s="24">
        <f t="shared" si="5"/>
        <v>324</v>
      </c>
      <c r="D189" s="24">
        <v>1</v>
      </c>
      <c r="G189" s="37" t="s">
        <v>1569</v>
      </c>
      <c r="H189" s="24" t="s">
        <v>3451</v>
      </c>
      <c r="I189" s="24">
        <v>64277</v>
      </c>
      <c r="J189" s="24">
        <v>331</v>
      </c>
      <c r="K189" s="24" t="s">
        <v>21</v>
      </c>
      <c r="L189" s="24">
        <v>1</v>
      </c>
      <c r="M189" s="39">
        <v>12000</v>
      </c>
      <c r="N189" s="39">
        <f t="shared" si="6"/>
        <v>12000</v>
      </c>
      <c r="O189" s="38" t="s">
        <v>22</v>
      </c>
    </row>
    <row r="190" spans="1:15" ht="15" customHeight="1" x14ac:dyDescent="0.2">
      <c r="A190" s="24" t="s">
        <v>18</v>
      </c>
      <c r="B190" s="36" t="s">
        <v>1537</v>
      </c>
      <c r="C190" s="24">
        <f t="shared" si="5"/>
        <v>325</v>
      </c>
      <c r="D190" s="24">
        <v>1</v>
      </c>
      <c r="G190" s="37" t="s">
        <v>1569</v>
      </c>
      <c r="H190" s="24" t="s">
        <v>3452</v>
      </c>
      <c r="I190" s="24">
        <v>64277</v>
      </c>
      <c r="J190" s="24">
        <v>331</v>
      </c>
      <c r="K190" s="24" t="s">
        <v>21</v>
      </c>
      <c r="L190" s="24">
        <v>1</v>
      </c>
      <c r="M190" s="39">
        <v>12000</v>
      </c>
      <c r="N190" s="39">
        <f t="shared" si="6"/>
        <v>12000</v>
      </c>
      <c r="O190" s="38" t="s">
        <v>22</v>
      </c>
    </row>
    <row r="191" spans="1:15" ht="15" customHeight="1" x14ac:dyDescent="0.2">
      <c r="A191" s="24" t="s">
        <v>18</v>
      </c>
      <c r="B191" s="36" t="s">
        <v>1537</v>
      </c>
      <c r="C191" s="24">
        <f t="shared" si="5"/>
        <v>326</v>
      </c>
      <c r="D191" s="24">
        <v>1</v>
      </c>
      <c r="G191" s="37" t="s">
        <v>1569</v>
      </c>
      <c r="H191" s="24" t="s">
        <v>3453</v>
      </c>
      <c r="I191" s="24">
        <v>64277</v>
      </c>
      <c r="J191" s="24">
        <v>331</v>
      </c>
      <c r="K191" s="24" t="s">
        <v>21</v>
      </c>
      <c r="L191" s="24">
        <v>1</v>
      </c>
      <c r="M191" s="39">
        <v>12000</v>
      </c>
      <c r="N191" s="39">
        <f t="shared" si="6"/>
        <v>12000</v>
      </c>
      <c r="O191" s="38" t="s">
        <v>22</v>
      </c>
    </row>
    <row r="192" spans="1:15" ht="15" customHeight="1" x14ac:dyDescent="0.2">
      <c r="A192" s="24" t="s">
        <v>18</v>
      </c>
      <c r="B192" s="36" t="s">
        <v>1537</v>
      </c>
      <c r="C192" s="24">
        <f t="shared" si="5"/>
        <v>327</v>
      </c>
      <c r="D192" s="24">
        <v>1</v>
      </c>
      <c r="G192" s="37" t="s">
        <v>1569</v>
      </c>
      <c r="H192" s="24" t="s">
        <v>3454</v>
      </c>
      <c r="I192" s="24">
        <v>64277</v>
      </c>
      <c r="J192" s="24">
        <v>331</v>
      </c>
      <c r="K192" s="24" t="s">
        <v>21</v>
      </c>
      <c r="L192" s="24">
        <v>1</v>
      </c>
      <c r="M192" s="39">
        <v>12000</v>
      </c>
      <c r="N192" s="39">
        <f t="shared" si="6"/>
        <v>12000</v>
      </c>
      <c r="O192" s="38" t="s">
        <v>22</v>
      </c>
    </row>
    <row r="193" spans="1:15" ht="15" customHeight="1" x14ac:dyDescent="0.2">
      <c r="A193" s="24" t="s">
        <v>18</v>
      </c>
      <c r="B193" s="36" t="s">
        <v>2359</v>
      </c>
      <c r="C193" s="24">
        <f t="shared" si="5"/>
        <v>328</v>
      </c>
      <c r="D193" s="24">
        <v>1</v>
      </c>
      <c r="G193" s="37" t="s">
        <v>1569</v>
      </c>
      <c r="H193" s="24" t="s">
        <v>3455</v>
      </c>
      <c r="I193" s="24">
        <v>64277</v>
      </c>
      <c r="J193" s="24">
        <v>331</v>
      </c>
      <c r="K193" s="24" t="s">
        <v>21</v>
      </c>
      <c r="L193" s="24">
        <v>1</v>
      </c>
      <c r="M193" s="39">
        <v>50000</v>
      </c>
      <c r="N193" s="39">
        <f t="shared" si="6"/>
        <v>50000</v>
      </c>
      <c r="O193" s="38" t="s">
        <v>22</v>
      </c>
    </row>
    <row r="194" spans="1:15" ht="15" customHeight="1" x14ac:dyDescent="0.2">
      <c r="A194" s="24" t="s">
        <v>18</v>
      </c>
      <c r="B194" s="36" t="s">
        <v>2078</v>
      </c>
      <c r="C194" s="24">
        <f t="shared" si="5"/>
        <v>329</v>
      </c>
      <c r="D194" s="24">
        <v>1</v>
      </c>
      <c r="G194" s="37" t="s">
        <v>1569</v>
      </c>
      <c r="H194" s="24" t="s">
        <v>3456</v>
      </c>
      <c r="I194" s="24">
        <v>64277</v>
      </c>
      <c r="J194" s="24">
        <v>331</v>
      </c>
      <c r="K194" s="24" t="s">
        <v>21</v>
      </c>
      <c r="L194" s="24">
        <v>1</v>
      </c>
      <c r="M194" s="39">
        <v>12000</v>
      </c>
      <c r="N194" s="39">
        <f t="shared" si="6"/>
        <v>12000</v>
      </c>
      <c r="O194" s="38" t="s">
        <v>22</v>
      </c>
    </row>
    <row r="195" spans="1:15" ht="15" customHeight="1" x14ac:dyDescent="0.2">
      <c r="A195" s="24" t="s">
        <v>18</v>
      </c>
      <c r="B195" s="36" t="s">
        <v>2078</v>
      </c>
      <c r="C195" s="24">
        <f t="shared" si="5"/>
        <v>330</v>
      </c>
      <c r="D195" s="24">
        <v>1</v>
      </c>
      <c r="G195" s="37" t="s">
        <v>1569</v>
      </c>
      <c r="H195" s="24" t="s">
        <v>3457</v>
      </c>
      <c r="I195" s="24">
        <v>64277</v>
      </c>
      <c r="J195" s="24">
        <v>331</v>
      </c>
      <c r="K195" s="24" t="s">
        <v>21</v>
      </c>
      <c r="L195" s="24">
        <v>1</v>
      </c>
      <c r="M195" s="39">
        <v>12000</v>
      </c>
      <c r="N195" s="39">
        <f t="shared" si="6"/>
        <v>12000</v>
      </c>
      <c r="O195" s="38" t="s">
        <v>22</v>
      </c>
    </row>
    <row r="196" spans="1:15" ht="15" customHeight="1" x14ac:dyDescent="0.2">
      <c r="A196" s="24" t="s">
        <v>18</v>
      </c>
      <c r="B196" s="36" t="s">
        <v>2445</v>
      </c>
      <c r="C196" s="24">
        <f t="shared" si="5"/>
        <v>331</v>
      </c>
      <c r="D196" s="24">
        <v>1</v>
      </c>
      <c r="G196" s="37" t="s">
        <v>1569</v>
      </c>
      <c r="H196" s="24" t="s">
        <v>3458</v>
      </c>
      <c r="I196" s="24">
        <v>64277</v>
      </c>
      <c r="J196" s="24">
        <v>331</v>
      </c>
      <c r="K196" s="24" t="s">
        <v>21</v>
      </c>
      <c r="L196" s="24">
        <v>1</v>
      </c>
      <c r="M196" s="39">
        <v>62000</v>
      </c>
      <c r="N196" s="39">
        <f t="shared" si="6"/>
        <v>62000</v>
      </c>
      <c r="O196" s="38" t="s">
        <v>22</v>
      </c>
    </row>
    <row r="197" spans="1:15" ht="15" customHeight="1" x14ac:dyDescent="0.2">
      <c r="A197" s="24" t="s">
        <v>18</v>
      </c>
      <c r="B197" s="36" t="s">
        <v>2445</v>
      </c>
      <c r="C197" s="24">
        <f t="shared" ref="C197:C260" si="7">C196+D197</f>
        <v>332</v>
      </c>
      <c r="D197" s="24">
        <v>1</v>
      </c>
      <c r="G197" s="37" t="s">
        <v>1569</v>
      </c>
      <c r="H197" s="24" t="s">
        <v>3459</v>
      </c>
      <c r="I197" s="24">
        <v>64277</v>
      </c>
      <c r="J197" s="24">
        <v>331</v>
      </c>
      <c r="K197" s="24" t="s">
        <v>21</v>
      </c>
      <c r="L197" s="24">
        <v>1</v>
      </c>
      <c r="M197" s="39">
        <v>62000</v>
      </c>
      <c r="N197" s="39">
        <f t="shared" si="6"/>
        <v>62000</v>
      </c>
      <c r="O197" s="38" t="s">
        <v>22</v>
      </c>
    </row>
    <row r="198" spans="1:15" ht="15" customHeight="1" x14ac:dyDescent="0.2">
      <c r="A198" s="24" t="s">
        <v>18</v>
      </c>
      <c r="B198" s="36" t="s">
        <v>1425</v>
      </c>
      <c r="C198" s="24">
        <f t="shared" si="7"/>
        <v>333</v>
      </c>
      <c r="D198" s="24">
        <v>1</v>
      </c>
      <c r="G198" s="37" t="s">
        <v>1569</v>
      </c>
      <c r="H198" s="24" t="s">
        <v>3460</v>
      </c>
      <c r="I198" s="24">
        <v>64277</v>
      </c>
      <c r="J198" s="24">
        <v>331</v>
      </c>
      <c r="K198" s="24" t="s">
        <v>21</v>
      </c>
      <c r="L198" s="24">
        <v>1</v>
      </c>
      <c r="M198" s="39">
        <v>12000</v>
      </c>
      <c r="N198" s="39">
        <f t="shared" si="6"/>
        <v>12000</v>
      </c>
      <c r="O198" s="38" t="s">
        <v>22</v>
      </c>
    </row>
    <row r="199" spans="1:15" ht="15" customHeight="1" x14ac:dyDescent="0.2">
      <c r="A199" s="24" t="s">
        <v>18</v>
      </c>
      <c r="B199" s="36" t="s">
        <v>1425</v>
      </c>
      <c r="C199" s="24">
        <f t="shared" si="7"/>
        <v>334</v>
      </c>
      <c r="D199" s="24">
        <v>1</v>
      </c>
      <c r="G199" s="37" t="s">
        <v>1569</v>
      </c>
      <c r="H199" s="24" t="s">
        <v>3461</v>
      </c>
      <c r="I199" s="24">
        <v>64277</v>
      </c>
      <c r="J199" s="24">
        <v>331</v>
      </c>
      <c r="K199" s="24" t="s">
        <v>21</v>
      </c>
      <c r="L199" s="24">
        <v>1</v>
      </c>
      <c r="M199" s="39">
        <v>12000</v>
      </c>
      <c r="N199" s="39">
        <f t="shared" si="6"/>
        <v>12000</v>
      </c>
      <c r="O199" s="38" t="s">
        <v>22</v>
      </c>
    </row>
    <row r="200" spans="1:15" ht="15" customHeight="1" x14ac:dyDescent="0.2">
      <c r="A200" s="24" t="s">
        <v>18</v>
      </c>
      <c r="B200" s="36" t="s">
        <v>3145</v>
      </c>
      <c r="C200" s="24">
        <f t="shared" si="7"/>
        <v>335</v>
      </c>
      <c r="D200" s="24">
        <v>1</v>
      </c>
      <c r="G200" s="37" t="s">
        <v>1569</v>
      </c>
      <c r="H200" s="24" t="s">
        <v>3462</v>
      </c>
      <c r="I200" s="24">
        <v>64277</v>
      </c>
      <c r="J200" s="24">
        <v>331</v>
      </c>
      <c r="K200" s="24" t="s">
        <v>21</v>
      </c>
      <c r="L200" s="24">
        <v>1</v>
      </c>
      <c r="M200" s="39">
        <v>12000</v>
      </c>
      <c r="N200" s="39">
        <f t="shared" si="6"/>
        <v>12000</v>
      </c>
      <c r="O200" s="38" t="s">
        <v>22</v>
      </c>
    </row>
    <row r="201" spans="1:15" ht="15" customHeight="1" x14ac:dyDescent="0.2">
      <c r="A201" s="24" t="s">
        <v>18</v>
      </c>
      <c r="B201" s="36" t="s">
        <v>3145</v>
      </c>
      <c r="C201" s="24">
        <f t="shared" si="7"/>
        <v>336</v>
      </c>
      <c r="D201" s="24">
        <v>1</v>
      </c>
      <c r="G201" s="37" t="s">
        <v>1569</v>
      </c>
      <c r="H201" s="24" t="s">
        <v>3463</v>
      </c>
      <c r="I201" s="24">
        <v>64277</v>
      </c>
      <c r="J201" s="24">
        <v>331</v>
      </c>
      <c r="K201" s="24" t="s">
        <v>21</v>
      </c>
      <c r="L201" s="24">
        <v>1</v>
      </c>
      <c r="M201" s="39">
        <v>12000</v>
      </c>
      <c r="N201" s="39">
        <f t="shared" si="6"/>
        <v>12000</v>
      </c>
      <c r="O201" s="38" t="s">
        <v>22</v>
      </c>
    </row>
    <row r="202" spans="1:15" ht="15" customHeight="1" x14ac:dyDescent="0.2">
      <c r="A202" s="24" t="s">
        <v>18</v>
      </c>
      <c r="B202" s="36" t="s">
        <v>2233</v>
      </c>
      <c r="C202" s="24">
        <f t="shared" si="7"/>
        <v>337</v>
      </c>
      <c r="D202" s="24">
        <v>1</v>
      </c>
      <c r="G202" s="37" t="s">
        <v>3153</v>
      </c>
      <c r="H202" s="24" t="s">
        <v>3486</v>
      </c>
      <c r="I202" s="24">
        <v>6425</v>
      </c>
      <c r="J202" s="24">
        <v>331</v>
      </c>
      <c r="K202" s="24" t="s">
        <v>21</v>
      </c>
      <c r="L202" s="24">
        <v>1</v>
      </c>
      <c r="M202" s="39">
        <v>60</v>
      </c>
      <c r="N202" s="39">
        <f t="shared" si="6"/>
        <v>60</v>
      </c>
      <c r="O202" s="38" t="s">
        <v>22</v>
      </c>
    </row>
    <row r="203" spans="1:15" ht="15" customHeight="1" x14ac:dyDescent="0.2">
      <c r="A203" s="24" t="s">
        <v>18</v>
      </c>
      <c r="B203" s="36" t="s">
        <v>2233</v>
      </c>
      <c r="C203" s="24">
        <f t="shared" si="7"/>
        <v>338</v>
      </c>
      <c r="D203" s="24">
        <v>1</v>
      </c>
      <c r="G203" s="37" t="s">
        <v>1569</v>
      </c>
      <c r="H203" s="24" t="s">
        <v>3464</v>
      </c>
      <c r="I203" s="24">
        <v>64277</v>
      </c>
      <c r="J203" s="24">
        <v>331</v>
      </c>
      <c r="K203" s="24" t="s">
        <v>21</v>
      </c>
      <c r="L203" s="24">
        <v>1</v>
      </c>
      <c r="M203" s="39">
        <v>91000</v>
      </c>
      <c r="N203" s="39">
        <f t="shared" si="6"/>
        <v>91000</v>
      </c>
      <c r="O203" s="38" t="s">
        <v>22</v>
      </c>
    </row>
    <row r="204" spans="1:15" ht="15" customHeight="1" x14ac:dyDescent="0.2">
      <c r="A204" s="24" t="s">
        <v>18</v>
      </c>
      <c r="B204" s="36" t="s">
        <v>2233</v>
      </c>
      <c r="C204" s="24">
        <f t="shared" si="7"/>
        <v>339</v>
      </c>
      <c r="D204" s="24">
        <v>1</v>
      </c>
      <c r="G204" s="37" t="s">
        <v>1569</v>
      </c>
      <c r="H204" s="24" t="s">
        <v>3465</v>
      </c>
      <c r="I204" s="24">
        <v>64277</v>
      </c>
      <c r="J204" s="24">
        <v>331</v>
      </c>
      <c r="K204" s="24" t="s">
        <v>21</v>
      </c>
      <c r="L204" s="24">
        <v>1</v>
      </c>
      <c r="M204" s="39">
        <v>120000</v>
      </c>
      <c r="N204" s="39">
        <f t="shared" si="6"/>
        <v>120000</v>
      </c>
      <c r="O204" s="38" t="s">
        <v>22</v>
      </c>
    </row>
    <row r="205" spans="1:15" ht="15" customHeight="1" x14ac:dyDescent="0.2">
      <c r="A205" s="24" t="s">
        <v>18</v>
      </c>
      <c r="B205" s="36" t="s">
        <v>2126</v>
      </c>
      <c r="C205" s="24">
        <f t="shared" si="7"/>
        <v>340</v>
      </c>
      <c r="D205" s="24">
        <v>1</v>
      </c>
      <c r="G205" s="37" t="s">
        <v>23</v>
      </c>
      <c r="H205" s="24" t="s">
        <v>3467</v>
      </c>
      <c r="I205" s="24">
        <v>64277</v>
      </c>
      <c r="J205" s="24">
        <v>331</v>
      </c>
      <c r="K205" s="24" t="s">
        <v>21</v>
      </c>
      <c r="L205" s="24">
        <v>1</v>
      </c>
      <c r="M205" s="39">
        <v>710640</v>
      </c>
      <c r="N205" s="39">
        <f t="shared" si="6"/>
        <v>710640</v>
      </c>
      <c r="O205" s="38" t="s">
        <v>22</v>
      </c>
    </row>
    <row r="206" spans="1:15" ht="15" customHeight="1" x14ac:dyDescent="0.2">
      <c r="A206" s="24" t="s">
        <v>18</v>
      </c>
      <c r="B206" s="36" t="s">
        <v>2049</v>
      </c>
      <c r="C206" s="24">
        <f t="shared" si="7"/>
        <v>341</v>
      </c>
      <c r="D206" s="24">
        <v>1</v>
      </c>
      <c r="G206" s="37" t="s">
        <v>3157</v>
      </c>
      <c r="H206" s="24" t="s">
        <v>3480</v>
      </c>
      <c r="I206" s="24">
        <v>64277</v>
      </c>
      <c r="J206" s="24">
        <v>331</v>
      </c>
      <c r="K206" s="24" t="s">
        <v>21</v>
      </c>
      <c r="L206" s="24">
        <v>1</v>
      </c>
      <c r="M206" s="39">
        <v>1398800</v>
      </c>
      <c r="N206" s="39">
        <f t="shared" si="6"/>
        <v>1398800</v>
      </c>
      <c r="O206" s="38" t="s">
        <v>22</v>
      </c>
    </row>
    <row r="207" spans="1:15" ht="15" customHeight="1" x14ac:dyDescent="0.2">
      <c r="A207" s="24" t="s">
        <v>18</v>
      </c>
      <c r="B207" s="36" t="s">
        <v>2445</v>
      </c>
      <c r="C207" s="24">
        <f t="shared" si="7"/>
        <v>342</v>
      </c>
      <c r="D207" s="24">
        <v>1</v>
      </c>
      <c r="G207" s="37" t="s">
        <v>1485</v>
      </c>
      <c r="H207" s="24" t="s">
        <v>3466</v>
      </c>
      <c r="I207" s="24">
        <v>64277</v>
      </c>
      <c r="J207" s="24">
        <v>331</v>
      </c>
      <c r="K207" s="24" t="s">
        <v>21</v>
      </c>
      <c r="L207" s="24">
        <v>1</v>
      </c>
      <c r="M207" s="39">
        <v>402840</v>
      </c>
      <c r="N207" s="39">
        <f t="shared" si="6"/>
        <v>402840</v>
      </c>
      <c r="O207" s="38" t="s">
        <v>22</v>
      </c>
    </row>
    <row r="208" spans="1:15" ht="15" customHeight="1" x14ac:dyDescent="0.2">
      <c r="A208" s="24" t="s">
        <v>368</v>
      </c>
      <c r="B208" s="36" t="s">
        <v>2477</v>
      </c>
      <c r="C208" s="24">
        <f t="shared" si="7"/>
        <v>343</v>
      </c>
      <c r="D208" s="24">
        <v>1</v>
      </c>
      <c r="G208" s="37" t="s">
        <v>1610</v>
      </c>
      <c r="H208" s="24" t="s">
        <v>3487</v>
      </c>
      <c r="I208" s="24">
        <v>331</v>
      </c>
      <c r="J208" s="24">
        <v>1111</v>
      </c>
      <c r="K208" s="24" t="s">
        <v>21</v>
      </c>
      <c r="L208" s="24">
        <v>1</v>
      </c>
      <c r="M208" s="39">
        <v>2422640</v>
      </c>
      <c r="N208" s="39">
        <f t="shared" si="6"/>
        <v>2422640</v>
      </c>
      <c r="O208" s="38" t="s">
        <v>22</v>
      </c>
    </row>
    <row r="209" spans="1:15" ht="15" customHeight="1" x14ac:dyDescent="0.2">
      <c r="A209" s="24" t="s">
        <v>368</v>
      </c>
      <c r="B209" s="36" t="s">
        <v>2355</v>
      </c>
      <c r="C209" s="24">
        <f t="shared" si="7"/>
        <v>344</v>
      </c>
      <c r="D209" s="24">
        <v>1</v>
      </c>
      <c r="G209" s="37" t="s">
        <v>158</v>
      </c>
      <c r="H209" s="24" t="s">
        <v>3488</v>
      </c>
      <c r="I209" s="24">
        <v>331</v>
      </c>
      <c r="J209" s="24">
        <v>1111</v>
      </c>
      <c r="K209" s="24" t="s">
        <v>21</v>
      </c>
      <c r="L209" s="24">
        <v>1</v>
      </c>
      <c r="M209" s="39">
        <v>3240000</v>
      </c>
      <c r="N209" s="39">
        <f t="shared" si="6"/>
        <v>3240000</v>
      </c>
      <c r="O209" s="38" t="s">
        <v>22</v>
      </c>
    </row>
    <row r="210" spans="1:15" ht="15" customHeight="1" x14ac:dyDescent="0.2">
      <c r="A210" s="24" t="s">
        <v>368</v>
      </c>
      <c r="B210" s="36" t="s">
        <v>2045</v>
      </c>
      <c r="C210" s="24">
        <f t="shared" si="7"/>
        <v>345</v>
      </c>
      <c r="D210" s="24">
        <v>1</v>
      </c>
      <c r="G210" s="37" t="s">
        <v>158</v>
      </c>
      <c r="H210" s="24" t="s">
        <v>3489</v>
      </c>
      <c r="I210" s="24">
        <v>331</v>
      </c>
      <c r="J210" s="24">
        <v>1111</v>
      </c>
      <c r="K210" s="24" t="s">
        <v>21</v>
      </c>
      <c r="L210" s="24">
        <v>1</v>
      </c>
      <c r="M210" s="39">
        <v>3240000</v>
      </c>
      <c r="N210" s="39">
        <f t="shared" si="6"/>
        <v>3240000</v>
      </c>
      <c r="O210" s="38" t="s">
        <v>22</v>
      </c>
    </row>
    <row r="211" spans="1:15" ht="15" customHeight="1" x14ac:dyDescent="0.2">
      <c r="A211" s="24" t="s">
        <v>368</v>
      </c>
      <c r="B211" s="36" t="s">
        <v>2477</v>
      </c>
      <c r="C211" s="24">
        <f t="shared" si="7"/>
        <v>346</v>
      </c>
      <c r="D211" s="24">
        <v>1</v>
      </c>
      <c r="G211" s="37" t="s">
        <v>1569</v>
      </c>
      <c r="H211" s="24" t="s">
        <v>3490</v>
      </c>
      <c r="I211" s="24">
        <v>331</v>
      </c>
      <c r="J211" s="24">
        <v>1111</v>
      </c>
      <c r="K211" s="24" t="s">
        <v>21</v>
      </c>
      <c r="L211" s="24">
        <v>1</v>
      </c>
      <c r="M211" s="39">
        <v>24000</v>
      </c>
      <c r="N211" s="39">
        <f t="shared" si="6"/>
        <v>24000</v>
      </c>
      <c r="O211" s="38" t="s">
        <v>22</v>
      </c>
    </row>
    <row r="212" spans="1:15" ht="15" customHeight="1" x14ac:dyDescent="0.2">
      <c r="A212" s="24" t="s">
        <v>368</v>
      </c>
      <c r="B212" s="36" t="s">
        <v>2477</v>
      </c>
      <c r="C212" s="24">
        <f t="shared" si="7"/>
        <v>347</v>
      </c>
      <c r="D212" s="24">
        <v>1</v>
      </c>
      <c r="G212" s="37" t="s">
        <v>1569</v>
      </c>
      <c r="H212" s="24" t="s">
        <v>3491</v>
      </c>
      <c r="I212" s="24">
        <v>331</v>
      </c>
      <c r="J212" s="24">
        <v>1111</v>
      </c>
      <c r="K212" s="24" t="s">
        <v>21</v>
      </c>
      <c r="L212" s="24">
        <v>1</v>
      </c>
      <c r="M212" s="39">
        <v>81000</v>
      </c>
      <c r="N212" s="39">
        <f t="shared" si="6"/>
        <v>81000</v>
      </c>
      <c r="O212" s="38" t="s">
        <v>22</v>
      </c>
    </row>
    <row r="213" spans="1:15" ht="15" customHeight="1" x14ac:dyDescent="0.2">
      <c r="A213" s="24" t="s">
        <v>368</v>
      </c>
      <c r="B213" s="36" t="s">
        <v>2354</v>
      </c>
      <c r="C213" s="24">
        <f t="shared" si="7"/>
        <v>348</v>
      </c>
      <c r="D213" s="24">
        <v>1</v>
      </c>
      <c r="G213" s="37" t="s">
        <v>1569</v>
      </c>
      <c r="H213" s="24" t="s">
        <v>3492</v>
      </c>
      <c r="I213" s="24">
        <v>331</v>
      </c>
      <c r="J213" s="24">
        <v>1111</v>
      </c>
      <c r="K213" s="24" t="s">
        <v>21</v>
      </c>
      <c r="L213" s="24">
        <v>1</v>
      </c>
      <c r="M213" s="39">
        <v>55000</v>
      </c>
      <c r="N213" s="39">
        <f t="shared" si="6"/>
        <v>55000</v>
      </c>
      <c r="O213" s="38" t="s">
        <v>22</v>
      </c>
    </row>
    <row r="214" spans="1:15" ht="15" customHeight="1" x14ac:dyDescent="0.2">
      <c r="A214" s="24" t="s">
        <v>368</v>
      </c>
      <c r="B214" s="36" t="s">
        <v>2354</v>
      </c>
      <c r="C214" s="24">
        <f t="shared" si="7"/>
        <v>349</v>
      </c>
      <c r="D214" s="24">
        <v>1</v>
      </c>
      <c r="G214" s="37" t="s">
        <v>1569</v>
      </c>
      <c r="H214" s="24" t="s">
        <v>3493</v>
      </c>
      <c r="I214" s="24">
        <v>331</v>
      </c>
      <c r="J214" s="24">
        <v>1111</v>
      </c>
      <c r="K214" s="24" t="s">
        <v>21</v>
      </c>
      <c r="L214" s="24">
        <v>1</v>
      </c>
      <c r="M214" s="39">
        <v>55000</v>
      </c>
      <c r="N214" s="39">
        <f t="shared" si="6"/>
        <v>55000</v>
      </c>
      <c r="O214" s="38" t="s">
        <v>22</v>
      </c>
    </row>
    <row r="215" spans="1:15" ht="15" customHeight="1" x14ac:dyDescent="0.2">
      <c r="A215" s="24" t="s">
        <v>368</v>
      </c>
      <c r="B215" s="36" t="s">
        <v>2441</v>
      </c>
      <c r="C215" s="24">
        <f t="shared" si="7"/>
        <v>350</v>
      </c>
      <c r="D215" s="24">
        <v>1</v>
      </c>
      <c r="G215" s="37" t="s">
        <v>1569</v>
      </c>
      <c r="H215" s="24" t="s">
        <v>3494</v>
      </c>
      <c r="I215" s="24">
        <v>331</v>
      </c>
      <c r="J215" s="24">
        <v>1111</v>
      </c>
      <c r="K215" s="24" t="s">
        <v>21</v>
      </c>
      <c r="L215" s="24">
        <v>1</v>
      </c>
      <c r="M215" s="39">
        <v>12000</v>
      </c>
      <c r="N215" s="39">
        <f t="shared" si="6"/>
        <v>12000</v>
      </c>
      <c r="O215" s="38" t="s">
        <v>22</v>
      </c>
    </row>
    <row r="216" spans="1:15" ht="15" customHeight="1" x14ac:dyDescent="0.2">
      <c r="A216" s="24" t="s">
        <v>368</v>
      </c>
      <c r="B216" s="36" t="s">
        <v>2441</v>
      </c>
      <c r="C216" s="24">
        <f t="shared" si="7"/>
        <v>351</v>
      </c>
      <c r="D216" s="24">
        <v>1</v>
      </c>
      <c r="G216" s="37" t="s">
        <v>1569</v>
      </c>
      <c r="H216" s="24" t="s">
        <v>3495</v>
      </c>
      <c r="I216" s="24">
        <v>331</v>
      </c>
      <c r="J216" s="24">
        <v>1111</v>
      </c>
      <c r="K216" s="24" t="s">
        <v>21</v>
      </c>
      <c r="L216" s="24">
        <v>1</v>
      </c>
      <c r="M216" s="39">
        <v>12000</v>
      </c>
      <c r="N216" s="39">
        <f t="shared" si="6"/>
        <v>12000</v>
      </c>
      <c r="O216" s="38" t="s">
        <v>22</v>
      </c>
    </row>
    <row r="217" spans="1:15" ht="15" customHeight="1" x14ac:dyDescent="0.2">
      <c r="A217" s="24" t="s">
        <v>368</v>
      </c>
      <c r="B217" s="83" t="s">
        <v>2441</v>
      </c>
      <c r="C217" s="24">
        <f t="shared" si="7"/>
        <v>352</v>
      </c>
      <c r="D217" s="24">
        <v>1</v>
      </c>
      <c r="G217" s="37" t="s">
        <v>1569</v>
      </c>
      <c r="H217" s="24" t="s">
        <v>3496</v>
      </c>
      <c r="I217" s="24">
        <v>331</v>
      </c>
      <c r="J217" s="24">
        <v>1111</v>
      </c>
      <c r="K217" s="24" t="s">
        <v>21</v>
      </c>
      <c r="L217" s="24">
        <v>1</v>
      </c>
      <c r="M217" s="39">
        <v>12000</v>
      </c>
      <c r="N217" s="39">
        <f t="shared" si="6"/>
        <v>12000</v>
      </c>
      <c r="O217" s="38" t="s">
        <v>22</v>
      </c>
    </row>
    <row r="218" spans="1:15" ht="15" customHeight="1" x14ac:dyDescent="0.2">
      <c r="A218" s="24" t="s">
        <v>368</v>
      </c>
      <c r="B218" s="83" t="s">
        <v>2441</v>
      </c>
      <c r="C218" s="24">
        <f t="shared" si="7"/>
        <v>353</v>
      </c>
      <c r="D218" s="24">
        <v>1</v>
      </c>
      <c r="G218" s="37" t="s">
        <v>1569</v>
      </c>
      <c r="H218" s="24" t="s">
        <v>3497</v>
      </c>
      <c r="I218" s="24">
        <v>331</v>
      </c>
      <c r="J218" s="24">
        <v>1111</v>
      </c>
      <c r="K218" s="24" t="s">
        <v>21</v>
      </c>
      <c r="L218" s="24">
        <v>1</v>
      </c>
      <c r="M218" s="39">
        <v>32000</v>
      </c>
      <c r="N218" s="39">
        <f t="shared" si="6"/>
        <v>32000</v>
      </c>
      <c r="O218" s="38" t="s">
        <v>22</v>
      </c>
    </row>
    <row r="219" spans="1:15" ht="15" customHeight="1" x14ac:dyDescent="0.2">
      <c r="A219" s="24" t="s">
        <v>368</v>
      </c>
      <c r="B219" s="36" t="s">
        <v>2442</v>
      </c>
      <c r="C219" s="24">
        <f t="shared" si="7"/>
        <v>354</v>
      </c>
      <c r="D219" s="24">
        <v>1</v>
      </c>
      <c r="G219" s="37" t="s">
        <v>3146</v>
      </c>
      <c r="H219" s="24" t="s">
        <v>3498</v>
      </c>
      <c r="I219" s="24">
        <v>331</v>
      </c>
      <c r="J219" s="24">
        <v>1111</v>
      </c>
      <c r="K219" s="24" t="s">
        <v>21</v>
      </c>
      <c r="L219" s="24">
        <v>1</v>
      </c>
      <c r="M219" s="39">
        <v>11000</v>
      </c>
      <c r="N219" s="39">
        <f t="shared" si="6"/>
        <v>11000</v>
      </c>
      <c r="O219" s="38" t="s">
        <v>22</v>
      </c>
    </row>
    <row r="220" spans="1:15" ht="15" customHeight="1" x14ac:dyDescent="0.2">
      <c r="A220" s="24" t="s">
        <v>368</v>
      </c>
      <c r="B220" s="36" t="s">
        <v>2442</v>
      </c>
      <c r="C220" s="24">
        <f t="shared" si="7"/>
        <v>355</v>
      </c>
      <c r="D220" s="24">
        <v>1</v>
      </c>
      <c r="G220" s="37" t="s">
        <v>1569</v>
      </c>
      <c r="H220" s="24" t="s">
        <v>3499</v>
      </c>
      <c r="I220" s="24">
        <v>331</v>
      </c>
      <c r="J220" s="24">
        <v>1111</v>
      </c>
      <c r="K220" s="24" t="s">
        <v>21</v>
      </c>
      <c r="L220" s="24">
        <v>1</v>
      </c>
      <c r="M220" s="39">
        <v>122000</v>
      </c>
      <c r="N220" s="39">
        <f t="shared" si="6"/>
        <v>122000</v>
      </c>
      <c r="O220" s="38" t="s">
        <v>22</v>
      </c>
    </row>
    <row r="221" spans="1:15" ht="15" customHeight="1" x14ac:dyDescent="0.2">
      <c r="A221" s="24" t="s">
        <v>368</v>
      </c>
      <c r="B221" s="36" t="s">
        <v>3142</v>
      </c>
      <c r="C221" s="24">
        <f t="shared" si="7"/>
        <v>356</v>
      </c>
      <c r="D221" s="24">
        <v>1</v>
      </c>
      <c r="G221" s="37" t="s">
        <v>1569</v>
      </c>
      <c r="H221" s="24" t="s">
        <v>3500</v>
      </c>
      <c r="I221" s="24">
        <v>331</v>
      </c>
      <c r="J221" s="24">
        <v>1111</v>
      </c>
      <c r="K221" s="24" t="s">
        <v>21</v>
      </c>
      <c r="L221" s="24">
        <v>1</v>
      </c>
      <c r="M221" s="39">
        <v>12000</v>
      </c>
      <c r="N221" s="39">
        <f t="shared" si="6"/>
        <v>12000</v>
      </c>
      <c r="O221" s="38" t="s">
        <v>22</v>
      </c>
    </row>
    <row r="222" spans="1:15" ht="15" customHeight="1" x14ac:dyDescent="0.2">
      <c r="A222" s="24" t="s">
        <v>368</v>
      </c>
      <c r="B222" s="36" t="s">
        <v>3142</v>
      </c>
      <c r="C222" s="24">
        <f t="shared" si="7"/>
        <v>357</v>
      </c>
      <c r="D222" s="24">
        <v>1</v>
      </c>
      <c r="G222" s="37" t="s">
        <v>1569</v>
      </c>
      <c r="H222" s="24" t="s">
        <v>3501</v>
      </c>
      <c r="I222" s="24">
        <v>331</v>
      </c>
      <c r="J222" s="24">
        <v>1111</v>
      </c>
      <c r="K222" s="24" t="s">
        <v>21</v>
      </c>
      <c r="L222" s="24">
        <v>1</v>
      </c>
      <c r="M222" s="39">
        <v>12000</v>
      </c>
      <c r="N222" s="39">
        <f t="shared" si="6"/>
        <v>12000</v>
      </c>
      <c r="O222" s="38" t="s">
        <v>22</v>
      </c>
    </row>
    <row r="223" spans="1:15" ht="15" customHeight="1" x14ac:dyDescent="0.2">
      <c r="A223" s="24" t="s">
        <v>368</v>
      </c>
      <c r="B223" s="36" t="s">
        <v>2356</v>
      </c>
      <c r="C223" s="24">
        <f t="shared" si="7"/>
        <v>358</v>
      </c>
      <c r="D223" s="24">
        <v>1</v>
      </c>
      <c r="G223" s="37" t="s">
        <v>1569</v>
      </c>
      <c r="H223" s="24" t="s">
        <v>3502</v>
      </c>
      <c r="I223" s="24">
        <v>331</v>
      </c>
      <c r="J223" s="24">
        <v>1111</v>
      </c>
      <c r="K223" s="24" t="s">
        <v>21</v>
      </c>
      <c r="L223" s="24">
        <v>1</v>
      </c>
      <c r="M223" s="39">
        <v>87000</v>
      </c>
      <c r="N223" s="39">
        <f t="shared" si="6"/>
        <v>87000</v>
      </c>
      <c r="O223" s="38" t="s">
        <v>22</v>
      </c>
    </row>
    <row r="224" spans="1:15" ht="15" customHeight="1" x14ac:dyDescent="0.2">
      <c r="A224" s="24" t="s">
        <v>368</v>
      </c>
      <c r="B224" s="36" t="s">
        <v>2356</v>
      </c>
      <c r="C224" s="24">
        <f t="shared" si="7"/>
        <v>359</v>
      </c>
      <c r="D224" s="24">
        <v>1</v>
      </c>
      <c r="G224" s="37" t="s">
        <v>1569</v>
      </c>
      <c r="H224" s="24" t="s">
        <v>3503</v>
      </c>
      <c r="I224" s="24">
        <v>331</v>
      </c>
      <c r="J224" s="24">
        <v>1111</v>
      </c>
      <c r="K224" s="24" t="s">
        <v>21</v>
      </c>
      <c r="L224" s="24">
        <v>1</v>
      </c>
      <c r="M224" s="39">
        <v>28000</v>
      </c>
      <c r="N224" s="39">
        <f t="shared" si="6"/>
        <v>28000</v>
      </c>
      <c r="O224" s="38" t="s">
        <v>22</v>
      </c>
    </row>
    <row r="225" spans="1:15" ht="15" customHeight="1" x14ac:dyDescent="0.2">
      <c r="A225" s="24" t="s">
        <v>368</v>
      </c>
      <c r="B225" s="36" t="s">
        <v>2356</v>
      </c>
      <c r="C225" s="24">
        <f t="shared" si="7"/>
        <v>360</v>
      </c>
      <c r="D225" s="24">
        <v>1</v>
      </c>
      <c r="G225" s="37" t="s">
        <v>1569</v>
      </c>
      <c r="H225" s="24" t="s">
        <v>3504</v>
      </c>
      <c r="I225" s="24">
        <v>331</v>
      </c>
      <c r="J225" s="24">
        <v>1111</v>
      </c>
      <c r="K225" s="24" t="s">
        <v>21</v>
      </c>
      <c r="L225" s="24">
        <v>1</v>
      </c>
      <c r="M225" s="39">
        <v>124000</v>
      </c>
      <c r="N225" s="39">
        <f t="shared" si="6"/>
        <v>124000</v>
      </c>
      <c r="O225" s="38" t="s">
        <v>22</v>
      </c>
    </row>
    <row r="226" spans="1:15" ht="15" customHeight="1" x14ac:dyDescent="0.2">
      <c r="A226" s="24" t="s">
        <v>368</v>
      </c>
      <c r="B226" s="36" t="s">
        <v>2356</v>
      </c>
      <c r="C226" s="24">
        <f t="shared" si="7"/>
        <v>361</v>
      </c>
      <c r="D226" s="24">
        <v>1</v>
      </c>
      <c r="G226" s="37" t="s">
        <v>1569</v>
      </c>
      <c r="H226" s="24" t="s">
        <v>3505</v>
      </c>
      <c r="I226" s="24">
        <v>331</v>
      </c>
      <c r="J226" s="24">
        <v>1111</v>
      </c>
      <c r="K226" s="24" t="s">
        <v>21</v>
      </c>
      <c r="L226" s="24">
        <v>1</v>
      </c>
      <c r="M226" s="39">
        <v>150000</v>
      </c>
      <c r="N226" s="39">
        <f t="shared" si="6"/>
        <v>150000</v>
      </c>
      <c r="O226" s="38" t="s">
        <v>22</v>
      </c>
    </row>
    <row r="227" spans="1:15" ht="15" customHeight="1" x14ac:dyDescent="0.2">
      <c r="A227" s="24" t="s">
        <v>368</v>
      </c>
      <c r="B227" s="36" t="s">
        <v>2356</v>
      </c>
      <c r="C227" s="24">
        <f t="shared" si="7"/>
        <v>362</v>
      </c>
      <c r="D227" s="24">
        <v>1</v>
      </c>
      <c r="G227" s="37" t="s">
        <v>1569</v>
      </c>
      <c r="H227" s="24" t="s">
        <v>3506</v>
      </c>
      <c r="I227" s="24">
        <v>331</v>
      </c>
      <c r="J227" s="24">
        <v>1111</v>
      </c>
      <c r="K227" s="24" t="s">
        <v>21</v>
      </c>
      <c r="L227" s="24">
        <v>1</v>
      </c>
      <c r="M227" s="39">
        <v>22000</v>
      </c>
      <c r="N227" s="39">
        <f t="shared" si="6"/>
        <v>22000</v>
      </c>
      <c r="O227" s="38" t="s">
        <v>22</v>
      </c>
    </row>
    <row r="228" spans="1:15" ht="15" customHeight="1" x14ac:dyDescent="0.2">
      <c r="A228" s="24" t="s">
        <v>368</v>
      </c>
      <c r="B228" s="36" t="s">
        <v>3143</v>
      </c>
      <c r="C228" s="24">
        <f t="shared" si="7"/>
        <v>363</v>
      </c>
      <c r="D228" s="24">
        <v>1</v>
      </c>
      <c r="G228" s="37" t="s">
        <v>1569</v>
      </c>
      <c r="H228" s="24" t="s">
        <v>3507</v>
      </c>
      <c r="I228" s="24">
        <v>331</v>
      </c>
      <c r="J228" s="24">
        <v>1111</v>
      </c>
      <c r="K228" s="24" t="s">
        <v>21</v>
      </c>
      <c r="L228" s="24">
        <v>1</v>
      </c>
      <c r="M228" s="39">
        <v>12000</v>
      </c>
      <c r="N228" s="39">
        <f t="shared" si="6"/>
        <v>12000</v>
      </c>
      <c r="O228" s="38" t="s">
        <v>22</v>
      </c>
    </row>
    <row r="229" spans="1:15" ht="15" customHeight="1" x14ac:dyDescent="0.2">
      <c r="A229" s="24" t="s">
        <v>368</v>
      </c>
      <c r="B229" s="36" t="s">
        <v>3143</v>
      </c>
      <c r="C229" s="24">
        <f t="shared" si="7"/>
        <v>364</v>
      </c>
      <c r="D229" s="24">
        <v>1</v>
      </c>
      <c r="G229" s="37" t="s">
        <v>1569</v>
      </c>
      <c r="H229" s="24" t="s">
        <v>3508</v>
      </c>
      <c r="I229" s="24">
        <v>331</v>
      </c>
      <c r="J229" s="24">
        <v>1111</v>
      </c>
      <c r="K229" s="24" t="s">
        <v>21</v>
      </c>
      <c r="L229" s="24">
        <v>1</v>
      </c>
      <c r="M229" s="39">
        <v>111000</v>
      </c>
      <c r="N229" s="39">
        <f t="shared" si="6"/>
        <v>111000</v>
      </c>
      <c r="O229" s="38" t="s">
        <v>22</v>
      </c>
    </row>
    <row r="230" spans="1:15" ht="15" customHeight="1" x14ac:dyDescent="0.2">
      <c r="A230" s="24" t="s">
        <v>368</v>
      </c>
      <c r="B230" s="36" t="s">
        <v>3143</v>
      </c>
      <c r="C230" s="24">
        <f t="shared" si="7"/>
        <v>365</v>
      </c>
      <c r="D230" s="24">
        <v>1</v>
      </c>
      <c r="G230" s="37" t="s">
        <v>1569</v>
      </c>
      <c r="H230" s="24" t="s">
        <v>3509</v>
      </c>
      <c r="I230" s="24">
        <v>331</v>
      </c>
      <c r="J230" s="24">
        <v>1111</v>
      </c>
      <c r="K230" s="24" t="s">
        <v>21</v>
      </c>
      <c r="L230" s="24">
        <v>1</v>
      </c>
      <c r="M230" s="39">
        <v>48000</v>
      </c>
      <c r="N230" s="39">
        <f t="shared" si="6"/>
        <v>48000</v>
      </c>
      <c r="O230" s="38" t="s">
        <v>22</v>
      </c>
    </row>
    <row r="231" spans="1:15" ht="15" customHeight="1" x14ac:dyDescent="0.2">
      <c r="A231" s="24" t="s">
        <v>368</v>
      </c>
      <c r="B231" s="36" t="s">
        <v>3143</v>
      </c>
      <c r="C231" s="24">
        <f t="shared" si="7"/>
        <v>366</v>
      </c>
      <c r="D231" s="24">
        <v>1</v>
      </c>
      <c r="G231" s="37" t="s">
        <v>1569</v>
      </c>
      <c r="H231" s="24" t="s">
        <v>3510</v>
      </c>
      <c r="I231" s="24">
        <v>331</v>
      </c>
      <c r="J231" s="24">
        <v>1111</v>
      </c>
      <c r="K231" s="24" t="s">
        <v>21</v>
      </c>
      <c r="L231" s="24">
        <v>1</v>
      </c>
      <c r="M231" s="39">
        <v>12000</v>
      </c>
      <c r="N231" s="39">
        <f t="shared" si="6"/>
        <v>12000</v>
      </c>
      <c r="O231" s="38" t="s">
        <v>22</v>
      </c>
    </row>
    <row r="232" spans="1:15" ht="15" customHeight="1" x14ac:dyDescent="0.2">
      <c r="A232" s="24" t="s">
        <v>368</v>
      </c>
      <c r="B232" s="36" t="s">
        <v>2479</v>
      </c>
      <c r="C232" s="24">
        <f t="shared" si="7"/>
        <v>367</v>
      </c>
      <c r="D232" s="24">
        <v>1</v>
      </c>
      <c r="G232" s="37" t="s">
        <v>1569</v>
      </c>
      <c r="H232" s="24" t="s">
        <v>3511</v>
      </c>
      <c r="I232" s="24">
        <v>331</v>
      </c>
      <c r="J232" s="24">
        <v>1111</v>
      </c>
      <c r="K232" s="24" t="s">
        <v>21</v>
      </c>
      <c r="L232" s="24">
        <v>1</v>
      </c>
      <c r="M232" s="39">
        <v>36000</v>
      </c>
      <c r="N232" s="39">
        <f t="shared" si="6"/>
        <v>36000</v>
      </c>
      <c r="O232" s="38" t="s">
        <v>22</v>
      </c>
    </row>
    <row r="233" spans="1:15" ht="15" customHeight="1" x14ac:dyDescent="0.2">
      <c r="A233" s="24" t="s">
        <v>368</v>
      </c>
      <c r="B233" s="36" t="s">
        <v>2479</v>
      </c>
      <c r="C233" s="24">
        <f t="shared" si="7"/>
        <v>368</v>
      </c>
      <c r="D233" s="24">
        <v>1</v>
      </c>
      <c r="G233" s="37" t="s">
        <v>1569</v>
      </c>
      <c r="H233" s="24" t="s">
        <v>3512</v>
      </c>
      <c r="I233" s="24">
        <v>331</v>
      </c>
      <c r="J233" s="24">
        <v>1111</v>
      </c>
      <c r="K233" s="24" t="s">
        <v>21</v>
      </c>
      <c r="L233" s="24">
        <v>1</v>
      </c>
      <c r="M233" s="39">
        <v>68000</v>
      </c>
      <c r="N233" s="39">
        <f t="shared" si="6"/>
        <v>68000</v>
      </c>
      <c r="O233" s="38" t="s">
        <v>22</v>
      </c>
    </row>
    <row r="234" spans="1:15" ht="15" customHeight="1" x14ac:dyDescent="0.2">
      <c r="A234" s="24" t="s">
        <v>368</v>
      </c>
      <c r="B234" s="36" t="s">
        <v>2479</v>
      </c>
      <c r="C234" s="24">
        <f t="shared" si="7"/>
        <v>369</v>
      </c>
      <c r="D234" s="24">
        <v>1</v>
      </c>
      <c r="G234" s="37" t="s">
        <v>1569</v>
      </c>
      <c r="H234" s="24" t="s">
        <v>3513</v>
      </c>
      <c r="I234" s="24">
        <v>331</v>
      </c>
      <c r="J234" s="24">
        <v>1111</v>
      </c>
      <c r="K234" s="24" t="s">
        <v>21</v>
      </c>
      <c r="L234" s="24">
        <v>1</v>
      </c>
      <c r="M234" s="39">
        <v>57000</v>
      </c>
      <c r="N234" s="39">
        <f t="shared" si="6"/>
        <v>57000</v>
      </c>
      <c r="O234" s="38" t="s">
        <v>22</v>
      </c>
    </row>
    <row r="235" spans="1:15" ht="15" customHeight="1" x14ac:dyDescent="0.2">
      <c r="A235" s="24" t="s">
        <v>368</v>
      </c>
      <c r="B235" s="36" t="s">
        <v>2479</v>
      </c>
      <c r="C235" s="24">
        <f t="shared" si="7"/>
        <v>370</v>
      </c>
      <c r="D235" s="24">
        <v>1</v>
      </c>
      <c r="G235" s="37" t="s">
        <v>1569</v>
      </c>
      <c r="H235" s="24" t="s">
        <v>3514</v>
      </c>
      <c r="I235" s="24">
        <v>331</v>
      </c>
      <c r="J235" s="24">
        <v>1111</v>
      </c>
      <c r="K235" s="24" t="s">
        <v>21</v>
      </c>
      <c r="L235" s="24">
        <v>1</v>
      </c>
      <c r="M235" s="39">
        <v>57000</v>
      </c>
      <c r="N235" s="39">
        <f t="shared" si="6"/>
        <v>57000</v>
      </c>
      <c r="O235" s="38" t="s">
        <v>22</v>
      </c>
    </row>
    <row r="236" spans="1:15" ht="15" customHeight="1" x14ac:dyDescent="0.2">
      <c r="A236" s="24" t="s">
        <v>368</v>
      </c>
      <c r="B236" s="36" t="s">
        <v>2479</v>
      </c>
      <c r="C236" s="24">
        <f t="shared" si="7"/>
        <v>371</v>
      </c>
      <c r="D236" s="24">
        <v>1</v>
      </c>
      <c r="G236" s="37" t="s">
        <v>1569</v>
      </c>
      <c r="H236" s="24" t="s">
        <v>3515</v>
      </c>
      <c r="I236" s="24">
        <v>331</v>
      </c>
      <c r="J236" s="24">
        <v>1111</v>
      </c>
      <c r="K236" s="24" t="s">
        <v>21</v>
      </c>
      <c r="L236" s="24">
        <v>1</v>
      </c>
      <c r="M236" s="39">
        <v>37000</v>
      </c>
      <c r="N236" s="39">
        <f t="shared" si="6"/>
        <v>37000</v>
      </c>
      <c r="O236" s="38" t="s">
        <v>22</v>
      </c>
    </row>
    <row r="237" spans="1:15" ht="15" customHeight="1" x14ac:dyDescent="0.2">
      <c r="A237" s="24" t="s">
        <v>368</v>
      </c>
      <c r="B237" s="36" t="s">
        <v>2116</v>
      </c>
      <c r="C237" s="24">
        <f t="shared" si="7"/>
        <v>372</v>
      </c>
      <c r="D237" s="24">
        <v>1</v>
      </c>
      <c r="G237" s="37" t="s">
        <v>1569</v>
      </c>
      <c r="H237" s="24" t="s">
        <v>3516</v>
      </c>
      <c r="I237" s="24">
        <v>331</v>
      </c>
      <c r="J237" s="24">
        <v>1111</v>
      </c>
      <c r="K237" s="24" t="s">
        <v>21</v>
      </c>
      <c r="L237" s="24">
        <v>1</v>
      </c>
      <c r="M237" s="39">
        <v>36000</v>
      </c>
      <c r="N237" s="39">
        <f t="shared" si="6"/>
        <v>36000</v>
      </c>
      <c r="O237" s="38" t="s">
        <v>22</v>
      </c>
    </row>
    <row r="238" spans="1:15" ht="15" customHeight="1" x14ac:dyDescent="0.2">
      <c r="A238" s="24" t="s">
        <v>368</v>
      </c>
      <c r="B238" s="36" t="s">
        <v>1532</v>
      </c>
      <c r="C238" s="24">
        <f t="shared" si="7"/>
        <v>373</v>
      </c>
      <c r="D238" s="24">
        <v>1</v>
      </c>
      <c r="G238" s="37" t="s">
        <v>1569</v>
      </c>
      <c r="H238" s="24" t="s">
        <v>3517</v>
      </c>
      <c r="I238" s="24">
        <v>331</v>
      </c>
      <c r="J238" s="24">
        <v>1111</v>
      </c>
      <c r="K238" s="24" t="s">
        <v>21</v>
      </c>
      <c r="L238" s="24">
        <v>1</v>
      </c>
      <c r="M238" s="39">
        <v>71000</v>
      </c>
      <c r="N238" s="39">
        <f t="shared" si="6"/>
        <v>71000</v>
      </c>
      <c r="O238" s="38" t="s">
        <v>22</v>
      </c>
    </row>
    <row r="239" spans="1:15" ht="15" customHeight="1" x14ac:dyDescent="0.2">
      <c r="A239" s="24" t="s">
        <v>368</v>
      </c>
      <c r="B239" s="36" t="s">
        <v>1532</v>
      </c>
      <c r="C239" s="24">
        <f t="shared" si="7"/>
        <v>374</v>
      </c>
      <c r="D239" s="24">
        <v>1</v>
      </c>
      <c r="G239" s="37" t="s">
        <v>1569</v>
      </c>
      <c r="H239" s="24" t="s">
        <v>3518</v>
      </c>
      <c r="I239" s="24">
        <v>331</v>
      </c>
      <c r="J239" s="24">
        <v>1111</v>
      </c>
      <c r="K239" s="24" t="s">
        <v>21</v>
      </c>
      <c r="L239" s="24">
        <v>1</v>
      </c>
      <c r="M239" s="39">
        <v>57000</v>
      </c>
      <c r="N239" s="39">
        <f t="shared" si="6"/>
        <v>57000</v>
      </c>
      <c r="O239" s="38" t="s">
        <v>22</v>
      </c>
    </row>
    <row r="240" spans="1:15" ht="15" customHeight="1" x14ac:dyDescent="0.2">
      <c r="A240" s="24" t="s">
        <v>368</v>
      </c>
      <c r="B240" s="36" t="s">
        <v>2042</v>
      </c>
      <c r="C240" s="24">
        <f t="shared" si="7"/>
        <v>375</v>
      </c>
      <c r="D240" s="24">
        <v>1</v>
      </c>
      <c r="G240" s="37" t="s">
        <v>1569</v>
      </c>
      <c r="H240" s="24" t="s">
        <v>3519</v>
      </c>
      <c r="I240" s="24">
        <v>331</v>
      </c>
      <c r="J240" s="24">
        <v>1111</v>
      </c>
      <c r="K240" s="24" t="s">
        <v>21</v>
      </c>
      <c r="L240" s="24">
        <v>1</v>
      </c>
      <c r="M240" s="39">
        <v>12000</v>
      </c>
      <c r="N240" s="39">
        <f t="shared" si="6"/>
        <v>12000</v>
      </c>
      <c r="O240" s="38" t="s">
        <v>22</v>
      </c>
    </row>
    <row r="241" spans="1:15" ht="15" customHeight="1" x14ac:dyDescent="0.2">
      <c r="A241" s="24" t="s">
        <v>368</v>
      </c>
      <c r="B241" s="36" t="s">
        <v>2042</v>
      </c>
      <c r="C241" s="24">
        <f t="shared" si="7"/>
        <v>376</v>
      </c>
      <c r="D241" s="24">
        <v>1</v>
      </c>
      <c r="G241" s="37" t="s">
        <v>1569</v>
      </c>
      <c r="H241" s="24" t="s">
        <v>3520</v>
      </c>
      <c r="I241" s="24">
        <v>331</v>
      </c>
      <c r="J241" s="24">
        <v>1111</v>
      </c>
      <c r="K241" s="24" t="s">
        <v>21</v>
      </c>
      <c r="L241" s="24">
        <v>1</v>
      </c>
      <c r="M241" s="39">
        <v>19000</v>
      </c>
      <c r="N241" s="39">
        <f t="shared" si="6"/>
        <v>19000</v>
      </c>
      <c r="O241" s="38" t="s">
        <v>22</v>
      </c>
    </row>
    <row r="242" spans="1:15" ht="15" customHeight="1" x14ac:dyDescent="0.2">
      <c r="A242" s="24" t="s">
        <v>368</v>
      </c>
      <c r="B242" s="36" t="s">
        <v>2042</v>
      </c>
      <c r="C242" s="24">
        <f t="shared" si="7"/>
        <v>377</v>
      </c>
      <c r="D242" s="24">
        <v>1</v>
      </c>
      <c r="G242" s="37" t="s">
        <v>1569</v>
      </c>
      <c r="H242" s="24" t="s">
        <v>3521</v>
      </c>
      <c r="I242" s="24">
        <v>331</v>
      </c>
      <c r="J242" s="24">
        <v>1111</v>
      </c>
      <c r="K242" s="24" t="s">
        <v>21</v>
      </c>
      <c r="L242" s="24">
        <v>1</v>
      </c>
      <c r="M242" s="39">
        <v>13000</v>
      </c>
      <c r="N242" s="39">
        <f t="shared" si="6"/>
        <v>13000</v>
      </c>
      <c r="O242" s="38" t="s">
        <v>22</v>
      </c>
    </row>
    <row r="243" spans="1:15" ht="15" customHeight="1" x14ac:dyDescent="0.2">
      <c r="A243" s="24" t="s">
        <v>368</v>
      </c>
      <c r="B243" s="36" t="s">
        <v>2042</v>
      </c>
      <c r="C243" s="24">
        <f t="shared" si="7"/>
        <v>378</v>
      </c>
      <c r="D243" s="24">
        <v>1</v>
      </c>
      <c r="G243" s="37" t="s">
        <v>1569</v>
      </c>
      <c r="H243" s="24" t="s">
        <v>3522</v>
      </c>
      <c r="I243" s="24">
        <v>331</v>
      </c>
      <c r="J243" s="24">
        <v>1111</v>
      </c>
      <c r="K243" s="24" t="s">
        <v>21</v>
      </c>
      <c r="L243" s="24">
        <v>1</v>
      </c>
      <c r="M243" s="39">
        <v>15000</v>
      </c>
      <c r="N243" s="39">
        <f t="shared" si="6"/>
        <v>15000</v>
      </c>
      <c r="O243" s="38" t="s">
        <v>22</v>
      </c>
    </row>
    <row r="244" spans="1:15" ht="15" customHeight="1" x14ac:dyDescent="0.2">
      <c r="A244" s="24" t="s">
        <v>368</v>
      </c>
      <c r="B244" s="36" t="s">
        <v>2231</v>
      </c>
      <c r="C244" s="24">
        <f t="shared" si="7"/>
        <v>379</v>
      </c>
      <c r="D244" s="24">
        <v>1</v>
      </c>
      <c r="G244" s="37" t="s">
        <v>1592</v>
      </c>
      <c r="H244" s="24" t="s">
        <v>3523</v>
      </c>
      <c r="I244" s="24">
        <v>331</v>
      </c>
      <c r="J244" s="24">
        <v>1111</v>
      </c>
      <c r="K244" s="24" t="s">
        <v>21</v>
      </c>
      <c r="L244" s="24">
        <v>1</v>
      </c>
      <c r="M244" s="39">
        <v>2556000</v>
      </c>
      <c r="N244" s="39">
        <f t="shared" si="6"/>
        <v>2556000</v>
      </c>
      <c r="O244" s="38" t="s">
        <v>22</v>
      </c>
    </row>
    <row r="245" spans="1:15" ht="15" customHeight="1" x14ac:dyDescent="0.2">
      <c r="A245" s="24" t="s">
        <v>368</v>
      </c>
      <c r="B245" s="36" t="s">
        <v>2231</v>
      </c>
      <c r="C245" s="24">
        <f t="shared" si="7"/>
        <v>380</v>
      </c>
      <c r="D245" s="24">
        <v>1</v>
      </c>
      <c r="G245" s="37" t="s">
        <v>1569</v>
      </c>
      <c r="H245" s="24" t="s">
        <v>3524</v>
      </c>
      <c r="I245" s="24">
        <v>331</v>
      </c>
      <c r="J245" s="24">
        <v>1111</v>
      </c>
      <c r="K245" s="24" t="s">
        <v>21</v>
      </c>
      <c r="L245" s="24">
        <v>1</v>
      </c>
      <c r="M245" s="39">
        <v>28000</v>
      </c>
      <c r="N245" s="39">
        <f t="shared" si="6"/>
        <v>28000</v>
      </c>
      <c r="O245" s="38" t="s">
        <v>22</v>
      </c>
    </row>
    <row r="246" spans="1:15" ht="15" customHeight="1" x14ac:dyDescent="0.2">
      <c r="A246" s="24" t="s">
        <v>368</v>
      </c>
      <c r="B246" s="36" t="s">
        <v>2043</v>
      </c>
      <c r="C246" s="24">
        <f t="shared" si="7"/>
        <v>381</v>
      </c>
      <c r="D246" s="24">
        <v>1</v>
      </c>
      <c r="G246" s="37" t="s">
        <v>1569</v>
      </c>
      <c r="H246" s="24" t="s">
        <v>3525</v>
      </c>
      <c r="I246" s="24">
        <v>331</v>
      </c>
      <c r="J246" s="24">
        <v>1111</v>
      </c>
      <c r="K246" s="24" t="s">
        <v>21</v>
      </c>
      <c r="L246" s="24">
        <v>1</v>
      </c>
      <c r="M246" s="39">
        <v>32000</v>
      </c>
      <c r="N246" s="39">
        <f t="shared" si="6"/>
        <v>32000</v>
      </c>
      <c r="O246" s="38" t="s">
        <v>22</v>
      </c>
    </row>
    <row r="247" spans="1:15" ht="15" customHeight="1" x14ac:dyDescent="0.2">
      <c r="A247" s="24" t="s">
        <v>368</v>
      </c>
      <c r="B247" s="36" t="s">
        <v>2043</v>
      </c>
      <c r="C247" s="24">
        <f t="shared" si="7"/>
        <v>382</v>
      </c>
      <c r="D247" s="24">
        <v>1</v>
      </c>
      <c r="G247" s="37" t="s">
        <v>1569</v>
      </c>
      <c r="H247" s="24" t="s">
        <v>3526</v>
      </c>
      <c r="I247" s="24">
        <v>331</v>
      </c>
      <c r="J247" s="24">
        <v>1111</v>
      </c>
      <c r="K247" s="24" t="s">
        <v>21</v>
      </c>
      <c r="L247" s="24">
        <v>1</v>
      </c>
      <c r="M247" s="39">
        <v>12000</v>
      </c>
      <c r="N247" s="39">
        <f t="shared" si="6"/>
        <v>12000</v>
      </c>
      <c r="O247" s="38" t="s">
        <v>22</v>
      </c>
    </row>
    <row r="248" spans="1:15" ht="15" customHeight="1" x14ac:dyDescent="0.2">
      <c r="A248" s="24" t="s">
        <v>368</v>
      </c>
      <c r="B248" s="36" t="s">
        <v>2043</v>
      </c>
      <c r="C248" s="24">
        <f t="shared" si="7"/>
        <v>383</v>
      </c>
      <c r="D248" s="24">
        <v>1</v>
      </c>
      <c r="G248" s="37" t="s">
        <v>1569</v>
      </c>
      <c r="H248" s="24" t="s">
        <v>3527</v>
      </c>
      <c r="I248" s="24">
        <v>331</v>
      </c>
      <c r="J248" s="24">
        <v>1111</v>
      </c>
      <c r="K248" s="24" t="s">
        <v>21</v>
      </c>
      <c r="L248" s="24">
        <v>1</v>
      </c>
      <c r="M248" s="39">
        <v>12000</v>
      </c>
      <c r="N248" s="39">
        <f t="shared" si="6"/>
        <v>12000</v>
      </c>
      <c r="O248" s="38" t="s">
        <v>22</v>
      </c>
    </row>
    <row r="249" spans="1:15" ht="15" customHeight="1" x14ac:dyDescent="0.2">
      <c r="A249" s="24" t="s">
        <v>368</v>
      </c>
      <c r="B249" s="36" t="s">
        <v>2043</v>
      </c>
      <c r="C249" s="24">
        <f t="shared" si="7"/>
        <v>384</v>
      </c>
      <c r="D249" s="24">
        <v>1</v>
      </c>
      <c r="G249" s="37" t="s">
        <v>1569</v>
      </c>
      <c r="H249" s="24" t="s">
        <v>3528</v>
      </c>
      <c r="I249" s="24">
        <v>331</v>
      </c>
      <c r="J249" s="24">
        <v>1111</v>
      </c>
      <c r="K249" s="24" t="s">
        <v>21</v>
      </c>
      <c r="L249" s="24">
        <v>1</v>
      </c>
      <c r="M249" s="39">
        <v>148000</v>
      </c>
      <c r="N249" s="39">
        <f t="shared" ref="N249:N313" si="8">L249*M249</f>
        <v>148000</v>
      </c>
      <c r="O249" s="38" t="s">
        <v>22</v>
      </c>
    </row>
    <row r="250" spans="1:15" ht="15" customHeight="1" x14ac:dyDescent="0.2">
      <c r="A250" s="24" t="s">
        <v>368</v>
      </c>
      <c r="B250" s="36" t="s">
        <v>1533</v>
      </c>
      <c r="C250" s="24">
        <f t="shared" si="7"/>
        <v>385</v>
      </c>
      <c r="D250" s="24">
        <v>1</v>
      </c>
      <c r="G250" s="37" t="s">
        <v>1569</v>
      </c>
      <c r="H250" s="24" t="s">
        <v>3529</v>
      </c>
      <c r="I250" s="24">
        <v>331</v>
      </c>
      <c r="J250" s="24">
        <v>1111</v>
      </c>
      <c r="K250" s="24" t="s">
        <v>21</v>
      </c>
      <c r="L250" s="24">
        <v>1</v>
      </c>
      <c r="M250" s="39">
        <v>23000</v>
      </c>
      <c r="N250" s="39">
        <f t="shared" si="8"/>
        <v>23000</v>
      </c>
      <c r="O250" s="38" t="s">
        <v>22</v>
      </c>
    </row>
    <row r="251" spans="1:15" ht="15" customHeight="1" x14ac:dyDescent="0.2">
      <c r="A251" s="24" t="s">
        <v>368</v>
      </c>
      <c r="B251" s="36" t="s">
        <v>1533</v>
      </c>
      <c r="C251" s="24">
        <f t="shared" si="7"/>
        <v>386</v>
      </c>
      <c r="D251" s="24">
        <v>1</v>
      </c>
      <c r="G251" s="37" t="s">
        <v>1569</v>
      </c>
      <c r="H251" s="24" t="s">
        <v>3530</v>
      </c>
      <c r="I251" s="24">
        <v>331</v>
      </c>
      <c r="J251" s="24">
        <v>1111</v>
      </c>
      <c r="K251" s="24" t="s">
        <v>21</v>
      </c>
      <c r="L251" s="24">
        <v>1</v>
      </c>
      <c r="M251" s="39">
        <v>23000</v>
      </c>
      <c r="N251" s="39">
        <f t="shared" si="8"/>
        <v>23000</v>
      </c>
      <c r="O251" s="38" t="s">
        <v>22</v>
      </c>
    </row>
    <row r="252" spans="1:15" ht="15" customHeight="1" x14ac:dyDescent="0.2">
      <c r="A252" s="24" t="s">
        <v>368</v>
      </c>
      <c r="B252" s="36" t="s">
        <v>1533</v>
      </c>
      <c r="C252" s="24">
        <f t="shared" si="7"/>
        <v>387</v>
      </c>
      <c r="D252" s="24">
        <v>1</v>
      </c>
      <c r="G252" s="37" t="s">
        <v>1569</v>
      </c>
      <c r="H252" s="24" t="s">
        <v>3531</v>
      </c>
      <c r="I252" s="24">
        <v>331</v>
      </c>
      <c r="J252" s="24">
        <v>1111</v>
      </c>
      <c r="K252" s="24" t="s">
        <v>21</v>
      </c>
      <c r="L252" s="24">
        <v>1</v>
      </c>
      <c r="M252" s="39">
        <v>26000</v>
      </c>
      <c r="N252" s="39">
        <f t="shared" si="8"/>
        <v>26000</v>
      </c>
      <c r="O252" s="38" t="s">
        <v>22</v>
      </c>
    </row>
    <row r="253" spans="1:15" ht="15" customHeight="1" x14ac:dyDescent="0.2">
      <c r="A253" s="24" t="s">
        <v>368</v>
      </c>
      <c r="B253" s="36" t="s">
        <v>1533</v>
      </c>
      <c r="C253" s="24">
        <f t="shared" si="7"/>
        <v>388</v>
      </c>
      <c r="D253" s="24">
        <v>1</v>
      </c>
      <c r="G253" s="37" t="s">
        <v>1569</v>
      </c>
      <c r="H253" s="24" t="s">
        <v>3532</v>
      </c>
      <c r="I253" s="24">
        <v>331</v>
      </c>
      <c r="J253" s="24">
        <v>1111</v>
      </c>
      <c r="K253" s="24" t="s">
        <v>21</v>
      </c>
      <c r="L253" s="24">
        <v>1</v>
      </c>
      <c r="M253" s="39">
        <v>12000</v>
      </c>
      <c r="N253" s="39">
        <f t="shared" si="8"/>
        <v>12000</v>
      </c>
      <c r="O253" s="38" t="s">
        <v>22</v>
      </c>
    </row>
    <row r="254" spans="1:15" ht="15" customHeight="1" x14ac:dyDescent="0.2">
      <c r="A254" s="24" t="s">
        <v>368</v>
      </c>
      <c r="B254" s="36" t="s">
        <v>1533</v>
      </c>
      <c r="C254" s="24">
        <f t="shared" si="7"/>
        <v>389</v>
      </c>
      <c r="D254" s="24">
        <v>1</v>
      </c>
      <c r="G254" s="37" t="s">
        <v>1569</v>
      </c>
      <c r="H254" s="24" t="s">
        <v>3533</v>
      </c>
      <c r="I254" s="24">
        <v>331</v>
      </c>
      <c r="J254" s="24">
        <v>1111</v>
      </c>
      <c r="K254" s="24" t="s">
        <v>21</v>
      </c>
      <c r="L254" s="24">
        <v>1</v>
      </c>
      <c r="M254" s="39">
        <v>26000</v>
      </c>
      <c r="N254" s="39">
        <f t="shared" si="8"/>
        <v>26000</v>
      </c>
      <c r="O254" s="38" t="s">
        <v>22</v>
      </c>
    </row>
    <row r="255" spans="1:15" ht="15" customHeight="1" x14ac:dyDescent="0.2">
      <c r="A255" s="24" t="s">
        <v>368</v>
      </c>
      <c r="B255" s="36" t="s">
        <v>2114</v>
      </c>
      <c r="C255" s="24">
        <f t="shared" si="7"/>
        <v>390</v>
      </c>
      <c r="D255" s="24">
        <v>1</v>
      </c>
      <c r="G255" s="37" t="s">
        <v>1569</v>
      </c>
      <c r="H255" s="24" t="s">
        <v>3534</v>
      </c>
      <c r="I255" s="24">
        <v>331</v>
      </c>
      <c r="J255" s="24">
        <v>1111</v>
      </c>
      <c r="K255" s="24" t="s">
        <v>21</v>
      </c>
      <c r="L255" s="24">
        <v>1</v>
      </c>
      <c r="M255" s="39">
        <v>12000</v>
      </c>
      <c r="N255" s="39">
        <f t="shared" si="8"/>
        <v>12000</v>
      </c>
      <c r="O255" s="38" t="s">
        <v>22</v>
      </c>
    </row>
    <row r="256" spans="1:15" ht="15" customHeight="1" x14ac:dyDescent="0.2">
      <c r="A256" s="24" t="s">
        <v>368</v>
      </c>
      <c r="B256" s="36" t="s">
        <v>2114</v>
      </c>
      <c r="C256" s="24">
        <f t="shared" si="7"/>
        <v>391</v>
      </c>
      <c r="D256" s="24">
        <v>1</v>
      </c>
      <c r="G256" s="37" t="s">
        <v>1569</v>
      </c>
      <c r="H256" s="24" t="s">
        <v>3535</v>
      </c>
      <c r="I256" s="24">
        <v>331</v>
      </c>
      <c r="J256" s="24">
        <v>1111</v>
      </c>
      <c r="K256" s="24" t="s">
        <v>21</v>
      </c>
      <c r="L256" s="24">
        <v>1</v>
      </c>
      <c r="M256" s="39">
        <v>12000</v>
      </c>
      <c r="N256" s="39">
        <f t="shared" si="8"/>
        <v>12000</v>
      </c>
      <c r="O256" s="38" t="s">
        <v>22</v>
      </c>
    </row>
    <row r="257" spans="1:15" ht="15" customHeight="1" x14ac:dyDescent="0.2">
      <c r="A257" s="24" t="s">
        <v>368</v>
      </c>
      <c r="B257" s="36" t="s">
        <v>1474</v>
      </c>
      <c r="C257" s="24">
        <f t="shared" si="7"/>
        <v>392</v>
      </c>
      <c r="D257" s="24">
        <v>1</v>
      </c>
      <c r="G257" s="37" t="s">
        <v>1569</v>
      </c>
      <c r="H257" s="24" t="s">
        <v>3536</v>
      </c>
      <c r="I257" s="24">
        <v>331</v>
      </c>
      <c r="J257" s="24">
        <v>1111</v>
      </c>
      <c r="K257" s="24" t="s">
        <v>21</v>
      </c>
      <c r="L257" s="24">
        <v>1</v>
      </c>
      <c r="M257" s="39">
        <v>12000</v>
      </c>
      <c r="N257" s="39">
        <f t="shared" si="8"/>
        <v>12000</v>
      </c>
      <c r="O257" s="38" t="s">
        <v>22</v>
      </c>
    </row>
    <row r="258" spans="1:15" ht="15" customHeight="1" x14ac:dyDescent="0.2">
      <c r="A258" s="24" t="s">
        <v>368</v>
      </c>
      <c r="B258" s="36" t="s">
        <v>1474</v>
      </c>
      <c r="C258" s="24">
        <f t="shared" si="7"/>
        <v>393</v>
      </c>
      <c r="D258" s="24">
        <v>1</v>
      </c>
      <c r="G258" s="37" t="s">
        <v>1569</v>
      </c>
      <c r="H258" s="24" t="s">
        <v>3537</v>
      </c>
      <c r="I258" s="24">
        <v>331</v>
      </c>
      <c r="J258" s="24">
        <v>1111</v>
      </c>
      <c r="K258" s="24" t="s">
        <v>21</v>
      </c>
      <c r="L258" s="24">
        <v>1</v>
      </c>
      <c r="M258" s="39">
        <v>12000</v>
      </c>
      <c r="N258" s="39">
        <f t="shared" si="8"/>
        <v>12000</v>
      </c>
      <c r="O258" s="38" t="s">
        <v>22</v>
      </c>
    </row>
    <row r="259" spans="1:15" ht="15" customHeight="1" x14ac:dyDescent="0.2">
      <c r="A259" s="24" t="s">
        <v>368</v>
      </c>
      <c r="B259" s="36" t="s">
        <v>2044</v>
      </c>
      <c r="C259" s="24">
        <f t="shared" si="7"/>
        <v>394</v>
      </c>
      <c r="D259" s="24">
        <v>1</v>
      </c>
      <c r="G259" s="37" t="s">
        <v>1569</v>
      </c>
      <c r="H259" s="24" t="s">
        <v>3538</v>
      </c>
      <c r="I259" s="24">
        <v>331</v>
      </c>
      <c r="J259" s="24">
        <v>1111</v>
      </c>
      <c r="K259" s="24" t="s">
        <v>21</v>
      </c>
      <c r="L259" s="24">
        <v>1</v>
      </c>
      <c r="M259" s="39">
        <v>12000</v>
      </c>
      <c r="N259" s="39">
        <f t="shared" si="8"/>
        <v>12000</v>
      </c>
      <c r="O259" s="38" t="s">
        <v>22</v>
      </c>
    </row>
    <row r="260" spans="1:15" ht="15" customHeight="1" x14ac:dyDescent="0.2">
      <c r="A260" s="24" t="s">
        <v>368</v>
      </c>
      <c r="B260" s="36" t="s">
        <v>2044</v>
      </c>
      <c r="C260" s="24">
        <f t="shared" si="7"/>
        <v>395</v>
      </c>
      <c r="D260" s="24">
        <v>1</v>
      </c>
      <c r="G260" s="37" t="s">
        <v>1569</v>
      </c>
      <c r="H260" s="24" t="s">
        <v>3539</v>
      </c>
      <c r="I260" s="24">
        <v>331</v>
      </c>
      <c r="J260" s="24">
        <v>1111</v>
      </c>
      <c r="K260" s="24" t="s">
        <v>21</v>
      </c>
      <c r="L260" s="24">
        <v>1</v>
      </c>
      <c r="M260" s="39">
        <v>12000</v>
      </c>
      <c r="N260" s="39">
        <f t="shared" si="8"/>
        <v>12000</v>
      </c>
      <c r="O260" s="38" t="s">
        <v>22</v>
      </c>
    </row>
    <row r="261" spans="1:15" ht="15" customHeight="1" x14ac:dyDescent="0.2">
      <c r="A261" s="24" t="s">
        <v>368</v>
      </c>
      <c r="B261" s="36">
        <v>45869</v>
      </c>
      <c r="C261" s="24">
        <f t="shared" ref="C261:C324" si="9">C260+D261</f>
        <v>396</v>
      </c>
      <c r="D261" s="24">
        <v>1</v>
      </c>
      <c r="G261" s="37" t="s">
        <v>1569</v>
      </c>
      <c r="H261" s="24" t="s">
        <v>3540</v>
      </c>
      <c r="I261" s="24">
        <v>331</v>
      </c>
      <c r="J261" s="24">
        <v>1111</v>
      </c>
      <c r="K261" s="24" t="s">
        <v>21</v>
      </c>
      <c r="L261" s="24">
        <v>1</v>
      </c>
      <c r="M261" s="39">
        <v>90000</v>
      </c>
      <c r="N261" s="39">
        <f t="shared" si="8"/>
        <v>90000</v>
      </c>
      <c r="O261" s="38" t="s">
        <v>22</v>
      </c>
    </row>
    <row r="262" spans="1:15" ht="15" customHeight="1" x14ac:dyDescent="0.2">
      <c r="A262" s="24" t="s">
        <v>368</v>
      </c>
      <c r="B262" s="36" t="s">
        <v>1532</v>
      </c>
      <c r="C262" s="24">
        <f t="shared" si="9"/>
        <v>397</v>
      </c>
      <c r="D262" s="24">
        <v>1</v>
      </c>
      <c r="G262" s="37" t="s">
        <v>3147</v>
      </c>
      <c r="H262" s="24" t="s">
        <v>3541</v>
      </c>
      <c r="I262" s="24">
        <v>331</v>
      </c>
      <c r="J262" s="24">
        <v>1111</v>
      </c>
      <c r="K262" s="24" t="s">
        <v>21</v>
      </c>
      <c r="L262" s="24">
        <v>1</v>
      </c>
      <c r="M262" s="39">
        <v>1760000</v>
      </c>
      <c r="N262" s="39">
        <f t="shared" si="8"/>
        <v>1760000</v>
      </c>
      <c r="O262" s="38" t="s">
        <v>22</v>
      </c>
    </row>
    <row r="263" spans="1:15" ht="15" customHeight="1" x14ac:dyDescent="0.2">
      <c r="A263" s="24" t="s">
        <v>368</v>
      </c>
      <c r="B263" s="36" t="s">
        <v>2042</v>
      </c>
      <c r="C263" s="24">
        <f t="shared" si="9"/>
        <v>398</v>
      </c>
      <c r="D263" s="24">
        <v>1</v>
      </c>
      <c r="G263" s="37" t="s">
        <v>3148</v>
      </c>
      <c r="H263" s="24" t="s">
        <v>3542</v>
      </c>
      <c r="I263" s="24">
        <v>331</v>
      </c>
      <c r="J263" s="24">
        <v>1111</v>
      </c>
      <c r="K263" s="24" t="s">
        <v>21</v>
      </c>
      <c r="L263" s="24">
        <v>1</v>
      </c>
      <c r="M263" s="39">
        <v>329000</v>
      </c>
      <c r="N263" s="39">
        <f t="shared" si="8"/>
        <v>329000</v>
      </c>
      <c r="O263" s="38" t="s">
        <v>22</v>
      </c>
    </row>
    <row r="264" spans="1:15" ht="15" customHeight="1" x14ac:dyDescent="0.2">
      <c r="A264" s="24" t="s">
        <v>368</v>
      </c>
      <c r="B264" s="36" t="s">
        <v>2480</v>
      </c>
      <c r="C264" s="24">
        <f t="shared" si="9"/>
        <v>399</v>
      </c>
      <c r="D264" s="24">
        <v>1</v>
      </c>
      <c r="G264" s="37" t="s">
        <v>3149</v>
      </c>
      <c r="H264" s="24" t="s">
        <v>3543</v>
      </c>
      <c r="I264" s="24">
        <v>331</v>
      </c>
      <c r="J264" s="24">
        <v>1111</v>
      </c>
      <c r="K264" s="24" t="s">
        <v>21</v>
      </c>
      <c r="L264" s="24">
        <v>1</v>
      </c>
      <c r="M264" s="39">
        <v>1543320</v>
      </c>
      <c r="N264" s="39">
        <f t="shared" si="8"/>
        <v>1543320</v>
      </c>
      <c r="O264" s="38" t="s">
        <v>22</v>
      </c>
    </row>
    <row r="265" spans="1:15" ht="15" customHeight="1" x14ac:dyDescent="0.2">
      <c r="A265" s="24" t="s">
        <v>368</v>
      </c>
      <c r="B265" s="36" t="s">
        <v>3144</v>
      </c>
      <c r="C265" s="24">
        <f t="shared" si="9"/>
        <v>400</v>
      </c>
      <c r="D265" s="24">
        <v>1</v>
      </c>
      <c r="G265" s="37" t="s">
        <v>3150</v>
      </c>
      <c r="H265" s="24" t="s">
        <v>3544</v>
      </c>
      <c r="I265" s="24">
        <v>331</v>
      </c>
      <c r="J265" s="24">
        <v>1111</v>
      </c>
      <c r="K265" s="24" t="s">
        <v>21</v>
      </c>
      <c r="L265" s="24">
        <v>1</v>
      </c>
      <c r="M265" s="39">
        <v>696600</v>
      </c>
      <c r="N265" s="39">
        <f t="shared" si="8"/>
        <v>696600</v>
      </c>
      <c r="O265" s="38" t="s">
        <v>22</v>
      </c>
    </row>
    <row r="266" spans="1:15" ht="15" customHeight="1" x14ac:dyDescent="0.2">
      <c r="A266" s="24" t="s">
        <v>368</v>
      </c>
      <c r="B266" s="36" t="s">
        <v>2300</v>
      </c>
      <c r="C266" s="24">
        <f t="shared" si="9"/>
        <v>401</v>
      </c>
      <c r="D266" s="24">
        <v>1</v>
      </c>
      <c r="G266" s="37" t="s">
        <v>638</v>
      </c>
      <c r="H266" s="24" t="s">
        <v>3545</v>
      </c>
      <c r="I266" s="24">
        <v>331</v>
      </c>
      <c r="J266" s="24">
        <v>1111</v>
      </c>
      <c r="K266" s="24" t="s">
        <v>21</v>
      </c>
      <c r="L266" s="24">
        <v>1</v>
      </c>
      <c r="M266" s="39">
        <v>960120</v>
      </c>
      <c r="N266" s="39">
        <f t="shared" si="8"/>
        <v>960120</v>
      </c>
      <c r="O266" s="38" t="s">
        <v>22</v>
      </c>
    </row>
    <row r="267" spans="1:15" ht="15" customHeight="1" x14ac:dyDescent="0.2">
      <c r="A267" s="24" t="s">
        <v>368</v>
      </c>
      <c r="B267" s="36" t="s">
        <v>2481</v>
      </c>
      <c r="C267" s="24">
        <f t="shared" si="9"/>
        <v>402</v>
      </c>
      <c r="D267" s="24">
        <v>1</v>
      </c>
      <c r="G267" s="37" t="s">
        <v>3151</v>
      </c>
      <c r="H267" s="24" t="s">
        <v>3546</v>
      </c>
      <c r="I267" s="24">
        <v>331</v>
      </c>
      <c r="J267" s="24">
        <v>1111</v>
      </c>
      <c r="K267" s="24" t="s">
        <v>21</v>
      </c>
      <c r="L267" s="24">
        <v>1</v>
      </c>
      <c r="M267" s="39">
        <v>2199000</v>
      </c>
      <c r="N267" s="39">
        <f t="shared" si="8"/>
        <v>2199000</v>
      </c>
      <c r="O267" s="38" t="s">
        <v>22</v>
      </c>
    </row>
    <row r="268" spans="1:15" ht="15" customHeight="1" x14ac:dyDescent="0.2">
      <c r="A268" s="24" t="s">
        <v>368</v>
      </c>
      <c r="B268" s="36" t="s">
        <v>2119</v>
      </c>
      <c r="C268" s="24">
        <f t="shared" si="9"/>
        <v>403</v>
      </c>
      <c r="D268" s="24">
        <v>1</v>
      </c>
      <c r="G268" s="37" t="s">
        <v>158</v>
      </c>
      <c r="H268" s="24" t="s">
        <v>3547</v>
      </c>
      <c r="I268" s="24">
        <v>331</v>
      </c>
      <c r="J268" s="24">
        <v>1111</v>
      </c>
      <c r="K268" s="24" t="s">
        <v>21</v>
      </c>
      <c r="L268" s="24">
        <v>1</v>
      </c>
      <c r="M268" s="39">
        <v>3240000</v>
      </c>
      <c r="N268" s="39">
        <f t="shared" si="8"/>
        <v>3240000</v>
      </c>
      <c r="O268" s="38" t="s">
        <v>22</v>
      </c>
    </row>
    <row r="269" spans="1:15" ht="15" customHeight="1" x14ac:dyDescent="0.2">
      <c r="A269" s="24" t="s">
        <v>368</v>
      </c>
      <c r="B269" s="36" t="s">
        <v>2118</v>
      </c>
      <c r="C269" s="24">
        <f t="shared" si="9"/>
        <v>404</v>
      </c>
      <c r="D269" s="24">
        <v>1</v>
      </c>
      <c r="G269" s="37" t="s">
        <v>1569</v>
      </c>
      <c r="H269" s="24" t="s">
        <v>3548</v>
      </c>
      <c r="I269" s="24">
        <v>331</v>
      </c>
      <c r="J269" s="24">
        <v>1111</v>
      </c>
      <c r="K269" s="24" t="s">
        <v>21</v>
      </c>
      <c r="L269" s="24">
        <v>1</v>
      </c>
      <c r="M269" s="39">
        <v>54000</v>
      </c>
      <c r="N269" s="39">
        <f t="shared" si="8"/>
        <v>54000</v>
      </c>
      <c r="O269" s="38" t="s">
        <v>22</v>
      </c>
    </row>
    <row r="270" spans="1:15" ht="15" customHeight="1" x14ac:dyDescent="0.2">
      <c r="A270" s="24" t="s">
        <v>368</v>
      </c>
      <c r="B270" s="36" t="s">
        <v>2118</v>
      </c>
      <c r="C270" s="24">
        <f t="shared" si="9"/>
        <v>405</v>
      </c>
      <c r="D270" s="24">
        <v>1</v>
      </c>
      <c r="G270" s="37" t="s">
        <v>1569</v>
      </c>
      <c r="H270" s="24" t="s">
        <v>3549</v>
      </c>
      <c r="I270" s="24">
        <v>331</v>
      </c>
      <c r="J270" s="24">
        <v>1111</v>
      </c>
      <c r="K270" s="24" t="s">
        <v>21</v>
      </c>
      <c r="L270" s="24">
        <v>1</v>
      </c>
      <c r="M270" s="39">
        <v>99000</v>
      </c>
      <c r="N270" s="39">
        <f t="shared" si="8"/>
        <v>99000</v>
      </c>
      <c r="O270" s="38" t="s">
        <v>22</v>
      </c>
    </row>
    <row r="271" spans="1:15" ht="15" customHeight="1" x14ac:dyDescent="0.2">
      <c r="A271" s="24" t="s">
        <v>368</v>
      </c>
      <c r="B271" s="36" t="s">
        <v>1475</v>
      </c>
      <c r="C271" s="24">
        <f t="shared" si="9"/>
        <v>406</v>
      </c>
      <c r="D271" s="24">
        <v>1</v>
      </c>
      <c r="G271" s="37" t="s">
        <v>1569</v>
      </c>
      <c r="H271" s="24" t="s">
        <v>3550</v>
      </c>
      <c r="I271" s="24">
        <v>331</v>
      </c>
      <c r="J271" s="24">
        <v>1111</v>
      </c>
      <c r="K271" s="24" t="s">
        <v>21</v>
      </c>
      <c r="L271" s="24">
        <v>1</v>
      </c>
      <c r="M271" s="39">
        <v>50000</v>
      </c>
      <c r="N271" s="39">
        <f t="shared" si="8"/>
        <v>50000</v>
      </c>
      <c r="O271" s="38" t="s">
        <v>22</v>
      </c>
    </row>
    <row r="272" spans="1:15" ht="15" customHeight="1" x14ac:dyDescent="0.2">
      <c r="A272" s="24" t="s">
        <v>368</v>
      </c>
      <c r="B272" s="36" t="s">
        <v>2121</v>
      </c>
      <c r="C272" s="24">
        <f t="shared" si="9"/>
        <v>407</v>
      </c>
      <c r="D272" s="24">
        <v>1</v>
      </c>
      <c r="G272" s="37" t="s">
        <v>1569</v>
      </c>
      <c r="H272" s="24" t="s">
        <v>3551</v>
      </c>
      <c r="I272" s="24">
        <v>331</v>
      </c>
      <c r="J272" s="24">
        <v>1111</v>
      </c>
      <c r="K272" s="24" t="s">
        <v>21</v>
      </c>
      <c r="L272" s="24">
        <v>1</v>
      </c>
      <c r="M272" s="39">
        <v>119000</v>
      </c>
      <c r="N272" s="39">
        <f t="shared" si="8"/>
        <v>119000</v>
      </c>
      <c r="O272" s="38" t="s">
        <v>22</v>
      </c>
    </row>
    <row r="273" spans="1:15" ht="15" customHeight="1" x14ac:dyDescent="0.2">
      <c r="A273" s="24" t="s">
        <v>368</v>
      </c>
      <c r="B273" s="36" t="s">
        <v>2121</v>
      </c>
      <c r="C273" s="24">
        <f t="shared" si="9"/>
        <v>408</v>
      </c>
      <c r="D273" s="24">
        <v>1</v>
      </c>
      <c r="G273" s="37" t="s">
        <v>1569</v>
      </c>
      <c r="H273" s="24" t="s">
        <v>3552</v>
      </c>
      <c r="I273" s="24">
        <v>331</v>
      </c>
      <c r="J273" s="24">
        <v>1111</v>
      </c>
      <c r="K273" s="24" t="s">
        <v>21</v>
      </c>
      <c r="L273" s="24">
        <v>1</v>
      </c>
      <c r="M273" s="39">
        <v>52000</v>
      </c>
      <c r="N273" s="39">
        <f t="shared" si="8"/>
        <v>52000</v>
      </c>
      <c r="O273" s="38" t="s">
        <v>22</v>
      </c>
    </row>
    <row r="274" spans="1:15" ht="15" customHeight="1" x14ac:dyDescent="0.2">
      <c r="A274" s="24" t="s">
        <v>368</v>
      </c>
      <c r="B274" s="36" t="s">
        <v>2232</v>
      </c>
      <c r="C274" s="24">
        <f t="shared" si="9"/>
        <v>409</v>
      </c>
      <c r="D274" s="24">
        <v>1</v>
      </c>
      <c r="G274" s="37" t="s">
        <v>1569</v>
      </c>
      <c r="H274" s="24" t="s">
        <v>3553</v>
      </c>
      <c r="I274" s="24">
        <v>331</v>
      </c>
      <c r="J274" s="24">
        <v>1111</v>
      </c>
      <c r="K274" s="24" t="s">
        <v>21</v>
      </c>
      <c r="L274" s="24">
        <v>1</v>
      </c>
      <c r="M274" s="39">
        <v>49000</v>
      </c>
      <c r="N274" s="39">
        <f t="shared" si="8"/>
        <v>49000</v>
      </c>
      <c r="O274" s="38" t="s">
        <v>22</v>
      </c>
    </row>
    <row r="275" spans="1:15" ht="15" customHeight="1" x14ac:dyDescent="0.2">
      <c r="A275" s="24" t="s">
        <v>368</v>
      </c>
      <c r="B275" s="36" t="s">
        <v>2232</v>
      </c>
      <c r="C275" s="24">
        <f t="shared" si="9"/>
        <v>410</v>
      </c>
      <c r="D275" s="24">
        <v>1</v>
      </c>
      <c r="G275" s="37" t="s">
        <v>1569</v>
      </c>
      <c r="H275" s="24" t="s">
        <v>3554</v>
      </c>
      <c r="I275" s="24">
        <v>331</v>
      </c>
      <c r="J275" s="24">
        <v>1111</v>
      </c>
      <c r="K275" s="24" t="s">
        <v>21</v>
      </c>
      <c r="L275" s="24">
        <v>1</v>
      </c>
      <c r="M275" s="39">
        <v>14000</v>
      </c>
      <c r="N275" s="39">
        <f t="shared" si="8"/>
        <v>14000</v>
      </c>
      <c r="O275" s="38" t="s">
        <v>22</v>
      </c>
    </row>
    <row r="276" spans="1:15" ht="15" customHeight="1" x14ac:dyDescent="0.2">
      <c r="A276" s="24" t="s">
        <v>368</v>
      </c>
      <c r="B276" s="36" t="s">
        <v>1411</v>
      </c>
      <c r="C276" s="24">
        <f t="shared" si="9"/>
        <v>411</v>
      </c>
      <c r="D276" s="24">
        <v>1</v>
      </c>
      <c r="G276" s="37" t="s">
        <v>1569</v>
      </c>
      <c r="H276" s="24" t="s">
        <v>3555</v>
      </c>
      <c r="I276" s="24">
        <v>331</v>
      </c>
      <c r="J276" s="24">
        <v>1111</v>
      </c>
      <c r="K276" s="24" t="s">
        <v>21</v>
      </c>
      <c r="L276" s="24">
        <v>1</v>
      </c>
      <c r="M276" s="39">
        <v>12000</v>
      </c>
      <c r="N276" s="39">
        <f t="shared" si="8"/>
        <v>12000</v>
      </c>
      <c r="O276" s="38" t="s">
        <v>22</v>
      </c>
    </row>
    <row r="277" spans="1:15" ht="15" customHeight="1" x14ac:dyDescent="0.2">
      <c r="A277" s="24" t="s">
        <v>368</v>
      </c>
      <c r="B277" s="36" t="s">
        <v>1411</v>
      </c>
      <c r="C277" s="24">
        <f t="shared" si="9"/>
        <v>412</v>
      </c>
      <c r="D277" s="24">
        <v>1</v>
      </c>
      <c r="G277" s="37" t="s">
        <v>1569</v>
      </c>
      <c r="H277" s="24" t="s">
        <v>3556</v>
      </c>
      <c r="I277" s="24">
        <v>331</v>
      </c>
      <c r="J277" s="24">
        <v>1111</v>
      </c>
      <c r="K277" s="24" t="s">
        <v>21</v>
      </c>
      <c r="L277" s="24">
        <v>1</v>
      </c>
      <c r="M277" s="39">
        <v>10000</v>
      </c>
      <c r="N277" s="39">
        <f t="shared" si="8"/>
        <v>10000</v>
      </c>
      <c r="O277" s="38" t="s">
        <v>22</v>
      </c>
    </row>
    <row r="278" spans="1:15" ht="15" customHeight="1" x14ac:dyDescent="0.2">
      <c r="A278" s="24" t="s">
        <v>368</v>
      </c>
      <c r="B278" s="36" t="s">
        <v>1476</v>
      </c>
      <c r="C278" s="24">
        <f t="shared" si="9"/>
        <v>413</v>
      </c>
      <c r="D278" s="24">
        <v>1</v>
      </c>
      <c r="G278" s="37" t="s">
        <v>1569</v>
      </c>
      <c r="H278" s="24" t="s">
        <v>3557</v>
      </c>
      <c r="I278" s="24">
        <v>331</v>
      </c>
      <c r="J278" s="24">
        <v>1111</v>
      </c>
      <c r="K278" s="24" t="s">
        <v>21</v>
      </c>
      <c r="L278" s="24">
        <v>1</v>
      </c>
      <c r="M278" s="39">
        <v>12000</v>
      </c>
      <c r="N278" s="39">
        <f t="shared" si="8"/>
        <v>12000</v>
      </c>
      <c r="O278" s="38" t="s">
        <v>22</v>
      </c>
    </row>
    <row r="279" spans="1:15" ht="15" customHeight="1" x14ac:dyDescent="0.2">
      <c r="A279" s="24" t="s">
        <v>368</v>
      </c>
      <c r="B279" s="36" t="s">
        <v>1476</v>
      </c>
      <c r="C279" s="24">
        <f t="shared" si="9"/>
        <v>414</v>
      </c>
      <c r="D279" s="24">
        <v>1</v>
      </c>
      <c r="G279" s="37" t="s">
        <v>1569</v>
      </c>
      <c r="H279" s="24" t="s">
        <v>3558</v>
      </c>
      <c r="I279" s="24">
        <v>331</v>
      </c>
      <c r="J279" s="24">
        <v>1111</v>
      </c>
      <c r="K279" s="24" t="s">
        <v>21</v>
      </c>
      <c r="L279" s="24">
        <v>1</v>
      </c>
      <c r="M279" s="39">
        <v>12000</v>
      </c>
      <c r="N279" s="39">
        <f t="shared" si="8"/>
        <v>12000</v>
      </c>
      <c r="O279" s="38" t="s">
        <v>22</v>
      </c>
    </row>
    <row r="280" spans="1:15" ht="15" customHeight="1" x14ac:dyDescent="0.2">
      <c r="A280" s="24" t="s">
        <v>368</v>
      </c>
      <c r="B280" s="36" t="s">
        <v>2123</v>
      </c>
      <c r="C280" s="24">
        <f t="shared" si="9"/>
        <v>415</v>
      </c>
      <c r="D280" s="24">
        <v>1</v>
      </c>
      <c r="G280" s="37" t="s">
        <v>1569</v>
      </c>
      <c r="H280" s="24" t="s">
        <v>3559</v>
      </c>
      <c r="I280" s="24">
        <v>331</v>
      </c>
      <c r="J280" s="24">
        <v>1111</v>
      </c>
      <c r="K280" s="24" t="s">
        <v>21</v>
      </c>
      <c r="L280" s="24">
        <v>1</v>
      </c>
      <c r="M280" s="39">
        <v>18000</v>
      </c>
      <c r="N280" s="39">
        <f t="shared" si="8"/>
        <v>18000</v>
      </c>
      <c r="O280" s="38" t="s">
        <v>22</v>
      </c>
    </row>
    <row r="281" spans="1:15" ht="15" customHeight="1" x14ac:dyDescent="0.2">
      <c r="A281" s="24" t="s">
        <v>368</v>
      </c>
      <c r="B281" s="36" t="s">
        <v>2123</v>
      </c>
      <c r="C281" s="24">
        <f t="shared" si="9"/>
        <v>416</v>
      </c>
      <c r="D281" s="24">
        <v>1</v>
      </c>
      <c r="G281" s="37" t="s">
        <v>1569</v>
      </c>
      <c r="H281" s="24" t="s">
        <v>3560</v>
      </c>
      <c r="I281" s="24">
        <v>331</v>
      </c>
      <c r="J281" s="24">
        <v>1111</v>
      </c>
      <c r="K281" s="24" t="s">
        <v>21</v>
      </c>
      <c r="L281" s="24">
        <v>1</v>
      </c>
      <c r="M281" s="39">
        <v>24000</v>
      </c>
      <c r="N281" s="39">
        <f t="shared" si="8"/>
        <v>24000</v>
      </c>
      <c r="O281" s="38" t="s">
        <v>22</v>
      </c>
    </row>
    <row r="282" spans="1:15" ht="15" customHeight="1" x14ac:dyDescent="0.2">
      <c r="A282" s="24" t="s">
        <v>368</v>
      </c>
      <c r="B282" s="36" t="s">
        <v>1412</v>
      </c>
      <c r="C282" s="24">
        <f t="shared" si="9"/>
        <v>417</v>
      </c>
      <c r="D282" s="24">
        <v>1</v>
      </c>
      <c r="G282" s="37" t="s">
        <v>1569</v>
      </c>
      <c r="H282" s="24" t="s">
        <v>3561</v>
      </c>
      <c r="I282" s="24">
        <v>331</v>
      </c>
      <c r="J282" s="24">
        <v>1111</v>
      </c>
      <c r="K282" s="24" t="s">
        <v>21</v>
      </c>
      <c r="L282" s="24">
        <v>1</v>
      </c>
      <c r="M282" s="39">
        <v>38000</v>
      </c>
      <c r="N282" s="39">
        <f t="shared" si="8"/>
        <v>38000</v>
      </c>
      <c r="O282" s="38" t="s">
        <v>22</v>
      </c>
    </row>
    <row r="283" spans="1:15" ht="15" customHeight="1" x14ac:dyDescent="0.2">
      <c r="A283" s="24" t="s">
        <v>368</v>
      </c>
      <c r="B283" s="36" t="s">
        <v>1412</v>
      </c>
      <c r="C283" s="24">
        <f t="shared" si="9"/>
        <v>418</v>
      </c>
      <c r="D283" s="24">
        <v>1</v>
      </c>
      <c r="G283" s="37" t="s">
        <v>1569</v>
      </c>
      <c r="H283" s="24" t="s">
        <v>3562</v>
      </c>
      <c r="I283" s="24">
        <v>331</v>
      </c>
      <c r="J283" s="24">
        <v>1111</v>
      </c>
      <c r="K283" s="24" t="s">
        <v>21</v>
      </c>
      <c r="L283" s="24">
        <v>1</v>
      </c>
      <c r="M283" s="39">
        <v>12000</v>
      </c>
      <c r="N283" s="39">
        <f t="shared" si="8"/>
        <v>12000</v>
      </c>
      <c r="O283" s="38" t="s">
        <v>22</v>
      </c>
    </row>
    <row r="284" spans="1:15" ht="15" customHeight="1" x14ac:dyDescent="0.2">
      <c r="A284" s="24" t="s">
        <v>368</v>
      </c>
      <c r="B284" s="36" t="s">
        <v>1412</v>
      </c>
      <c r="C284" s="24">
        <f t="shared" si="9"/>
        <v>419</v>
      </c>
      <c r="D284" s="24">
        <v>1</v>
      </c>
      <c r="G284" s="37" t="s">
        <v>1569</v>
      </c>
      <c r="H284" s="24" t="s">
        <v>3563</v>
      </c>
      <c r="I284" s="24">
        <v>331</v>
      </c>
      <c r="J284" s="24">
        <v>1111</v>
      </c>
      <c r="K284" s="24" t="s">
        <v>21</v>
      </c>
      <c r="L284" s="24">
        <v>1</v>
      </c>
      <c r="M284" s="39">
        <v>12000</v>
      </c>
      <c r="N284" s="39">
        <f t="shared" si="8"/>
        <v>12000</v>
      </c>
      <c r="O284" s="38" t="s">
        <v>22</v>
      </c>
    </row>
    <row r="285" spans="1:15" ht="15" customHeight="1" x14ac:dyDescent="0.2">
      <c r="A285" s="24" t="s">
        <v>368</v>
      </c>
      <c r="B285" s="36" t="s">
        <v>1412</v>
      </c>
      <c r="C285" s="24">
        <f t="shared" si="9"/>
        <v>420</v>
      </c>
      <c r="D285" s="24">
        <v>1</v>
      </c>
      <c r="G285" s="37" t="s">
        <v>1569</v>
      </c>
      <c r="H285" s="24" t="s">
        <v>3564</v>
      </c>
      <c r="I285" s="24">
        <v>331</v>
      </c>
      <c r="J285" s="24">
        <v>1111</v>
      </c>
      <c r="K285" s="24" t="s">
        <v>21</v>
      </c>
      <c r="L285" s="24">
        <v>1</v>
      </c>
      <c r="M285" s="39">
        <v>12000</v>
      </c>
      <c r="N285" s="39">
        <f t="shared" si="8"/>
        <v>12000</v>
      </c>
      <c r="O285" s="38" t="s">
        <v>22</v>
      </c>
    </row>
    <row r="286" spans="1:15" ht="15" customHeight="1" x14ac:dyDescent="0.2">
      <c r="A286" s="24" t="s">
        <v>368</v>
      </c>
      <c r="B286" s="36" t="s">
        <v>1412</v>
      </c>
      <c r="C286" s="24">
        <f t="shared" si="9"/>
        <v>421</v>
      </c>
      <c r="D286" s="24">
        <v>1</v>
      </c>
      <c r="G286" s="37" t="s">
        <v>1569</v>
      </c>
      <c r="H286" s="24" t="s">
        <v>3565</v>
      </c>
      <c r="I286" s="24">
        <v>331</v>
      </c>
      <c r="J286" s="24">
        <v>1111</v>
      </c>
      <c r="K286" s="24" t="s">
        <v>21</v>
      </c>
      <c r="L286" s="24">
        <v>1</v>
      </c>
      <c r="M286" s="39">
        <v>12000</v>
      </c>
      <c r="N286" s="39">
        <f t="shared" si="8"/>
        <v>12000</v>
      </c>
      <c r="O286" s="38" t="s">
        <v>22</v>
      </c>
    </row>
    <row r="287" spans="1:15" ht="15" customHeight="1" x14ac:dyDescent="0.2">
      <c r="A287" s="24" t="s">
        <v>368</v>
      </c>
      <c r="B287" s="36" t="s">
        <v>1415</v>
      </c>
      <c r="C287" s="24">
        <f t="shared" si="9"/>
        <v>422</v>
      </c>
      <c r="D287" s="24">
        <v>1</v>
      </c>
      <c r="G287" s="37" t="s">
        <v>3152</v>
      </c>
      <c r="H287" s="24" t="s">
        <v>3566</v>
      </c>
      <c r="I287" s="24">
        <v>331</v>
      </c>
      <c r="J287" s="24">
        <v>1111</v>
      </c>
      <c r="K287" s="24" t="s">
        <v>21</v>
      </c>
      <c r="L287" s="24">
        <v>1</v>
      </c>
      <c r="M287" s="39">
        <v>540000</v>
      </c>
      <c r="N287" s="39">
        <f t="shared" si="8"/>
        <v>540000</v>
      </c>
      <c r="O287" s="38" t="s">
        <v>22</v>
      </c>
    </row>
    <row r="288" spans="1:15" ht="15" customHeight="1" x14ac:dyDescent="0.2">
      <c r="A288" s="24" t="s">
        <v>368</v>
      </c>
      <c r="B288" s="36" t="s">
        <v>1415</v>
      </c>
      <c r="C288" s="24">
        <f t="shared" si="9"/>
        <v>423</v>
      </c>
      <c r="D288" s="24">
        <v>1</v>
      </c>
      <c r="G288" s="37" t="s">
        <v>1569</v>
      </c>
      <c r="H288" s="24" t="s">
        <v>3567</v>
      </c>
      <c r="I288" s="24">
        <v>331</v>
      </c>
      <c r="J288" s="24">
        <v>1111</v>
      </c>
      <c r="K288" s="24" t="s">
        <v>21</v>
      </c>
      <c r="L288" s="24">
        <v>1</v>
      </c>
      <c r="M288" s="39">
        <v>12000</v>
      </c>
      <c r="N288" s="39">
        <f t="shared" si="8"/>
        <v>12000</v>
      </c>
      <c r="O288" s="38" t="s">
        <v>22</v>
      </c>
    </row>
    <row r="289" spans="1:15" ht="15" customHeight="1" x14ac:dyDescent="0.2">
      <c r="A289" s="24" t="s">
        <v>368</v>
      </c>
      <c r="B289" s="36" t="s">
        <v>1415</v>
      </c>
      <c r="C289" s="24">
        <f t="shared" si="9"/>
        <v>424</v>
      </c>
      <c r="D289" s="24">
        <v>1</v>
      </c>
      <c r="G289" s="37" t="s">
        <v>1569</v>
      </c>
      <c r="H289" s="24" t="s">
        <v>3568</v>
      </c>
      <c r="I289" s="24">
        <v>331</v>
      </c>
      <c r="J289" s="24">
        <v>1111</v>
      </c>
      <c r="K289" s="24" t="s">
        <v>21</v>
      </c>
      <c r="L289" s="24">
        <v>1</v>
      </c>
      <c r="M289" s="39">
        <v>12000</v>
      </c>
      <c r="N289" s="39">
        <f t="shared" si="8"/>
        <v>12000</v>
      </c>
      <c r="O289" s="38" t="s">
        <v>22</v>
      </c>
    </row>
    <row r="290" spans="1:15" ht="15" customHeight="1" x14ac:dyDescent="0.2">
      <c r="A290" s="24" t="s">
        <v>368</v>
      </c>
      <c r="B290" s="36" t="s">
        <v>1415</v>
      </c>
      <c r="C290" s="24">
        <f t="shared" si="9"/>
        <v>425</v>
      </c>
      <c r="D290" s="24">
        <v>1</v>
      </c>
      <c r="G290" s="37" t="s">
        <v>1569</v>
      </c>
      <c r="H290" s="24" t="s">
        <v>3569</v>
      </c>
      <c r="I290" s="24">
        <v>331</v>
      </c>
      <c r="J290" s="24">
        <v>1111</v>
      </c>
      <c r="K290" s="24" t="s">
        <v>21</v>
      </c>
      <c r="L290" s="24">
        <v>1</v>
      </c>
      <c r="M290" s="39">
        <v>12000</v>
      </c>
      <c r="N290" s="39">
        <f t="shared" si="8"/>
        <v>12000</v>
      </c>
      <c r="O290" s="38" t="s">
        <v>22</v>
      </c>
    </row>
    <row r="291" spans="1:15" ht="15" customHeight="1" x14ac:dyDescent="0.2">
      <c r="A291" s="24" t="s">
        <v>368</v>
      </c>
      <c r="B291" s="36" t="s">
        <v>1415</v>
      </c>
      <c r="C291" s="24">
        <f t="shared" si="9"/>
        <v>426</v>
      </c>
      <c r="D291" s="24">
        <v>1</v>
      </c>
      <c r="G291" s="37" t="s">
        <v>1569</v>
      </c>
      <c r="H291" s="24" t="s">
        <v>3570</v>
      </c>
      <c r="I291" s="24">
        <v>331</v>
      </c>
      <c r="J291" s="24">
        <v>1111</v>
      </c>
      <c r="K291" s="24" t="s">
        <v>21</v>
      </c>
      <c r="L291" s="24">
        <v>1</v>
      </c>
      <c r="M291" s="39">
        <v>12000</v>
      </c>
      <c r="N291" s="39">
        <f t="shared" si="8"/>
        <v>12000</v>
      </c>
      <c r="O291" s="38" t="s">
        <v>22</v>
      </c>
    </row>
    <row r="292" spans="1:15" ht="15" customHeight="1" x14ac:dyDescent="0.2">
      <c r="A292" s="24" t="s">
        <v>368</v>
      </c>
      <c r="B292" s="36" t="s">
        <v>1534</v>
      </c>
      <c r="C292" s="24">
        <f t="shared" si="9"/>
        <v>427</v>
      </c>
      <c r="D292" s="24">
        <v>1</v>
      </c>
      <c r="G292" s="37" t="s">
        <v>1569</v>
      </c>
      <c r="H292" s="24" t="s">
        <v>3571</v>
      </c>
      <c r="I292" s="24">
        <v>331</v>
      </c>
      <c r="J292" s="24">
        <v>1111</v>
      </c>
      <c r="K292" s="24" t="s">
        <v>21</v>
      </c>
      <c r="L292" s="24">
        <v>1</v>
      </c>
      <c r="M292" s="39">
        <v>25000</v>
      </c>
      <c r="N292" s="39">
        <f t="shared" si="8"/>
        <v>25000</v>
      </c>
      <c r="O292" s="38" t="s">
        <v>22</v>
      </c>
    </row>
    <row r="293" spans="1:15" ht="15" customHeight="1" x14ac:dyDescent="0.2">
      <c r="A293" s="24" t="s">
        <v>368</v>
      </c>
      <c r="B293" s="36" t="s">
        <v>1534</v>
      </c>
      <c r="C293" s="24">
        <f t="shared" si="9"/>
        <v>428</v>
      </c>
      <c r="D293" s="24">
        <v>1</v>
      </c>
      <c r="G293" s="37" t="s">
        <v>1569</v>
      </c>
      <c r="H293" s="24" t="s">
        <v>3572</v>
      </c>
      <c r="I293" s="24">
        <v>331</v>
      </c>
      <c r="J293" s="24">
        <v>1111</v>
      </c>
      <c r="K293" s="24" t="s">
        <v>21</v>
      </c>
      <c r="L293" s="24">
        <v>1</v>
      </c>
      <c r="M293" s="39">
        <v>25000</v>
      </c>
      <c r="N293" s="39">
        <f t="shared" si="8"/>
        <v>25000</v>
      </c>
      <c r="O293" s="38" t="s">
        <v>22</v>
      </c>
    </row>
    <row r="294" spans="1:15" ht="15" customHeight="1" x14ac:dyDescent="0.2">
      <c r="A294" s="24" t="s">
        <v>368</v>
      </c>
      <c r="B294" s="36" t="s">
        <v>1534</v>
      </c>
      <c r="C294" s="24">
        <f t="shared" si="9"/>
        <v>429</v>
      </c>
      <c r="D294" s="24">
        <v>1</v>
      </c>
      <c r="G294" s="37" t="s">
        <v>1569</v>
      </c>
      <c r="H294" s="24" t="s">
        <v>3573</v>
      </c>
      <c r="I294" s="24">
        <v>331</v>
      </c>
      <c r="J294" s="24">
        <v>1111</v>
      </c>
      <c r="K294" s="24" t="s">
        <v>21</v>
      </c>
      <c r="L294" s="24">
        <v>1</v>
      </c>
      <c r="M294" s="39">
        <v>12000</v>
      </c>
      <c r="N294" s="39">
        <f t="shared" si="8"/>
        <v>12000</v>
      </c>
      <c r="O294" s="38" t="s">
        <v>22</v>
      </c>
    </row>
    <row r="295" spans="1:15" ht="15" customHeight="1" x14ac:dyDescent="0.2">
      <c r="A295" s="24" t="s">
        <v>368</v>
      </c>
      <c r="B295" s="36" t="s">
        <v>1534</v>
      </c>
      <c r="C295" s="24">
        <f t="shared" si="9"/>
        <v>430</v>
      </c>
      <c r="D295" s="24">
        <v>1</v>
      </c>
      <c r="G295" s="37" t="s">
        <v>1569</v>
      </c>
      <c r="H295" s="24" t="s">
        <v>3574</v>
      </c>
      <c r="I295" s="24">
        <v>331</v>
      </c>
      <c r="J295" s="24">
        <v>1111</v>
      </c>
      <c r="K295" s="24" t="s">
        <v>21</v>
      </c>
      <c r="L295" s="24">
        <v>1</v>
      </c>
      <c r="M295" s="39">
        <v>12000</v>
      </c>
      <c r="N295" s="39">
        <f t="shared" si="8"/>
        <v>12000</v>
      </c>
      <c r="O295" s="38" t="s">
        <v>22</v>
      </c>
    </row>
    <row r="296" spans="1:15" ht="15" customHeight="1" x14ac:dyDescent="0.2">
      <c r="A296" s="24" t="s">
        <v>368</v>
      </c>
      <c r="B296" s="36" t="s">
        <v>1534</v>
      </c>
      <c r="C296" s="24">
        <f t="shared" si="9"/>
        <v>431</v>
      </c>
      <c r="D296" s="24">
        <v>1</v>
      </c>
      <c r="G296" s="37" t="s">
        <v>1569</v>
      </c>
      <c r="H296" s="24" t="s">
        <v>3575</v>
      </c>
      <c r="I296" s="24">
        <v>331</v>
      </c>
      <c r="J296" s="24">
        <v>1111</v>
      </c>
      <c r="K296" s="24" t="s">
        <v>21</v>
      </c>
      <c r="L296" s="24">
        <v>1</v>
      </c>
      <c r="M296" s="39">
        <v>12000</v>
      </c>
      <c r="N296" s="39">
        <f t="shared" si="8"/>
        <v>12000</v>
      </c>
      <c r="O296" s="38" t="s">
        <v>22</v>
      </c>
    </row>
    <row r="297" spans="1:15" ht="15" customHeight="1" x14ac:dyDescent="0.2">
      <c r="A297" s="24" t="s">
        <v>368</v>
      </c>
      <c r="B297" s="36" t="s">
        <v>1534</v>
      </c>
      <c r="C297" s="24">
        <f t="shared" si="9"/>
        <v>432</v>
      </c>
      <c r="D297" s="24">
        <v>1</v>
      </c>
      <c r="G297" s="37" t="s">
        <v>1569</v>
      </c>
      <c r="H297" s="24" t="s">
        <v>3576</v>
      </c>
      <c r="I297" s="24">
        <v>331</v>
      </c>
      <c r="J297" s="24">
        <v>1111</v>
      </c>
      <c r="K297" s="24" t="s">
        <v>21</v>
      </c>
      <c r="L297" s="24">
        <v>1</v>
      </c>
      <c r="M297" s="39">
        <v>12000</v>
      </c>
      <c r="N297" s="39">
        <f t="shared" si="8"/>
        <v>12000</v>
      </c>
      <c r="O297" s="38" t="s">
        <v>22</v>
      </c>
    </row>
    <row r="298" spans="1:15" ht="15" customHeight="1" x14ac:dyDescent="0.2">
      <c r="A298" s="24" t="s">
        <v>368</v>
      </c>
      <c r="B298" s="36" t="s">
        <v>1534</v>
      </c>
      <c r="C298" s="24">
        <f t="shared" si="9"/>
        <v>433</v>
      </c>
      <c r="D298" s="24">
        <v>1</v>
      </c>
      <c r="G298" s="37" t="s">
        <v>1569</v>
      </c>
      <c r="H298" s="24" t="s">
        <v>3577</v>
      </c>
      <c r="I298" s="24">
        <v>331</v>
      </c>
      <c r="J298" s="24">
        <v>1111</v>
      </c>
      <c r="K298" s="24" t="s">
        <v>21</v>
      </c>
      <c r="L298" s="24">
        <v>1</v>
      </c>
      <c r="M298" s="39">
        <v>12000</v>
      </c>
      <c r="N298" s="39">
        <f t="shared" si="8"/>
        <v>12000</v>
      </c>
      <c r="O298" s="38" t="s">
        <v>22</v>
      </c>
    </row>
    <row r="299" spans="1:15" ht="15" customHeight="1" x14ac:dyDescent="0.2">
      <c r="A299" s="24" t="s">
        <v>368</v>
      </c>
      <c r="B299" s="36" t="s">
        <v>1534</v>
      </c>
      <c r="C299" s="24">
        <f t="shared" si="9"/>
        <v>434</v>
      </c>
      <c r="D299" s="24">
        <v>1</v>
      </c>
      <c r="G299" s="37" t="s">
        <v>1569</v>
      </c>
      <c r="H299" s="24" t="s">
        <v>3578</v>
      </c>
      <c r="I299" s="24">
        <v>331</v>
      </c>
      <c r="J299" s="24">
        <v>1111</v>
      </c>
      <c r="K299" s="24" t="s">
        <v>21</v>
      </c>
      <c r="L299" s="24">
        <v>1</v>
      </c>
      <c r="M299" s="39">
        <v>12000</v>
      </c>
      <c r="N299" s="39">
        <f t="shared" si="8"/>
        <v>12000</v>
      </c>
      <c r="O299" s="38" t="s">
        <v>22</v>
      </c>
    </row>
    <row r="300" spans="1:15" ht="15" customHeight="1" x14ac:dyDescent="0.2">
      <c r="A300" s="24" t="s">
        <v>368</v>
      </c>
      <c r="B300" s="36" t="s">
        <v>1534</v>
      </c>
      <c r="C300" s="24">
        <f t="shared" si="9"/>
        <v>435</v>
      </c>
      <c r="D300" s="24">
        <v>1</v>
      </c>
      <c r="G300" s="37" t="s">
        <v>1569</v>
      </c>
      <c r="H300" s="24" t="s">
        <v>3579</v>
      </c>
      <c r="I300" s="24">
        <v>331</v>
      </c>
      <c r="J300" s="24">
        <v>1111</v>
      </c>
      <c r="K300" s="24" t="s">
        <v>21</v>
      </c>
      <c r="L300" s="24">
        <v>1</v>
      </c>
      <c r="M300" s="39">
        <v>12000</v>
      </c>
      <c r="N300" s="39">
        <f t="shared" si="8"/>
        <v>12000</v>
      </c>
      <c r="O300" s="38" t="s">
        <v>22</v>
      </c>
    </row>
    <row r="301" spans="1:15" ht="15" customHeight="1" x14ac:dyDescent="0.2">
      <c r="A301" s="24" t="s">
        <v>368</v>
      </c>
      <c r="B301" s="36" t="s">
        <v>1534</v>
      </c>
      <c r="C301" s="24">
        <f t="shared" si="9"/>
        <v>436</v>
      </c>
      <c r="D301" s="24">
        <v>1</v>
      </c>
      <c r="G301" s="37" t="s">
        <v>1569</v>
      </c>
      <c r="H301" s="24" t="s">
        <v>3580</v>
      </c>
      <c r="I301" s="24">
        <v>331</v>
      </c>
      <c r="J301" s="24">
        <v>1111</v>
      </c>
      <c r="K301" s="24" t="s">
        <v>21</v>
      </c>
      <c r="L301" s="24">
        <v>1</v>
      </c>
      <c r="M301" s="39">
        <v>12000</v>
      </c>
      <c r="N301" s="39">
        <f t="shared" si="8"/>
        <v>12000</v>
      </c>
      <c r="O301" s="38" t="s">
        <v>22</v>
      </c>
    </row>
    <row r="302" spans="1:15" ht="15" customHeight="1" x14ac:dyDescent="0.2">
      <c r="A302" s="24" t="s">
        <v>368</v>
      </c>
      <c r="B302" s="36" t="s">
        <v>1534</v>
      </c>
      <c r="C302" s="24">
        <f t="shared" si="9"/>
        <v>437</v>
      </c>
      <c r="D302" s="24">
        <v>1</v>
      </c>
      <c r="G302" s="37" t="s">
        <v>1569</v>
      </c>
      <c r="H302" s="24" t="s">
        <v>3581</v>
      </c>
      <c r="I302" s="24">
        <v>331</v>
      </c>
      <c r="J302" s="24">
        <v>1111</v>
      </c>
      <c r="K302" s="24" t="s">
        <v>21</v>
      </c>
      <c r="L302" s="24">
        <v>1</v>
      </c>
      <c r="M302" s="39">
        <v>12000</v>
      </c>
      <c r="N302" s="39">
        <f t="shared" si="8"/>
        <v>12000</v>
      </c>
      <c r="O302" s="38" t="s">
        <v>22</v>
      </c>
    </row>
    <row r="303" spans="1:15" ht="15" customHeight="1" x14ac:dyDescent="0.2">
      <c r="A303" s="24" t="s">
        <v>368</v>
      </c>
      <c r="B303" s="36" t="s">
        <v>1534</v>
      </c>
      <c r="C303" s="24">
        <f t="shared" si="9"/>
        <v>438</v>
      </c>
      <c r="D303" s="24">
        <v>1</v>
      </c>
      <c r="G303" s="37" t="s">
        <v>1569</v>
      </c>
      <c r="H303" s="24" t="s">
        <v>3582</v>
      </c>
      <c r="I303" s="24">
        <v>331</v>
      </c>
      <c r="J303" s="24">
        <v>1111</v>
      </c>
      <c r="K303" s="24" t="s">
        <v>21</v>
      </c>
      <c r="L303" s="24">
        <v>1</v>
      </c>
      <c r="M303" s="39">
        <v>12000</v>
      </c>
      <c r="N303" s="39">
        <f t="shared" si="8"/>
        <v>12000</v>
      </c>
      <c r="O303" s="38" t="s">
        <v>22</v>
      </c>
    </row>
    <row r="304" spans="1:15" ht="15" customHeight="1" x14ac:dyDescent="0.2">
      <c r="A304" s="24" t="s">
        <v>368</v>
      </c>
      <c r="B304" s="36" t="s">
        <v>1534</v>
      </c>
      <c r="C304" s="24">
        <f t="shared" si="9"/>
        <v>439</v>
      </c>
      <c r="D304" s="24">
        <v>1</v>
      </c>
      <c r="G304" s="37" t="s">
        <v>1569</v>
      </c>
      <c r="H304" s="24" t="s">
        <v>3583</v>
      </c>
      <c r="I304" s="24">
        <v>331</v>
      </c>
      <c r="J304" s="24">
        <v>1111</v>
      </c>
      <c r="K304" s="24" t="s">
        <v>21</v>
      </c>
      <c r="L304" s="24">
        <v>1</v>
      </c>
      <c r="M304" s="39">
        <v>12000</v>
      </c>
      <c r="N304" s="39">
        <f t="shared" si="8"/>
        <v>12000</v>
      </c>
      <c r="O304" s="38" t="s">
        <v>22</v>
      </c>
    </row>
    <row r="305" spans="1:15" ht="15" customHeight="1" x14ac:dyDescent="0.2">
      <c r="A305" s="24" t="s">
        <v>368</v>
      </c>
      <c r="B305" s="36" t="s">
        <v>1534</v>
      </c>
      <c r="C305" s="24">
        <f t="shared" si="9"/>
        <v>440</v>
      </c>
      <c r="D305" s="24">
        <v>1</v>
      </c>
      <c r="G305" s="37" t="s">
        <v>1569</v>
      </c>
      <c r="H305" s="24" t="s">
        <v>3584</v>
      </c>
      <c r="I305" s="24">
        <v>331</v>
      </c>
      <c r="J305" s="24">
        <v>1111</v>
      </c>
      <c r="K305" s="24" t="s">
        <v>21</v>
      </c>
      <c r="L305" s="24">
        <v>1</v>
      </c>
      <c r="M305" s="39">
        <v>12000</v>
      </c>
      <c r="N305" s="39">
        <f t="shared" si="8"/>
        <v>12000</v>
      </c>
      <c r="O305" s="38" t="s">
        <v>22</v>
      </c>
    </row>
    <row r="306" spans="1:15" ht="15" customHeight="1" x14ac:dyDescent="0.2">
      <c r="A306" s="24" t="s">
        <v>368</v>
      </c>
      <c r="B306" s="36" t="s">
        <v>1534</v>
      </c>
      <c r="C306" s="24">
        <f t="shared" si="9"/>
        <v>441</v>
      </c>
      <c r="D306" s="24">
        <v>1</v>
      </c>
      <c r="G306" s="37" t="s">
        <v>1569</v>
      </c>
      <c r="H306" s="24" t="s">
        <v>3585</v>
      </c>
      <c r="I306" s="24">
        <v>331</v>
      </c>
      <c r="J306" s="24">
        <v>1111</v>
      </c>
      <c r="K306" s="24" t="s">
        <v>21</v>
      </c>
      <c r="L306" s="24">
        <v>1</v>
      </c>
      <c r="M306" s="39">
        <v>12000</v>
      </c>
      <c r="N306" s="39">
        <f t="shared" si="8"/>
        <v>12000</v>
      </c>
      <c r="O306" s="38" t="s">
        <v>22</v>
      </c>
    </row>
    <row r="307" spans="1:15" ht="15" customHeight="1" x14ac:dyDescent="0.2">
      <c r="A307" s="24" t="s">
        <v>368</v>
      </c>
      <c r="B307" s="36" t="s">
        <v>2047</v>
      </c>
      <c r="C307" s="24">
        <f t="shared" si="9"/>
        <v>442</v>
      </c>
      <c r="D307" s="24">
        <v>1</v>
      </c>
      <c r="G307" s="37" t="s">
        <v>1351</v>
      </c>
      <c r="H307" s="24" t="s">
        <v>3586</v>
      </c>
      <c r="I307" s="24">
        <v>331</v>
      </c>
      <c r="J307" s="24">
        <v>1111</v>
      </c>
      <c r="K307" s="24" t="s">
        <v>21</v>
      </c>
      <c r="L307" s="24">
        <v>1</v>
      </c>
      <c r="M307" s="39">
        <v>12000</v>
      </c>
      <c r="N307" s="39">
        <f t="shared" si="8"/>
        <v>12000</v>
      </c>
      <c r="O307" s="38" t="s">
        <v>22</v>
      </c>
    </row>
    <row r="308" spans="1:15" ht="15" customHeight="1" x14ac:dyDescent="0.2">
      <c r="A308" s="24" t="s">
        <v>368</v>
      </c>
      <c r="B308" s="36" t="s">
        <v>2047</v>
      </c>
      <c r="C308" s="24">
        <f t="shared" si="9"/>
        <v>443</v>
      </c>
      <c r="D308" s="24">
        <v>1</v>
      </c>
      <c r="G308" s="37" t="s">
        <v>1569</v>
      </c>
      <c r="H308" s="24" t="s">
        <v>3587</v>
      </c>
      <c r="I308" s="24">
        <v>331</v>
      </c>
      <c r="J308" s="24">
        <v>1111</v>
      </c>
      <c r="K308" s="24" t="s">
        <v>21</v>
      </c>
      <c r="L308" s="24">
        <v>1</v>
      </c>
      <c r="M308" s="39">
        <v>12000</v>
      </c>
      <c r="N308" s="39">
        <f t="shared" si="8"/>
        <v>12000</v>
      </c>
      <c r="O308" s="38" t="s">
        <v>22</v>
      </c>
    </row>
    <row r="309" spans="1:15" ht="15" customHeight="1" x14ac:dyDescent="0.2">
      <c r="A309" s="24" t="s">
        <v>368</v>
      </c>
      <c r="B309" s="36" t="s">
        <v>2047</v>
      </c>
      <c r="C309" s="24">
        <f t="shared" si="9"/>
        <v>444</v>
      </c>
      <c r="D309" s="24">
        <v>1</v>
      </c>
      <c r="G309" s="37" t="s">
        <v>1569</v>
      </c>
      <c r="H309" s="24" t="s">
        <v>3588</v>
      </c>
      <c r="I309" s="24">
        <v>331</v>
      </c>
      <c r="J309" s="24">
        <v>1111</v>
      </c>
      <c r="K309" s="24" t="s">
        <v>21</v>
      </c>
      <c r="L309" s="24">
        <v>1</v>
      </c>
      <c r="M309" s="39">
        <v>38000</v>
      </c>
      <c r="N309" s="39">
        <f t="shared" si="8"/>
        <v>38000</v>
      </c>
      <c r="O309" s="38" t="s">
        <v>22</v>
      </c>
    </row>
    <row r="310" spans="1:15" ht="15" customHeight="1" x14ac:dyDescent="0.2">
      <c r="A310" s="24" t="s">
        <v>368</v>
      </c>
      <c r="B310" s="36" t="s">
        <v>2047</v>
      </c>
      <c r="C310" s="24">
        <f t="shared" si="9"/>
        <v>445</v>
      </c>
      <c r="D310" s="24">
        <v>1</v>
      </c>
      <c r="G310" s="37" t="s">
        <v>1569</v>
      </c>
      <c r="H310" s="24" t="s">
        <v>3589</v>
      </c>
      <c r="I310" s="24">
        <v>331</v>
      </c>
      <c r="J310" s="24">
        <v>1111</v>
      </c>
      <c r="K310" s="24" t="s">
        <v>21</v>
      </c>
      <c r="L310" s="24">
        <v>1</v>
      </c>
      <c r="M310" s="39">
        <v>33000</v>
      </c>
      <c r="N310" s="39">
        <f t="shared" si="8"/>
        <v>33000</v>
      </c>
      <c r="O310" s="38" t="s">
        <v>22</v>
      </c>
    </row>
    <row r="311" spans="1:15" ht="15" customHeight="1" x14ac:dyDescent="0.2">
      <c r="A311" s="24" t="s">
        <v>368</v>
      </c>
      <c r="B311" s="36" t="s">
        <v>2047</v>
      </c>
      <c r="C311" s="24">
        <f t="shared" si="9"/>
        <v>446</v>
      </c>
      <c r="D311" s="24">
        <v>1</v>
      </c>
      <c r="G311" s="37" t="s">
        <v>1569</v>
      </c>
      <c r="H311" s="24" t="s">
        <v>3590</v>
      </c>
      <c r="I311" s="24">
        <v>331</v>
      </c>
      <c r="J311" s="24">
        <v>1111</v>
      </c>
      <c r="K311" s="24" t="s">
        <v>21</v>
      </c>
      <c r="L311" s="24">
        <v>1</v>
      </c>
      <c r="M311" s="39">
        <v>15000</v>
      </c>
      <c r="N311" s="39">
        <f t="shared" si="8"/>
        <v>15000</v>
      </c>
      <c r="O311" s="38" t="s">
        <v>22</v>
      </c>
    </row>
    <row r="312" spans="1:15" ht="15" customHeight="1" x14ac:dyDescent="0.2">
      <c r="A312" s="24" t="s">
        <v>368</v>
      </c>
      <c r="B312" s="36" t="s">
        <v>2339</v>
      </c>
      <c r="C312" s="24">
        <f t="shared" si="9"/>
        <v>447</v>
      </c>
      <c r="D312" s="24">
        <v>1</v>
      </c>
      <c r="G312" s="37" t="s">
        <v>1569</v>
      </c>
      <c r="H312" s="24" t="s">
        <v>3591</v>
      </c>
      <c r="I312" s="24">
        <v>331</v>
      </c>
      <c r="J312" s="24">
        <v>1111</v>
      </c>
      <c r="K312" s="24" t="s">
        <v>21</v>
      </c>
      <c r="L312" s="24">
        <v>1</v>
      </c>
      <c r="M312" s="39">
        <v>131000</v>
      </c>
      <c r="N312" s="39">
        <f t="shared" si="8"/>
        <v>131000</v>
      </c>
      <c r="O312" s="38" t="s">
        <v>22</v>
      </c>
    </row>
    <row r="313" spans="1:15" ht="15" customHeight="1" x14ac:dyDescent="0.2">
      <c r="A313" s="24" t="s">
        <v>368</v>
      </c>
      <c r="B313" s="36" t="s">
        <v>2481</v>
      </c>
      <c r="C313" s="24">
        <f t="shared" si="9"/>
        <v>448</v>
      </c>
      <c r="D313" s="24">
        <v>1</v>
      </c>
      <c r="G313" s="37" t="s">
        <v>1351</v>
      </c>
      <c r="H313" s="24" t="s">
        <v>3592</v>
      </c>
      <c r="I313" s="24">
        <v>331</v>
      </c>
      <c r="J313" s="24">
        <v>1111</v>
      </c>
      <c r="K313" s="24" t="s">
        <v>21</v>
      </c>
      <c r="L313" s="24">
        <v>1</v>
      </c>
      <c r="M313" s="39">
        <v>75000</v>
      </c>
      <c r="N313" s="39">
        <f t="shared" si="8"/>
        <v>75000</v>
      </c>
      <c r="O313" s="38" t="s">
        <v>22</v>
      </c>
    </row>
    <row r="314" spans="1:15" ht="15" customHeight="1" x14ac:dyDescent="0.2">
      <c r="A314" s="24" t="s">
        <v>368</v>
      </c>
      <c r="B314" s="36" t="s">
        <v>2482</v>
      </c>
      <c r="C314" s="24">
        <f t="shared" si="9"/>
        <v>449</v>
      </c>
      <c r="D314" s="24">
        <v>1</v>
      </c>
      <c r="G314" s="37" t="s">
        <v>3153</v>
      </c>
      <c r="H314" s="24" t="s">
        <v>3593</v>
      </c>
      <c r="I314" s="24">
        <v>331</v>
      </c>
      <c r="J314" s="24">
        <v>1111</v>
      </c>
      <c r="K314" s="24" t="s">
        <v>21</v>
      </c>
      <c r="L314" s="24">
        <v>1</v>
      </c>
      <c r="M314" s="39">
        <v>62</v>
      </c>
      <c r="N314" s="39">
        <f t="shared" ref="N314:N380" si="10">L314*M314</f>
        <v>62</v>
      </c>
      <c r="O314" s="38" t="s">
        <v>22</v>
      </c>
    </row>
    <row r="315" spans="1:15" ht="15" customHeight="1" x14ac:dyDescent="0.2">
      <c r="A315" s="24" t="s">
        <v>368</v>
      </c>
      <c r="B315" s="36" t="s">
        <v>2119</v>
      </c>
      <c r="C315" s="24">
        <f t="shared" si="9"/>
        <v>450</v>
      </c>
      <c r="D315" s="24">
        <v>1</v>
      </c>
      <c r="G315" s="37" t="s">
        <v>3154</v>
      </c>
      <c r="H315" s="24" t="s">
        <v>3594</v>
      </c>
      <c r="I315" s="24">
        <v>331</v>
      </c>
      <c r="J315" s="24">
        <v>1111</v>
      </c>
      <c r="K315" s="24" t="s">
        <v>21</v>
      </c>
      <c r="L315" s="24">
        <v>1</v>
      </c>
      <c r="M315" s="39">
        <v>103000</v>
      </c>
      <c r="N315" s="39">
        <f t="shared" si="10"/>
        <v>103000</v>
      </c>
      <c r="O315" s="38" t="s">
        <v>22</v>
      </c>
    </row>
    <row r="316" spans="1:15" ht="15" customHeight="1" x14ac:dyDescent="0.2">
      <c r="A316" s="24" t="s">
        <v>368</v>
      </c>
      <c r="B316" s="36" t="s">
        <v>2119</v>
      </c>
      <c r="C316" s="24">
        <f t="shared" si="9"/>
        <v>451</v>
      </c>
      <c r="D316" s="24">
        <v>1</v>
      </c>
      <c r="G316" s="37" t="s">
        <v>1569</v>
      </c>
      <c r="H316" s="24" t="s">
        <v>3595</v>
      </c>
      <c r="I316" s="24">
        <v>331</v>
      </c>
      <c r="J316" s="24">
        <v>1111</v>
      </c>
      <c r="K316" s="24" t="s">
        <v>21</v>
      </c>
      <c r="L316" s="24">
        <v>1</v>
      </c>
      <c r="M316" s="39">
        <v>153000</v>
      </c>
      <c r="N316" s="39">
        <f t="shared" si="10"/>
        <v>153000</v>
      </c>
      <c r="O316" s="38" t="s">
        <v>22</v>
      </c>
    </row>
    <row r="317" spans="1:15" ht="15" customHeight="1" x14ac:dyDescent="0.2">
      <c r="A317" s="24" t="s">
        <v>368</v>
      </c>
      <c r="B317" s="36" t="s">
        <v>2119</v>
      </c>
      <c r="C317" s="24">
        <f t="shared" si="9"/>
        <v>452</v>
      </c>
      <c r="D317" s="24">
        <v>1</v>
      </c>
      <c r="G317" s="37" t="s">
        <v>1569</v>
      </c>
      <c r="H317" s="24" t="s">
        <v>3596</v>
      </c>
      <c r="I317" s="24">
        <v>331</v>
      </c>
      <c r="J317" s="24">
        <v>1111</v>
      </c>
      <c r="K317" s="24" t="s">
        <v>21</v>
      </c>
      <c r="L317" s="24">
        <v>1</v>
      </c>
      <c r="M317" s="39">
        <v>12000</v>
      </c>
      <c r="N317" s="39">
        <f t="shared" si="10"/>
        <v>12000</v>
      </c>
      <c r="O317" s="38" t="s">
        <v>22</v>
      </c>
    </row>
    <row r="318" spans="1:15" ht="15" customHeight="1" x14ac:dyDescent="0.2">
      <c r="A318" s="24" t="s">
        <v>368</v>
      </c>
      <c r="B318" s="36" t="s">
        <v>2119</v>
      </c>
      <c r="C318" s="24">
        <f t="shared" si="9"/>
        <v>453</v>
      </c>
      <c r="D318" s="24">
        <v>1</v>
      </c>
      <c r="G318" s="37" t="s">
        <v>1569</v>
      </c>
      <c r="H318" s="24" t="s">
        <v>3597</v>
      </c>
      <c r="I318" s="24">
        <v>331</v>
      </c>
      <c r="J318" s="24">
        <v>1111</v>
      </c>
      <c r="K318" s="24" t="s">
        <v>21</v>
      </c>
      <c r="L318" s="24">
        <v>1</v>
      </c>
      <c r="M318" s="39">
        <v>14000</v>
      </c>
      <c r="N318" s="39">
        <f t="shared" si="10"/>
        <v>14000</v>
      </c>
      <c r="O318" s="38" t="s">
        <v>22</v>
      </c>
    </row>
    <row r="319" spans="1:15" ht="15" customHeight="1" x14ac:dyDescent="0.2">
      <c r="A319" s="24" t="s">
        <v>368</v>
      </c>
      <c r="B319" s="36" t="s">
        <v>1411</v>
      </c>
      <c r="C319" s="24">
        <f t="shared" si="9"/>
        <v>454</v>
      </c>
      <c r="D319" s="24">
        <v>1</v>
      </c>
      <c r="G319" s="37" t="s">
        <v>3155</v>
      </c>
      <c r="H319" s="24" t="s">
        <v>3598</v>
      </c>
      <c r="I319" s="24">
        <v>331</v>
      </c>
      <c r="J319" s="24">
        <v>1111</v>
      </c>
      <c r="K319" s="24" t="s">
        <v>21</v>
      </c>
      <c r="L319" s="24">
        <v>1</v>
      </c>
      <c r="M319" s="39">
        <v>1584000</v>
      </c>
      <c r="N319" s="39">
        <f t="shared" si="10"/>
        <v>1584000</v>
      </c>
      <c r="O319" s="38" t="s">
        <v>22</v>
      </c>
    </row>
    <row r="320" spans="1:15" ht="15" customHeight="1" x14ac:dyDescent="0.2">
      <c r="A320" s="24" t="s">
        <v>368</v>
      </c>
      <c r="B320" s="36" t="s">
        <v>1477</v>
      </c>
      <c r="C320" s="24">
        <f t="shared" si="9"/>
        <v>455</v>
      </c>
      <c r="D320" s="24">
        <v>1</v>
      </c>
      <c r="G320" s="37" t="s">
        <v>92</v>
      </c>
      <c r="H320" s="24" t="s">
        <v>3599</v>
      </c>
      <c r="I320" s="24">
        <v>331</v>
      </c>
      <c r="J320" s="24">
        <v>1111</v>
      </c>
      <c r="K320" s="24" t="s">
        <v>21</v>
      </c>
      <c r="L320" s="24">
        <v>1</v>
      </c>
      <c r="M320" s="39">
        <v>1270000</v>
      </c>
      <c r="N320" s="39">
        <f t="shared" si="10"/>
        <v>1270000</v>
      </c>
      <c r="O320" s="38" t="s">
        <v>22</v>
      </c>
    </row>
    <row r="321" spans="1:15" ht="15" customHeight="1" x14ac:dyDescent="0.2">
      <c r="A321" s="24" t="s">
        <v>368</v>
      </c>
      <c r="B321" s="36" t="s">
        <v>1534</v>
      </c>
      <c r="C321" s="24">
        <f t="shared" si="9"/>
        <v>456</v>
      </c>
      <c r="D321" s="24">
        <v>1</v>
      </c>
      <c r="G321" s="37" t="s">
        <v>1744</v>
      </c>
      <c r="H321" s="24" t="s">
        <v>3600</v>
      </c>
      <c r="I321" s="24">
        <v>331</v>
      </c>
      <c r="J321" s="24">
        <v>1111</v>
      </c>
      <c r="K321" s="24" t="s">
        <v>21</v>
      </c>
      <c r="L321" s="24">
        <v>1</v>
      </c>
      <c r="M321" s="39">
        <v>976320</v>
      </c>
      <c r="N321" s="39">
        <f t="shared" si="10"/>
        <v>976320</v>
      </c>
      <c r="O321" s="38" t="s">
        <v>22</v>
      </c>
    </row>
    <row r="322" spans="1:15" ht="15" customHeight="1" x14ac:dyDescent="0.2">
      <c r="A322" s="24" t="s">
        <v>368</v>
      </c>
      <c r="B322" s="36" t="s">
        <v>2481</v>
      </c>
      <c r="C322" s="24">
        <f t="shared" si="9"/>
        <v>457</v>
      </c>
      <c r="D322" s="24">
        <v>1</v>
      </c>
      <c r="G322" s="37" t="s">
        <v>893</v>
      </c>
      <c r="H322" s="24" t="s">
        <v>3601</v>
      </c>
      <c r="I322" s="24">
        <v>331</v>
      </c>
      <c r="J322" s="24">
        <v>1111</v>
      </c>
      <c r="K322" s="24" t="s">
        <v>21</v>
      </c>
      <c r="L322" s="24">
        <v>1</v>
      </c>
      <c r="M322" s="39">
        <v>15134000</v>
      </c>
      <c r="N322" s="39">
        <f t="shared" si="10"/>
        <v>15134000</v>
      </c>
      <c r="O322" s="38" t="s">
        <v>22</v>
      </c>
    </row>
    <row r="323" spans="1:15" ht="15" customHeight="1" x14ac:dyDescent="0.2">
      <c r="A323" s="24" t="s">
        <v>368</v>
      </c>
      <c r="B323" s="36" t="s">
        <v>1478</v>
      </c>
      <c r="C323" s="24">
        <f t="shared" si="9"/>
        <v>458</v>
      </c>
      <c r="D323" s="24">
        <v>1</v>
      </c>
      <c r="G323" s="37" t="s">
        <v>3156</v>
      </c>
      <c r="H323" s="24" t="s">
        <v>3602</v>
      </c>
      <c r="I323" s="24">
        <v>331</v>
      </c>
      <c r="J323" s="24">
        <v>1111</v>
      </c>
      <c r="K323" s="24" t="s">
        <v>21</v>
      </c>
      <c r="L323" s="24">
        <v>1</v>
      </c>
      <c r="M323" s="39">
        <v>2651728</v>
      </c>
      <c r="N323" s="39">
        <f t="shared" si="10"/>
        <v>2651728</v>
      </c>
      <c r="O323" s="38" t="s">
        <v>22</v>
      </c>
    </row>
    <row r="324" spans="1:15" ht="15" customHeight="1" x14ac:dyDescent="0.2">
      <c r="A324" s="24" t="s">
        <v>368</v>
      </c>
      <c r="B324" s="36" t="s">
        <v>1478</v>
      </c>
      <c r="C324" s="24">
        <f t="shared" si="9"/>
        <v>459</v>
      </c>
      <c r="D324" s="24">
        <v>1</v>
      </c>
      <c r="G324" s="37" t="s">
        <v>1569</v>
      </c>
      <c r="H324" s="24" t="s">
        <v>3603</v>
      </c>
      <c r="I324" s="24">
        <v>331</v>
      </c>
      <c r="J324" s="24">
        <v>1111</v>
      </c>
      <c r="K324" s="24" t="s">
        <v>21</v>
      </c>
      <c r="L324" s="24">
        <v>1</v>
      </c>
      <c r="M324" s="39">
        <v>12000</v>
      </c>
      <c r="N324" s="39">
        <f t="shared" si="10"/>
        <v>12000</v>
      </c>
      <c r="O324" s="38" t="s">
        <v>22</v>
      </c>
    </row>
    <row r="325" spans="1:15" ht="15" customHeight="1" x14ac:dyDescent="0.2">
      <c r="A325" s="24" t="s">
        <v>368</v>
      </c>
      <c r="B325" s="36" t="s">
        <v>1478</v>
      </c>
      <c r="C325" s="24">
        <f t="shared" ref="C325:C388" si="11">C324+D325</f>
        <v>460</v>
      </c>
      <c r="D325" s="24">
        <v>1</v>
      </c>
      <c r="G325" s="37" t="s">
        <v>1569</v>
      </c>
      <c r="H325" s="24" t="s">
        <v>3604</v>
      </c>
      <c r="I325" s="24">
        <v>331</v>
      </c>
      <c r="J325" s="24">
        <v>1111</v>
      </c>
      <c r="K325" s="24" t="s">
        <v>21</v>
      </c>
      <c r="L325" s="24">
        <v>1</v>
      </c>
      <c r="M325" s="39">
        <v>10000</v>
      </c>
      <c r="N325" s="39">
        <f t="shared" si="10"/>
        <v>10000</v>
      </c>
      <c r="O325" s="38" t="s">
        <v>22</v>
      </c>
    </row>
    <row r="326" spans="1:15" ht="15" customHeight="1" x14ac:dyDescent="0.2">
      <c r="A326" s="24" t="s">
        <v>368</v>
      </c>
      <c r="B326" s="36" t="s">
        <v>2077</v>
      </c>
      <c r="C326" s="24">
        <f t="shared" si="11"/>
        <v>461</v>
      </c>
      <c r="D326" s="24">
        <v>1</v>
      </c>
      <c r="G326" s="37" t="s">
        <v>1569</v>
      </c>
      <c r="H326" s="24" t="s">
        <v>3605</v>
      </c>
      <c r="I326" s="24">
        <v>331</v>
      </c>
      <c r="J326" s="24">
        <v>1111</v>
      </c>
      <c r="K326" s="24" t="s">
        <v>21</v>
      </c>
      <c r="L326" s="24">
        <v>1</v>
      </c>
      <c r="M326" s="39">
        <v>40000</v>
      </c>
      <c r="N326" s="39">
        <f t="shared" si="10"/>
        <v>40000</v>
      </c>
      <c r="O326" s="38" t="s">
        <v>22</v>
      </c>
    </row>
    <row r="327" spans="1:15" ht="15" customHeight="1" x14ac:dyDescent="0.2">
      <c r="A327" s="24" t="s">
        <v>368</v>
      </c>
      <c r="B327" s="36" t="s">
        <v>2077</v>
      </c>
      <c r="C327" s="24">
        <f t="shared" si="11"/>
        <v>462</v>
      </c>
      <c r="D327" s="24">
        <v>1</v>
      </c>
      <c r="G327" s="37" t="s">
        <v>1569</v>
      </c>
      <c r="H327" s="24" t="s">
        <v>3606</v>
      </c>
      <c r="I327" s="24">
        <v>331</v>
      </c>
      <c r="J327" s="24">
        <v>1111</v>
      </c>
      <c r="K327" s="24" t="s">
        <v>21</v>
      </c>
      <c r="L327" s="24">
        <v>1</v>
      </c>
      <c r="M327" s="39">
        <v>13000</v>
      </c>
      <c r="N327" s="39">
        <f t="shared" si="10"/>
        <v>13000</v>
      </c>
      <c r="O327" s="38" t="s">
        <v>22</v>
      </c>
    </row>
    <row r="328" spans="1:15" ht="15" customHeight="1" x14ac:dyDescent="0.2">
      <c r="A328" s="24" t="s">
        <v>368</v>
      </c>
      <c r="B328" s="36" t="s">
        <v>2077</v>
      </c>
      <c r="C328" s="24">
        <f t="shared" si="11"/>
        <v>463</v>
      </c>
      <c r="D328" s="24">
        <v>1</v>
      </c>
      <c r="G328" s="37" t="s">
        <v>1569</v>
      </c>
      <c r="H328" s="24" t="s">
        <v>3607</v>
      </c>
      <c r="I328" s="24">
        <v>331</v>
      </c>
      <c r="J328" s="24">
        <v>1111</v>
      </c>
      <c r="K328" s="24" t="s">
        <v>21</v>
      </c>
      <c r="L328" s="24">
        <v>1</v>
      </c>
      <c r="M328" s="39">
        <v>145000</v>
      </c>
      <c r="N328" s="39">
        <f t="shared" si="10"/>
        <v>145000</v>
      </c>
      <c r="O328" s="38" t="s">
        <v>22</v>
      </c>
    </row>
    <row r="329" spans="1:15" ht="15" customHeight="1" x14ac:dyDescent="0.2">
      <c r="A329" s="24" t="s">
        <v>368</v>
      </c>
      <c r="B329" s="36" t="s">
        <v>2049</v>
      </c>
      <c r="C329" s="24">
        <f t="shared" si="11"/>
        <v>464</v>
      </c>
      <c r="D329" s="24">
        <v>1</v>
      </c>
      <c r="G329" s="37" t="s">
        <v>1569</v>
      </c>
      <c r="H329" s="24" t="s">
        <v>3608</v>
      </c>
      <c r="I329" s="24">
        <v>331</v>
      </c>
      <c r="J329" s="24">
        <v>1111</v>
      </c>
      <c r="K329" s="24" t="s">
        <v>21</v>
      </c>
      <c r="L329" s="24">
        <v>1</v>
      </c>
      <c r="M329" s="39">
        <v>25000</v>
      </c>
      <c r="N329" s="39">
        <f t="shared" si="10"/>
        <v>25000</v>
      </c>
      <c r="O329" s="38" t="s">
        <v>22</v>
      </c>
    </row>
    <row r="330" spans="1:15" ht="15" customHeight="1" x14ac:dyDescent="0.2">
      <c r="A330" s="24" t="s">
        <v>368</v>
      </c>
      <c r="B330" s="36" t="s">
        <v>2483</v>
      </c>
      <c r="C330" s="24">
        <f t="shared" si="11"/>
        <v>465</v>
      </c>
      <c r="D330" s="24">
        <v>1</v>
      </c>
      <c r="G330" s="37" t="s">
        <v>1569</v>
      </c>
      <c r="H330" s="24" t="s">
        <v>3609</v>
      </c>
      <c r="I330" s="24">
        <v>331</v>
      </c>
      <c r="J330" s="24">
        <v>1111</v>
      </c>
      <c r="K330" s="24" t="s">
        <v>21</v>
      </c>
      <c r="L330" s="24">
        <v>1</v>
      </c>
      <c r="M330" s="39">
        <v>91000</v>
      </c>
      <c r="N330" s="39">
        <f t="shared" si="10"/>
        <v>91000</v>
      </c>
      <c r="O330" s="38" t="s">
        <v>22</v>
      </c>
    </row>
    <row r="331" spans="1:15" ht="15" customHeight="1" x14ac:dyDescent="0.2">
      <c r="A331" s="24" t="s">
        <v>368</v>
      </c>
      <c r="B331" s="36" t="s">
        <v>2050</v>
      </c>
      <c r="C331" s="24">
        <f t="shared" si="11"/>
        <v>466</v>
      </c>
      <c r="D331" s="24">
        <v>1</v>
      </c>
      <c r="G331" s="37" t="s">
        <v>1569</v>
      </c>
      <c r="H331" s="24" t="s">
        <v>3610</v>
      </c>
      <c r="I331" s="24">
        <v>331</v>
      </c>
      <c r="J331" s="24">
        <v>1111</v>
      </c>
      <c r="K331" s="24" t="s">
        <v>21</v>
      </c>
      <c r="L331" s="24">
        <v>1</v>
      </c>
      <c r="M331" s="39">
        <v>35000</v>
      </c>
      <c r="N331" s="39">
        <f t="shared" si="10"/>
        <v>35000</v>
      </c>
      <c r="O331" s="38" t="s">
        <v>22</v>
      </c>
    </row>
    <row r="332" spans="1:15" ht="15" customHeight="1" x14ac:dyDescent="0.2">
      <c r="A332" s="24" t="s">
        <v>368</v>
      </c>
      <c r="B332" s="36" t="s">
        <v>2050</v>
      </c>
      <c r="C332" s="24">
        <f t="shared" si="11"/>
        <v>467</v>
      </c>
      <c r="D332" s="24">
        <v>1</v>
      </c>
      <c r="G332" s="37" t="s">
        <v>1351</v>
      </c>
      <c r="H332" s="24" t="s">
        <v>3611</v>
      </c>
      <c r="I332" s="24">
        <v>331</v>
      </c>
      <c r="J332" s="24">
        <v>1111</v>
      </c>
      <c r="K332" s="24" t="s">
        <v>21</v>
      </c>
      <c r="L332" s="24">
        <v>1</v>
      </c>
      <c r="M332" s="39">
        <v>139000</v>
      </c>
      <c r="N332" s="39">
        <f t="shared" si="10"/>
        <v>139000</v>
      </c>
      <c r="O332" s="38" t="s">
        <v>22</v>
      </c>
    </row>
    <row r="333" spans="1:15" ht="15" customHeight="1" x14ac:dyDescent="0.2">
      <c r="A333" s="24" t="s">
        <v>368</v>
      </c>
      <c r="B333" s="36" t="s">
        <v>2050</v>
      </c>
      <c r="C333" s="24">
        <f t="shared" si="11"/>
        <v>468</v>
      </c>
      <c r="D333" s="24">
        <v>1</v>
      </c>
      <c r="G333" s="37" t="s">
        <v>1569</v>
      </c>
      <c r="H333" s="24" t="s">
        <v>3612</v>
      </c>
      <c r="I333" s="24">
        <v>331</v>
      </c>
      <c r="J333" s="24">
        <v>1111</v>
      </c>
      <c r="K333" s="24" t="s">
        <v>21</v>
      </c>
      <c r="L333" s="24">
        <v>1</v>
      </c>
      <c r="M333" s="39">
        <v>12000</v>
      </c>
      <c r="N333" s="39">
        <f t="shared" si="10"/>
        <v>12000</v>
      </c>
      <c r="O333" s="38" t="s">
        <v>22</v>
      </c>
    </row>
    <row r="334" spans="1:15" ht="15" customHeight="1" x14ac:dyDescent="0.2">
      <c r="A334" s="24" t="s">
        <v>368</v>
      </c>
      <c r="B334" s="36" t="s">
        <v>2050</v>
      </c>
      <c r="C334" s="24">
        <f t="shared" si="11"/>
        <v>469</v>
      </c>
      <c r="D334" s="24">
        <v>1</v>
      </c>
      <c r="G334" s="37" t="s">
        <v>1569</v>
      </c>
      <c r="H334" s="24" t="s">
        <v>3613</v>
      </c>
      <c r="I334" s="24">
        <v>331</v>
      </c>
      <c r="J334" s="24">
        <v>1111</v>
      </c>
      <c r="K334" s="24" t="s">
        <v>21</v>
      </c>
      <c r="L334" s="24">
        <v>1</v>
      </c>
      <c r="M334" s="39">
        <v>12000</v>
      </c>
      <c r="N334" s="39">
        <f t="shared" si="10"/>
        <v>12000</v>
      </c>
      <c r="O334" s="38" t="s">
        <v>22</v>
      </c>
    </row>
    <row r="335" spans="1:15" ht="15" customHeight="1" x14ac:dyDescent="0.2">
      <c r="A335" s="24" t="s">
        <v>368</v>
      </c>
      <c r="B335" s="36" t="s">
        <v>2050</v>
      </c>
      <c r="C335" s="24">
        <f t="shared" si="11"/>
        <v>470</v>
      </c>
      <c r="D335" s="24">
        <v>1</v>
      </c>
      <c r="G335" s="37" t="s">
        <v>1569</v>
      </c>
      <c r="H335" s="24" t="s">
        <v>3614</v>
      </c>
      <c r="I335" s="24">
        <v>331</v>
      </c>
      <c r="J335" s="24">
        <v>1111</v>
      </c>
      <c r="K335" s="24" t="s">
        <v>21</v>
      </c>
      <c r="L335" s="24">
        <v>1</v>
      </c>
      <c r="M335" s="39">
        <v>12000</v>
      </c>
      <c r="N335" s="39">
        <f t="shared" si="10"/>
        <v>12000</v>
      </c>
      <c r="O335" s="38" t="s">
        <v>22</v>
      </c>
    </row>
    <row r="336" spans="1:15" ht="15" customHeight="1" x14ac:dyDescent="0.2">
      <c r="A336" s="24" t="s">
        <v>368</v>
      </c>
      <c r="B336" s="36" t="s">
        <v>2050</v>
      </c>
      <c r="C336" s="24">
        <f t="shared" si="11"/>
        <v>471</v>
      </c>
      <c r="D336" s="24">
        <v>1</v>
      </c>
      <c r="G336" s="37" t="s">
        <v>1569</v>
      </c>
      <c r="H336" s="24" t="s">
        <v>3615</v>
      </c>
      <c r="I336" s="24">
        <v>331</v>
      </c>
      <c r="J336" s="24">
        <v>1111</v>
      </c>
      <c r="K336" s="24" t="s">
        <v>21</v>
      </c>
      <c r="L336" s="24">
        <v>1</v>
      </c>
      <c r="M336" s="39">
        <v>13000</v>
      </c>
      <c r="N336" s="39">
        <f t="shared" si="10"/>
        <v>13000</v>
      </c>
      <c r="O336" s="38" t="s">
        <v>22</v>
      </c>
    </row>
    <row r="337" spans="1:15" ht="15" customHeight="1" x14ac:dyDescent="0.2">
      <c r="A337" s="24" t="s">
        <v>368</v>
      </c>
      <c r="B337" s="36" t="s">
        <v>2050</v>
      </c>
      <c r="C337" s="24">
        <f t="shared" si="11"/>
        <v>472</v>
      </c>
      <c r="D337" s="24">
        <v>1</v>
      </c>
      <c r="G337" s="37" t="s">
        <v>1569</v>
      </c>
      <c r="H337" s="24" t="s">
        <v>3616</v>
      </c>
      <c r="I337" s="24">
        <v>331</v>
      </c>
      <c r="J337" s="24">
        <v>1111</v>
      </c>
      <c r="K337" s="24" t="s">
        <v>21</v>
      </c>
      <c r="L337" s="24">
        <v>1</v>
      </c>
      <c r="M337" s="39">
        <v>12000</v>
      </c>
      <c r="N337" s="39">
        <f t="shared" si="10"/>
        <v>12000</v>
      </c>
      <c r="O337" s="38" t="s">
        <v>22</v>
      </c>
    </row>
    <row r="338" spans="1:15" ht="15" customHeight="1" x14ac:dyDescent="0.2">
      <c r="A338" s="24" t="s">
        <v>368</v>
      </c>
      <c r="B338" s="36" t="s">
        <v>2050</v>
      </c>
      <c r="C338" s="24">
        <f t="shared" si="11"/>
        <v>473</v>
      </c>
      <c r="D338" s="24">
        <v>1</v>
      </c>
      <c r="G338" s="37" t="s">
        <v>1569</v>
      </c>
      <c r="H338" s="24" t="s">
        <v>3617</v>
      </c>
      <c r="I338" s="24">
        <v>331</v>
      </c>
      <c r="J338" s="24">
        <v>1111</v>
      </c>
      <c r="K338" s="24" t="s">
        <v>21</v>
      </c>
      <c r="L338" s="24">
        <v>1</v>
      </c>
      <c r="M338" s="39">
        <v>12000</v>
      </c>
      <c r="N338" s="39">
        <f t="shared" si="10"/>
        <v>12000</v>
      </c>
      <c r="O338" s="38" t="s">
        <v>22</v>
      </c>
    </row>
    <row r="339" spans="1:15" ht="15" customHeight="1" x14ac:dyDescent="0.2">
      <c r="A339" s="24" t="s">
        <v>368</v>
      </c>
      <c r="B339" s="36" t="s">
        <v>1537</v>
      </c>
      <c r="C339" s="24">
        <f t="shared" si="11"/>
        <v>474</v>
      </c>
      <c r="D339" s="24">
        <v>1</v>
      </c>
      <c r="G339" s="37" t="s">
        <v>1569</v>
      </c>
      <c r="H339" s="24" t="s">
        <v>3618</v>
      </c>
      <c r="I339" s="24">
        <v>331</v>
      </c>
      <c r="J339" s="24">
        <v>1111</v>
      </c>
      <c r="K339" s="24" t="s">
        <v>21</v>
      </c>
      <c r="L339" s="24">
        <v>1</v>
      </c>
      <c r="M339" s="39">
        <v>37000</v>
      </c>
      <c r="N339" s="39">
        <f t="shared" si="10"/>
        <v>37000</v>
      </c>
      <c r="O339" s="38" t="s">
        <v>22</v>
      </c>
    </row>
    <row r="340" spans="1:15" ht="15" customHeight="1" x14ac:dyDescent="0.2">
      <c r="A340" s="24" t="s">
        <v>368</v>
      </c>
      <c r="B340" s="36" t="s">
        <v>1537</v>
      </c>
      <c r="C340" s="24">
        <f t="shared" si="11"/>
        <v>475</v>
      </c>
      <c r="D340" s="24">
        <v>1</v>
      </c>
      <c r="G340" s="37" t="s">
        <v>1569</v>
      </c>
      <c r="H340" s="24" t="s">
        <v>3619</v>
      </c>
      <c r="I340" s="24">
        <v>331</v>
      </c>
      <c r="J340" s="24">
        <v>1111</v>
      </c>
      <c r="K340" s="24" t="s">
        <v>21</v>
      </c>
      <c r="L340" s="24">
        <v>1</v>
      </c>
      <c r="M340" s="39">
        <v>12000</v>
      </c>
      <c r="N340" s="39">
        <f t="shared" si="10"/>
        <v>12000</v>
      </c>
      <c r="O340" s="38" t="s">
        <v>22</v>
      </c>
    </row>
    <row r="341" spans="1:15" ht="15" customHeight="1" x14ac:dyDescent="0.2">
      <c r="A341" s="24" t="s">
        <v>368</v>
      </c>
      <c r="B341" s="36" t="s">
        <v>1537</v>
      </c>
      <c r="C341" s="24">
        <f t="shared" si="11"/>
        <v>476</v>
      </c>
      <c r="D341" s="24">
        <v>1</v>
      </c>
      <c r="G341" s="37" t="s">
        <v>1569</v>
      </c>
      <c r="H341" s="24" t="s">
        <v>3620</v>
      </c>
      <c r="I341" s="24">
        <v>331</v>
      </c>
      <c r="J341" s="24">
        <v>1111</v>
      </c>
      <c r="K341" s="24" t="s">
        <v>21</v>
      </c>
      <c r="L341" s="24">
        <v>1</v>
      </c>
      <c r="M341" s="39">
        <v>12000</v>
      </c>
      <c r="N341" s="39">
        <f t="shared" si="10"/>
        <v>12000</v>
      </c>
      <c r="O341" s="38" t="s">
        <v>22</v>
      </c>
    </row>
    <row r="342" spans="1:15" ht="15" customHeight="1" x14ac:dyDescent="0.2">
      <c r="A342" s="24" t="s">
        <v>368</v>
      </c>
      <c r="B342" s="36" t="s">
        <v>1537</v>
      </c>
      <c r="C342" s="24">
        <f t="shared" si="11"/>
        <v>477</v>
      </c>
      <c r="D342" s="24">
        <v>1</v>
      </c>
      <c r="G342" s="37" t="s">
        <v>1569</v>
      </c>
      <c r="H342" s="24" t="s">
        <v>3621</v>
      </c>
      <c r="I342" s="24">
        <v>331</v>
      </c>
      <c r="J342" s="24">
        <v>1111</v>
      </c>
      <c r="K342" s="24" t="s">
        <v>21</v>
      </c>
      <c r="L342" s="24">
        <v>1</v>
      </c>
      <c r="M342" s="39">
        <v>12000</v>
      </c>
      <c r="N342" s="39">
        <f t="shared" si="10"/>
        <v>12000</v>
      </c>
      <c r="O342" s="38" t="s">
        <v>22</v>
      </c>
    </row>
    <row r="343" spans="1:15" ht="15" customHeight="1" x14ac:dyDescent="0.2">
      <c r="A343" s="24" t="s">
        <v>368</v>
      </c>
      <c r="B343" s="36" t="s">
        <v>1537</v>
      </c>
      <c r="C343" s="24">
        <f t="shared" si="11"/>
        <v>478</v>
      </c>
      <c r="D343" s="24">
        <v>1</v>
      </c>
      <c r="G343" s="37" t="s">
        <v>1569</v>
      </c>
      <c r="H343" s="24" t="s">
        <v>3622</v>
      </c>
      <c r="I343" s="24">
        <v>331</v>
      </c>
      <c r="J343" s="24">
        <v>1111</v>
      </c>
      <c r="K343" s="24" t="s">
        <v>21</v>
      </c>
      <c r="L343" s="24">
        <v>1</v>
      </c>
      <c r="M343" s="39">
        <v>12000</v>
      </c>
      <c r="N343" s="39">
        <f t="shared" si="10"/>
        <v>12000</v>
      </c>
      <c r="O343" s="38" t="s">
        <v>22</v>
      </c>
    </row>
    <row r="344" spans="1:15" ht="15" customHeight="1" x14ac:dyDescent="0.2">
      <c r="A344" s="24" t="s">
        <v>368</v>
      </c>
      <c r="B344" s="36" t="s">
        <v>2359</v>
      </c>
      <c r="C344" s="24">
        <f t="shared" si="11"/>
        <v>479</v>
      </c>
      <c r="D344" s="24">
        <v>1</v>
      </c>
      <c r="G344" s="37" t="s">
        <v>1569</v>
      </c>
      <c r="H344" s="24" t="s">
        <v>3623</v>
      </c>
      <c r="I344" s="24">
        <v>331</v>
      </c>
      <c r="J344" s="24">
        <v>1111</v>
      </c>
      <c r="K344" s="24" t="s">
        <v>21</v>
      </c>
      <c r="L344" s="24">
        <v>1</v>
      </c>
      <c r="M344" s="39">
        <v>50000</v>
      </c>
      <c r="N344" s="39">
        <f t="shared" si="10"/>
        <v>50000</v>
      </c>
      <c r="O344" s="38" t="s">
        <v>22</v>
      </c>
    </row>
    <row r="345" spans="1:15" ht="15" customHeight="1" x14ac:dyDescent="0.2">
      <c r="A345" s="24" t="s">
        <v>368</v>
      </c>
      <c r="B345" s="36" t="s">
        <v>2078</v>
      </c>
      <c r="C345" s="24">
        <f t="shared" si="11"/>
        <v>480</v>
      </c>
      <c r="D345" s="24">
        <v>1</v>
      </c>
      <c r="G345" s="37" t="s">
        <v>1569</v>
      </c>
      <c r="H345" s="24" t="s">
        <v>3624</v>
      </c>
      <c r="I345" s="24">
        <v>331</v>
      </c>
      <c r="J345" s="24">
        <v>1111</v>
      </c>
      <c r="K345" s="24" t="s">
        <v>21</v>
      </c>
      <c r="L345" s="24">
        <v>1</v>
      </c>
      <c r="M345" s="39">
        <v>12000</v>
      </c>
      <c r="N345" s="39">
        <f t="shared" si="10"/>
        <v>12000</v>
      </c>
      <c r="O345" s="38" t="s">
        <v>22</v>
      </c>
    </row>
    <row r="346" spans="1:15" ht="15" customHeight="1" x14ac:dyDescent="0.2">
      <c r="A346" s="24" t="s">
        <v>368</v>
      </c>
      <c r="B346" s="36" t="s">
        <v>2078</v>
      </c>
      <c r="C346" s="24">
        <f t="shared" si="11"/>
        <v>481</v>
      </c>
      <c r="D346" s="24">
        <v>1</v>
      </c>
      <c r="G346" s="37" t="s">
        <v>1569</v>
      </c>
      <c r="H346" s="24" t="s">
        <v>3625</v>
      </c>
      <c r="I346" s="24">
        <v>331</v>
      </c>
      <c r="J346" s="24">
        <v>1111</v>
      </c>
      <c r="K346" s="24" t="s">
        <v>21</v>
      </c>
      <c r="L346" s="24">
        <v>1</v>
      </c>
      <c r="M346" s="39">
        <v>12000</v>
      </c>
      <c r="N346" s="39">
        <f t="shared" si="10"/>
        <v>12000</v>
      </c>
      <c r="O346" s="38" t="s">
        <v>22</v>
      </c>
    </row>
    <row r="347" spans="1:15" ht="15" customHeight="1" x14ac:dyDescent="0.2">
      <c r="A347" s="24" t="s">
        <v>368</v>
      </c>
      <c r="B347" s="36" t="s">
        <v>2445</v>
      </c>
      <c r="C347" s="24">
        <f t="shared" si="11"/>
        <v>482</v>
      </c>
      <c r="D347" s="24">
        <v>1</v>
      </c>
      <c r="G347" s="37" t="s">
        <v>1569</v>
      </c>
      <c r="H347" s="24" t="s">
        <v>3626</v>
      </c>
      <c r="I347" s="24">
        <v>331</v>
      </c>
      <c r="J347" s="24">
        <v>1111</v>
      </c>
      <c r="K347" s="24" t="s">
        <v>21</v>
      </c>
      <c r="L347" s="24">
        <v>1</v>
      </c>
      <c r="M347" s="39">
        <v>62000</v>
      </c>
      <c r="N347" s="39">
        <f t="shared" si="10"/>
        <v>62000</v>
      </c>
      <c r="O347" s="38" t="s">
        <v>22</v>
      </c>
    </row>
    <row r="348" spans="1:15" ht="15" customHeight="1" x14ac:dyDescent="0.2">
      <c r="A348" s="24" t="s">
        <v>368</v>
      </c>
      <c r="B348" s="36" t="s">
        <v>2445</v>
      </c>
      <c r="C348" s="24">
        <f t="shared" si="11"/>
        <v>483</v>
      </c>
      <c r="D348" s="24">
        <v>1</v>
      </c>
      <c r="G348" s="37" t="s">
        <v>1569</v>
      </c>
      <c r="H348" s="24" t="s">
        <v>3627</v>
      </c>
      <c r="I348" s="24">
        <v>331</v>
      </c>
      <c r="J348" s="24">
        <v>1111</v>
      </c>
      <c r="K348" s="24" t="s">
        <v>21</v>
      </c>
      <c r="L348" s="24">
        <v>1</v>
      </c>
      <c r="M348" s="39">
        <v>62000</v>
      </c>
      <c r="N348" s="39">
        <f t="shared" si="10"/>
        <v>62000</v>
      </c>
      <c r="O348" s="38" t="s">
        <v>22</v>
      </c>
    </row>
    <row r="349" spans="1:15" ht="15" customHeight="1" x14ac:dyDescent="0.2">
      <c r="A349" s="24" t="s">
        <v>368</v>
      </c>
      <c r="B349" s="36" t="s">
        <v>1425</v>
      </c>
      <c r="C349" s="24">
        <f t="shared" si="11"/>
        <v>484</v>
      </c>
      <c r="D349" s="24">
        <v>1</v>
      </c>
      <c r="G349" s="37" t="s">
        <v>1569</v>
      </c>
      <c r="H349" s="24" t="s">
        <v>3628</v>
      </c>
      <c r="I349" s="24">
        <v>331</v>
      </c>
      <c r="J349" s="24">
        <v>1111</v>
      </c>
      <c r="K349" s="24" t="s">
        <v>21</v>
      </c>
      <c r="L349" s="24">
        <v>1</v>
      </c>
      <c r="M349" s="39">
        <v>12000</v>
      </c>
      <c r="N349" s="39">
        <f t="shared" si="10"/>
        <v>12000</v>
      </c>
      <c r="O349" s="38" t="s">
        <v>22</v>
      </c>
    </row>
    <row r="350" spans="1:15" ht="15" customHeight="1" x14ac:dyDescent="0.2">
      <c r="A350" s="24" t="s">
        <v>368</v>
      </c>
      <c r="B350" s="36" t="s">
        <v>1425</v>
      </c>
      <c r="C350" s="24">
        <f t="shared" si="11"/>
        <v>485</v>
      </c>
      <c r="D350" s="24">
        <v>1</v>
      </c>
      <c r="G350" s="37" t="s">
        <v>1569</v>
      </c>
      <c r="H350" s="24" t="s">
        <v>3629</v>
      </c>
      <c r="I350" s="24">
        <v>331</v>
      </c>
      <c r="J350" s="24">
        <v>1111</v>
      </c>
      <c r="K350" s="24" t="s">
        <v>21</v>
      </c>
      <c r="L350" s="24">
        <v>1</v>
      </c>
      <c r="M350" s="39">
        <v>12000</v>
      </c>
      <c r="N350" s="39">
        <f t="shared" si="10"/>
        <v>12000</v>
      </c>
      <c r="O350" s="38" t="s">
        <v>22</v>
      </c>
    </row>
    <row r="351" spans="1:15" ht="15" customHeight="1" x14ac:dyDescent="0.2">
      <c r="A351" s="24" t="s">
        <v>368</v>
      </c>
      <c r="B351" s="36" t="s">
        <v>3145</v>
      </c>
      <c r="C351" s="24">
        <f t="shared" si="11"/>
        <v>486</v>
      </c>
      <c r="D351" s="24">
        <v>1</v>
      </c>
      <c r="G351" s="37" t="s">
        <v>1569</v>
      </c>
      <c r="H351" s="24" t="s">
        <v>3630</v>
      </c>
      <c r="I351" s="24">
        <v>331</v>
      </c>
      <c r="J351" s="24">
        <v>1111</v>
      </c>
      <c r="K351" s="24" t="s">
        <v>21</v>
      </c>
      <c r="L351" s="24">
        <v>1</v>
      </c>
      <c r="M351" s="39">
        <v>12000</v>
      </c>
      <c r="N351" s="39">
        <f t="shared" si="10"/>
        <v>12000</v>
      </c>
      <c r="O351" s="38" t="s">
        <v>22</v>
      </c>
    </row>
    <row r="352" spans="1:15" ht="15" customHeight="1" x14ac:dyDescent="0.2">
      <c r="A352" s="24" t="s">
        <v>368</v>
      </c>
      <c r="B352" s="36" t="s">
        <v>3145</v>
      </c>
      <c r="C352" s="24">
        <f t="shared" si="11"/>
        <v>487</v>
      </c>
      <c r="D352" s="24">
        <v>1</v>
      </c>
      <c r="G352" s="37" t="s">
        <v>1569</v>
      </c>
      <c r="H352" s="24" t="s">
        <v>3631</v>
      </c>
      <c r="I352" s="24">
        <v>331</v>
      </c>
      <c r="J352" s="24">
        <v>1111</v>
      </c>
      <c r="K352" s="24" t="s">
        <v>21</v>
      </c>
      <c r="L352" s="24">
        <v>1</v>
      </c>
      <c r="M352" s="39">
        <v>12000</v>
      </c>
      <c r="N352" s="39">
        <f t="shared" si="10"/>
        <v>12000</v>
      </c>
      <c r="O352" s="38" t="s">
        <v>22</v>
      </c>
    </row>
    <row r="353" spans="1:19" ht="15" customHeight="1" x14ac:dyDescent="0.2">
      <c r="A353" s="24" t="s">
        <v>368</v>
      </c>
      <c r="B353" s="36" t="s">
        <v>2233</v>
      </c>
      <c r="C353" s="24">
        <f t="shared" si="11"/>
        <v>488</v>
      </c>
      <c r="D353" s="24">
        <v>1</v>
      </c>
      <c r="G353" s="37" t="s">
        <v>3153</v>
      </c>
      <c r="H353" s="24" t="s">
        <v>3632</v>
      </c>
      <c r="I353" s="24">
        <v>331</v>
      </c>
      <c r="J353" s="24">
        <v>1111</v>
      </c>
      <c r="K353" s="24" t="s">
        <v>21</v>
      </c>
      <c r="L353" s="24">
        <v>1</v>
      </c>
      <c r="M353" s="39">
        <v>60</v>
      </c>
      <c r="N353" s="39">
        <f t="shared" si="10"/>
        <v>60</v>
      </c>
      <c r="O353" s="38" t="s">
        <v>22</v>
      </c>
    </row>
    <row r="354" spans="1:19" ht="15" customHeight="1" x14ac:dyDescent="0.2">
      <c r="A354" s="24" t="s">
        <v>368</v>
      </c>
      <c r="B354" s="36" t="s">
        <v>2233</v>
      </c>
      <c r="C354" s="24">
        <f t="shared" si="11"/>
        <v>489</v>
      </c>
      <c r="D354" s="24">
        <v>1</v>
      </c>
      <c r="G354" s="37" t="s">
        <v>1569</v>
      </c>
      <c r="H354" s="24" t="s">
        <v>3633</v>
      </c>
      <c r="I354" s="24">
        <v>331</v>
      </c>
      <c r="J354" s="24">
        <v>1111</v>
      </c>
      <c r="K354" s="24" t="s">
        <v>21</v>
      </c>
      <c r="L354" s="24">
        <v>1</v>
      </c>
      <c r="M354" s="39">
        <v>91000</v>
      </c>
      <c r="N354" s="39">
        <f t="shared" si="10"/>
        <v>91000</v>
      </c>
      <c r="O354" s="38" t="s">
        <v>22</v>
      </c>
    </row>
    <row r="355" spans="1:19" ht="15" customHeight="1" x14ac:dyDescent="0.2">
      <c r="A355" s="24" t="s">
        <v>368</v>
      </c>
      <c r="B355" s="36" t="s">
        <v>2233</v>
      </c>
      <c r="C355" s="24">
        <f t="shared" si="11"/>
        <v>490</v>
      </c>
      <c r="D355" s="24">
        <v>1</v>
      </c>
      <c r="G355" s="37" t="s">
        <v>1569</v>
      </c>
      <c r="H355" s="24" t="s">
        <v>3634</v>
      </c>
      <c r="I355" s="24">
        <v>331</v>
      </c>
      <c r="J355" s="24">
        <v>1111</v>
      </c>
      <c r="K355" s="24" t="s">
        <v>21</v>
      </c>
      <c r="L355" s="24">
        <v>1</v>
      </c>
      <c r="M355" s="39">
        <v>120000</v>
      </c>
      <c r="N355" s="39">
        <f t="shared" si="10"/>
        <v>120000</v>
      </c>
      <c r="O355" s="38" t="s">
        <v>22</v>
      </c>
    </row>
    <row r="356" spans="1:19" ht="15" customHeight="1" x14ac:dyDescent="0.2">
      <c r="A356" s="24" t="s">
        <v>368</v>
      </c>
      <c r="B356" s="36" t="s">
        <v>2126</v>
      </c>
      <c r="C356" s="24">
        <f t="shared" si="11"/>
        <v>491</v>
      </c>
      <c r="D356" s="24">
        <v>1</v>
      </c>
      <c r="G356" s="37" t="s">
        <v>23</v>
      </c>
      <c r="H356" s="24" t="s">
        <v>3635</v>
      </c>
      <c r="I356" s="24">
        <v>331</v>
      </c>
      <c r="J356" s="24">
        <v>1111</v>
      </c>
      <c r="K356" s="24" t="s">
        <v>21</v>
      </c>
      <c r="L356" s="24">
        <v>1</v>
      </c>
      <c r="M356" s="39">
        <v>710640</v>
      </c>
      <c r="N356" s="39">
        <f t="shared" si="10"/>
        <v>710640</v>
      </c>
      <c r="O356" s="38" t="s">
        <v>22</v>
      </c>
    </row>
    <row r="357" spans="1:19" ht="15" customHeight="1" x14ac:dyDescent="0.2">
      <c r="A357" s="24" t="s">
        <v>368</v>
      </c>
      <c r="B357" s="36" t="s">
        <v>2049</v>
      </c>
      <c r="C357" s="24">
        <f t="shared" si="11"/>
        <v>492</v>
      </c>
      <c r="D357" s="24">
        <v>1</v>
      </c>
      <c r="G357" s="37" t="s">
        <v>3157</v>
      </c>
      <c r="H357" s="24" t="s">
        <v>3636</v>
      </c>
      <c r="I357" s="24">
        <v>331</v>
      </c>
      <c r="J357" s="24">
        <v>1111</v>
      </c>
      <c r="K357" s="24" t="s">
        <v>21</v>
      </c>
      <c r="L357" s="24">
        <v>1</v>
      </c>
      <c r="M357" s="39">
        <v>1398800</v>
      </c>
      <c r="N357" s="39">
        <f t="shared" si="10"/>
        <v>1398800</v>
      </c>
      <c r="O357" s="38" t="s">
        <v>22</v>
      </c>
    </row>
    <row r="358" spans="1:19" ht="15" customHeight="1" x14ac:dyDescent="0.2">
      <c r="A358" s="24" t="s">
        <v>368</v>
      </c>
      <c r="B358" s="36" t="s">
        <v>2445</v>
      </c>
      <c r="C358" s="24">
        <f t="shared" si="11"/>
        <v>493</v>
      </c>
      <c r="D358" s="24">
        <v>1</v>
      </c>
      <c r="G358" s="37" t="s">
        <v>1485</v>
      </c>
      <c r="H358" s="24" t="s">
        <v>3637</v>
      </c>
      <c r="I358" s="24">
        <v>331</v>
      </c>
      <c r="J358" s="24">
        <v>1111</v>
      </c>
      <c r="K358" s="24" t="s">
        <v>21</v>
      </c>
      <c r="L358" s="24">
        <v>1</v>
      </c>
      <c r="M358" s="39">
        <v>402840</v>
      </c>
      <c r="N358" s="39">
        <f t="shared" si="10"/>
        <v>402840</v>
      </c>
      <c r="O358" s="38" t="s">
        <v>22</v>
      </c>
    </row>
    <row r="359" spans="1:19" ht="15" customHeight="1" x14ac:dyDescent="0.2">
      <c r="A359" s="24" t="s">
        <v>18</v>
      </c>
      <c r="B359" s="36">
        <v>45869</v>
      </c>
      <c r="C359" s="24">
        <f t="shared" si="11"/>
        <v>494</v>
      </c>
      <c r="D359" s="24">
        <v>1</v>
      </c>
      <c r="G359" s="37" t="s">
        <v>1235</v>
      </c>
      <c r="H359" s="24" t="s">
        <v>147</v>
      </c>
      <c r="I359" s="24">
        <v>64271</v>
      </c>
      <c r="J359" s="24">
        <v>3383</v>
      </c>
      <c r="K359" s="24" t="s">
        <v>21</v>
      </c>
      <c r="L359" s="24">
        <v>1</v>
      </c>
      <c r="M359" s="39">
        <v>690300</v>
      </c>
      <c r="N359" s="39">
        <v>690300</v>
      </c>
      <c r="O359" s="38" t="s">
        <v>22</v>
      </c>
    </row>
    <row r="360" spans="1:19" ht="15" customHeight="1" x14ac:dyDescent="0.2">
      <c r="A360" s="24" t="s">
        <v>18</v>
      </c>
      <c r="B360" s="36">
        <v>45900</v>
      </c>
      <c r="C360" s="24">
        <f t="shared" si="11"/>
        <v>495</v>
      </c>
      <c r="D360" s="24">
        <v>1</v>
      </c>
      <c r="G360" s="37" t="s">
        <v>1235</v>
      </c>
      <c r="H360" s="24" t="s">
        <v>280</v>
      </c>
      <c r="I360" s="24">
        <v>64271</v>
      </c>
      <c r="J360" s="24">
        <v>3383</v>
      </c>
      <c r="K360" s="24" t="s">
        <v>21</v>
      </c>
      <c r="L360" s="24">
        <v>1</v>
      </c>
      <c r="M360" s="39">
        <v>690300</v>
      </c>
      <c r="N360" s="39">
        <v>690300</v>
      </c>
      <c r="O360" s="38" t="s">
        <v>22</v>
      </c>
    </row>
    <row r="361" spans="1:19" ht="15" customHeight="1" x14ac:dyDescent="0.2">
      <c r="A361" s="24" t="s">
        <v>18</v>
      </c>
      <c r="B361" s="36">
        <v>45930</v>
      </c>
      <c r="C361" s="24">
        <f t="shared" si="11"/>
        <v>496</v>
      </c>
      <c r="D361" s="24">
        <v>1</v>
      </c>
      <c r="G361" s="37" t="s">
        <v>1235</v>
      </c>
      <c r="H361" s="24" t="s">
        <v>367</v>
      </c>
      <c r="I361" s="24">
        <v>64271</v>
      </c>
      <c r="J361" s="24">
        <v>3383</v>
      </c>
      <c r="K361" s="24" t="s">
        <v>21</v>
      </c>
      <c r="L361" s="24">
        <v>1</v>
      </c>
      <c r="M361" s="39">
        <v>690300</v>
      </c>
      <c r="N361" s="39">
        <v>690300</v>
      </c>
      <c r="O361" s="38" t="s">
        <v>22</v>
      </c>
    </row>
    <row r="362" spans="1:19" ht="15" customHeight="1" x14ac:dyDescent="0.2">
      <c r="A362" s="24" t="s">
        <v>33</v>
      </c>
      <c r="B362" s="36">
        <v>45839</v>
      </c>
      <c r="C362" s="24">
        <f t="shared" si="11"/>
        <v>497</v>
      </c>
      <c r="D362" s="24">
        <v>1</v>
      </c>
      <c r="G362" s="37" t="s">
        <v>2824</v>
      </c>
      <c r="H362" s="24" t="s">
        <v>3641</v>
      </c>
      <c r="I362" s="24">
        <v>112111</v>
      </c>
      <c r="J362" s="24">
        <v>131</v>
      </c>
      <c r="K362" s="24" t="s">
        <v>21</v>
      </c>
      <c r="L362" s="24">
        <v>1</v>
      </c>
      <c r="M362" s="39">
        <v>43010753</v>
      </c>
      <c r="N362" s="39">
        <f t="shared" si="10"/>
        <v>43010753</v>
      </c>
      <c r="O362" s="24" t="s">
        <v>22</v>
      </c>
    </row>
    <row r="363" spans="1:19" ht="15" customHeight="1" x14ac:dyDescent="0.2">
      <c r="A363" s="24" t="s">
        <v>33</v>
      </c>
      <c r="B363" s="36">
        <v>45839</v>
      </c>
      <c r="C363" s="24">
        <f t="shared" si="11"/>
        <v>498</v>
      </c>
      <c r="D363" s="24">
        <v>1</v>
      </c>
      <c r="G363" s="37" t="s">
        <v>96</v>
      </c>
      <c r="H363" s="24" t="s">
        <v>3667</v>
      </c>
      <c r="I363" s="24">
        <v>112111</v>
      </c>
      <c r="J363" s="24">
        <v>131</v>
      </c>
      <c r="K363" s="24" t="s">
        <v>21</v>
      </c>
      <c r="L363" s="24">
        <v>1</v>
      </c>
      <c r="M363" s="39">
        <v>43010753</v>
      </c>
      <c r="N363" s="39">
        <f t="shared" si="10"/>
        <v>43010753</v>
      </c>
      <c r="O363" s="24" t="s">
        <v>22</v>
      </c>
    </row>
    <row r="364" spans="1:19" ht="15" customHeight="1" x14ac:dyDescent="0.2">
      <c r="A364" s="24" t="s">
        <v>33</v>
      </c>
      <c r="B364" s="36">
        <v>45847</v>
      </c>
      <c r="C364" s="24">
        <f t="shared" si="11"/>
        <v>499</v>
      </c>
      <c r="D364" s="24">
        <v>1</v>
      </c>
      <c r="G364" s="37" t="s">
        <v>96</v>
      </c>
      <c r="H364" s="24" t="s">
        <v>3668</v>
      </c>
      <c r="I364" s="24">
        <v>112111</v>
      </c>
      <c r="J364" s="24">
        <v>131</v>
      </c>
      <c r="K364" s="24" t="s">
        <v>21</v>
      </c>
      <c r="L364" s="24">
        <v>1</v>
      </c>
      <c r="M364" s="39">
        <v>59139785</v>
      </c>
      <c r="N364" s="39">
        <f t="shared" si="10"/>
        <v>59139785</v>
      </c>
      <c r="O364" s="24" t="s">
        <v>22</v>
      </c>
    </row>
    <row r="365" spans="1:19" ht="15" customHeight="1" x14ac:dyDescent="0.2">
      <c r="A365" s="24" t="s">
        <v>18</v>
      </c>
      <c r="B365" s="36">
        <v>45856</v>
      </c>
      <c r="C365" s="24">
        <f t="shared" si="11"/>
        <v>500</v>
      </c>
      <c r="D365" s="24">
        <v>1</v>
      </c>
      <c r="G365" s="37" t="s">
        <v>252</v>
      </c>
      <c r="H365" s="24" t="s">
        <v>3638</v>
      </c>
      <c r="I365" s="24">
        <v>131</v>
      </c>
      <c r="J365" s="24">
        <v>5118</v>
      </c>
      <c r="K365" s="24" t="s">
        <v>21</v>
      </c>
      <c r="L365" s="24">
        <v>1</v>
      </c>
      <c r="M365" s="39">
        <v>19418316</v>
      </c>
      <c r="N365" s="39">
        <f t="shared" si="10"/>
        <v>19418316</v>
      </c>
      <c r="O365" s="24" t="s">
        <v>22</v>
      </c>
    </row>
    <row r="366" spans="1:19" ht="15" customHeight="1" x14ac:dyDescent="0.2">
      <c r="A366" s="24" t="s">
        <v>33</v>
      </c>
      <c r="B366" s="36">
        <v>45856</v>
      </c>
      <c r="C366" s="24">
        <f t="shared" si="11"/>
        <v>501</v>
      </c>
      <c r="D366" s="24">
        <v>1</v>
      </c>
      <c r="G366" s="37" t="s">
        <v>252</v>
      </c>
      <c r="H366" s="24" t="s">
        <v>3639</v>
      </c>
      <c r="I366" s="24">
        <v>112111</v>
      </c>
      <c r="J366" s="24">
        <v>131</v>
      </c>
      <c r="K366" s="24" t="s">
        <v>21</v>
      </c>
      <c r="L366" s="24">
        <v>1</v>
      </c>
      <c r="M366" s="39">
        <v>19418316</v>
      </c>
      <c r="N366" s="39">
        <f t="shared" si="10"/>
        <v>19418316</v>
      </c>
      <c r="O366" s="24" t="s">
        <v>22</v>
      </c>
    </row>
    <row r="367" spans="1:19" ht="15" customHeight="1" x14ac:dyDescent="0.2">
      <c r="A367" s="24" t="s">
        <v>89</v>
      </c>
      <c r="B367" s="36">
        <v>45856</v>
      </c>
      <c r="C367" s="24">
        <f t="shared" si="11"/>
        <v>502</v>
      </c>
      <c r="D367" s="24">
        <v>1</v>
      </c>
      <c r="G367" s="37" t="s">
        <v>2914</v>
      </c>
      <c r="H367" s="24" t="s">
        <v>1008</v>
      </c>
      <c r="I367" s="24">
        <v>1111</v>
      </c>
      <c r="J367" s="24">
        <v>112111</v>
      </c>
      <c r="K367" s="24" t="s">
        <v>21</v>
      </c>
      <c r="L367" s="24">
        <v>1</v>
      </c>
      <c r="M367" s="39">
        <v>200000000</v>
      </c>
      <c r="N367" s="39">
        <f t="shared" si="10"/>
        <v>200000000</v>
      </c>
      <c r="O367" s="24" t="s">
        <v>22</v>
      </c>
    </row>
    <row r="368" spans="1:19" ht="15" customHeight="1" x14ac:dyDescent="0.2">
      <c r="A368" s="24" t="s">
        <v>89</v>
      </c>
      <c r="B368" s="36">
        <v>45863</v>
      </c>
      <c r="C368" s="24">
        <f t="shared" si="11"/>
        <v>503</v>
      </c>
      <c r="D368" s="24">
        <v>1</v>
      </c>
      <c r="G368" s="37" t="s">
        <v>3669</v>
      </c>
      <c r="H368" s="24" t="s">
        <v>3670</v>
      </c>
      <c r="I368" s="24">
        <v>333822</v>
      </c>
      <c r="J368" s="24">
        <v>112111</v>
      </c>
      <c r="K368" s="24" t="s">
        <v>21</v>
      </c>
      <c r="L368" s="24">
        <v>1</v>
      </c>
      <c r="M368" s="39">
        <v>2225</v>
      </c>
      <c r="N368" s="39">
        <f t="shared" si="10"/>
        <v>2225</v>
      </c>
      <c r="O368" s="24" t="s">
        <v>22</v>
      </c>
      <c r="S368" s="37"/>
    </row>
    <row r="369" spans="1:15" ht="15" customHeight="1" x14ac:dyDescent="0.2">
      <c r="A369" s="24" t="s">
        <v>89</v>
      </c>
      <c r="B369" s="36">
        <v>45863</v>
      </c>
      <c r="C369" s="24">
        <f t="shared" si="11"/>
        <v>504</v>
      </c>
      <c r="D369" s="24">
        <v>1</v>
      </c>
      <c r="G369" s="37" t="s">
        <v>3669</v>
      </c>
      <c r="H369" s="24" t="s">
        <v>3671</v>
      </c>
      <c r="I369" s="24">
        <v>333821</v>
      </c>
      <c r="J369" s="24">
        <v>112111</v>
      </c>
      <c r="K369" s="24" t="s">
        <v>21</v>
      </c>
      <c r="L369" s="24">
        <v>1</v>
      </c>
      <c r="M369" s="39">
        <v>20649096</v>
      </c>
      <c r="N369" s="39">
        <f t="shared" si="10"/>
        <v>20649096</v>
      </c>
      <c r="O369" s="24" t="s">
        <v>22</v>
      </c>
    </row>
    <row r="370" spans="1:15" ht="15" customHeight="1" x14ac:dyDescent="0.2">
      <c r="A370" s="24" t="s">
        <v>89</v>
      </c>
      <c r="B370" s="36">
        <v>45863</v>
      </c>
      <c r="C370" s="24">
        <f t="shared" si="11"/>
        <v>505</v>
      </c>
      <c r="D370" s="24">
        <v>1</v>
      </c>
      <c r="G370" s="37" t="s">
        <v>3669</v>
      </c>
      <c r="H370" s="24" t="s">
        <v>3671</v>
      </c>
      <c r="I370" s="24">
        <v>333821</v>
      </c>
      <c r="J370" s="24">
        <v>112111</v>
      </c>
      <c r="K370" s="24" t="s">
        <v>21</v>
      </c>
      <c r="L370" s="24">
        <v>1</v>
      </c>
      <c r="M370" s="39">
        <v>37151080</v>
      </c>
      <c r="N370" s="39">
        <f t="shared" si="10"/>
        <v>37151080</v>
      </c>
      <c r="O370" s="24" t="s">
        <v>22</v>
      </c>
    </row>
    <row r="371" spans="1:15" ht="15" customHeight="1" x14ac:dyDescent="0.2">
      <c r="A371" s="24" t="s">
        <v>33</v>
      </c>
      <c r="B371" s="36">
        <v>45864</v>
      </c>
      <c r="C371" s="24">
        <f t="shared" si="11"/>
        <v>506</v>
      </c>
      <c r="D371" s="24">
        <v>1</v>
      </c>
      <c r="G371" s="37" t="s">
        <v>128</v>
      </c>
      <c r="H371" s="42" t="s">
        <v>129</v>
      </c>
      <c r="I371" s="24">
        <v>112111</v>
      </c>
      <c r="J371" s="24">
        <v>5154</v>
      </c>
      <c r="K371" s="24" t="s">
        <v>21</v>
      </c>
      <c r="L371" s="24">
        <v>1</v>
      </c>
      <c r="M371" s="39">
        <v>6848</v>
      </c>
      <c r="N371" s="39">
        <f t="shared" si="10"/>
        <v>6848</v>
      </c>
      <c r="O371" s="24" t="s">
        <v>22</v>
      </c>
    </row>
    <row r="372" spans="1:15" ht="15" customHeight="1" x14ac:dyDescent="0.2">
      <c r="A372" s="24" t="s">
        <v>33</v>
      </c>
      <c r="B372" s="36">
        <v>45866</v>
      </c>
      <c r="C372" s="24">
        <f t="shared" si="11"/>
        <v>507</v>
      </c>
      <c r="D372" s="24">
        <v>1</v>
      </c>
      <c r="G372" s="37" t="s">
        <v>1077</v>
      </c>
      <c r="H372" s="24" t="s">
        <v>3642</v>
      </c>
      <c r="I372" s="24">
        <v>112111</v>
      </c>
      <c r="J372" s="24">
        <v>131</v>
      </c>
      <c r="K372" s="24" t="s">
        <v>21</v>
      </c>
      <c r="L372" s="24">
        <v>1</v>
      </c>
      <c r="M372" s="39">
        <v>69892473</v>
      </c>
      <c r="N372" s="39">
        <f t="shared" si="10"/>
        <v>69892473</v>
      </c>
      <c r="O372" s="24" t="s">
        <v>22</v>
      </c>
    </row>
    <row r="373" spans="1:15" ht="15" customHeight="1" x14ac:dyDescent="0.2">
      <c r="A373" s="24" t="s">
        <v>33</v>
      </c>
      <c r="B373" s="36">
        <v>45869</v>
      </c>
      <c r="C373" s="24">
        <f t="shared" si="11"/>
        <v>508</v>
      </c>
      <c r="D373" s="24">
        <v>1</v>
      </c>
      <c r="G373" s="37" t="s">
        <v>1077</v>
      </c>
      <c r="H373" s="24" t="s">
        <v>3643</v>
      </c>
      <c r="I373" s="24">
        <v>112111</v>
      </c>
      <c r="J373" s="24">
        <v>131</v>
      </c>
      <c r="K373" s="24" t="s">
        <v>21</v>
      </c>
      <c r="L373" s="24">
        <v>1</v>
      </c>
      <c r="M373" s="39">
        <v>42580645</v>
      </c>
      <c r="N373" s="39">
        <f t="shared" si="10"/>
        <v>42580645</v>
      </c>
      <c r="O373" s="24" t="s">
        <v>22</v>
      </c>
    </row>
    <row r="374" spans="1:15" ht="15" customHeight="1" x14ac:dyDescent="0.2">
      <c r="A374" s="24" t="s">
        <v>33</v>
      </c>
      <c r="B374" s="36">
        <v>45869</v>
      </c>
      <c r="C374" s="24">
        <f t="shared" si="11"/>
        <v>509</v>
      </c>
      <c r="D374" s="24">
        <v>1</v>
      </c>
      <c r="G374" s="37" t="s">
        <v>3086</v>
      </c>
      <c r="H374" s="24" t="s">
        <v>3644</v>
      </c>
      <c r="I374" s="24">
        <v>112111</v>
      </c>
      <c r="J374" s="24">
        <v>131</v>
      </c>
      <c r="K374" s="24" t="s">
        <v>21</v>
      </c>
      <c r="L374" s="24">
        <v>1</v>
      </c>
      <c r="M374" s="39">
        <v>42580645</v>
      </c>
      <c r="N374" s="39">
        <f t="shared" si="10"/>
        <v>42580645</v>
      </c>
      <c r="O374" s="24" t="s">
        <v>22</v>
      </c>
    </row>
    <row r="375" spans="1:15" ht="15" customHeight="1" x14ac:dyDescent="0.2">
      <c r="A375" s="24" t="s">
        <v>33</v>
      </c>
      <c r="B375" s="36">
        <v>45870</v>
      </c>
      <c r="C375" s="24">
        <f t="shared" si="11"/>
        <v>510</v>
      </c>
      <c r="D375" s="24">
        <v>1</v>
      </c>
      <c r="G375" s="37" t="s">
        <v>96</v>
      </c>
      <c r="H375" s="24" t="s">
        <v>3645</v>
      </c>
      <c r="I375" s="24">
        <v>112111</v>
      </c>
      <c r="J375" s="24">
        <v>131</v>
      </c>
      <c r="K375" s="24" t="s">
        <v>21</v>
      </c>
      <c r="L375" s="24">
        <v>1</v>
      </c>
      <c r="M375" s="39">
        <v>42580645</v>
      </c>
      <c r="N375" s="39">
        <f t="shared" si="10"/>
        <v>42580645</v>
      </c>
      <c r="O375" s="24" t="s">
        <v>22</v>
      </c>
    </row>
    <row r="376" spans="1:15" ht="15" customHeight="1" x14ac:dyDescent="0.2">
      <c r="A376" s="24" t="s">
        <v>89</v>
      </c>
      <c r="B376" s="36">
        <v>45871</v>
      </c>
      <c r="C376" s="24">
        <f t="shared" si="11"/>
        <v>511</v>
      </c>
      <c r="D376" s="24">
        <v>1</v>
      </c>
      <c r="G376" s="37" t="s">
        <v>2914</v>
      </c>
      <c r="H376" s="24" t="s">
        <v>1008</v>
      </c>
      <c r="I376" s="24">
        <v>1111</v>
      </c>
      <c r="J376" s="24">
        <v>112111</v>
      </c>
      <c r="K376" s="24" t="s">
        <v>21</v>
      </c>
      <c r="L376" s="24">
        <v>1</v>
      </c>
      <c r="M376" s="39">
        <v>100000000</v>
      </c>
      <c r="N376" s="39">
        <f t="shared" si="10"/>
        <v>100000000</v>
      </c>
      <c r="O376" s="24" t="s">
        <v>22</v>
      </c>
    </row>
    <row r="377" spans="1:15" ht="15" customHeight="1" x14ac:dyDescent="0.2">
      <c r="A377" s="24" t="s">
        <v>18</v>
      </c>
      <c r="B377" s="36">
        <v>45874</v>
      </c>
      <c r="C377" s="24">
        <f t="shared" si="11"/>
        <v>512</v>
      </c>
      <c r="D377" s="24">
        <v>1</v>
      </c>
      <c r="G377" s="37" t="s">
        <v>252</v>
      </c>
      <c r="H377" s="24" t="s">
        <v>3638</v>
      </c>
      <c r="I377" s="24">
        <v>131</v>
      </c>
      <c r="J377" s="24">
        <v>5118</v>
      </c>
      <c r="K377" s="24" t="s">
        <v>21</v>
      </c>
      <c r="L377" s="24">
        <v>1</v>
      </c>
      <c r="M377" s="39">
        <v>13582143</v>
      </c>
      <c r="N377" s="39">
        <f t="shared" si="10"/>
        <v>13582143</v>
      </c>
      <c r="O377" s="24" t="s">
        <v>22</v>
      </c>
    </row>
    <row r="378" spans="1:15" ht="15" customHeight="1" x14ac:dyDescent="0.2">
      <c r="A378" s="24" t="s">
        <v>33</v>
      </c>
      <c r="B378" s="36">
        <v>45874</v>
      </c>
      <c r="C378" s="24">
        <f t="shared" si="11"/>
        <v>513</v>
      </c>
      <c r="D378" s="24">
        <v>1</v>
      </c>
      <c r="G378" s="37" t="s">
        <v>252</v>
      </c>
      <c r="H378" s="24" t="s">
        <v>3639</v>
      </c>
      <c r="I378" s="24">
        <v>112111</v>
      </c>
      <c r="J378" s="24">
        <v>131</v>
      </c>
      <c r="K378" s="24" t="s">
        <v>21</v>
      </c>
      <c r="L378" s="24">
        <v>1</v>
      </c>
      <c r="M378" s="39">
        <v>13582143</v>
      </c>
      <c r="N378" s="39">
        <f t="shared" si="10"/>
        <v>13582143</v>
      </c>
      <c r="O378" s="24" t="s">
        <v>22</v>
      </c>
    </row>
    <row r="379" spans="1:15" ht="15" customHeight="1" x14ac:dyDescent="0.2">
      <c r="A379" s="24" t="s">
        <v>18</v>
      </c>
      <c r="B379" s="36">
        <v>45874</v>
      </c>
      <c r="C379" s="24">
        <f t="shared" si="11"/>
        <v>514</v>
      </c>
      <c r="D379" s="24">
        <v>1</v>
      </c>
      <c r="G379" s="37" t="s">
        <v>252</v>
      </c>
      <c r="H379" s="24" t="s">
        <v>3638</v>
      </c>
      <c r="I379" s="24">
        <v>131</v>
      </c>
      <c r="J379" s="24">
        <v>5118</v>
      </c>
      <c r="K379" s="24" t="s">
        <v>21</v>
      </c>
      <c r="L379" s="24">
        <v>1</v>
      </c>
      <c r="M379" s="39">
        <v>5036626</v>
      </c>
      <c r="N379" s="39">
        <f t="shared" si="10"/>
        <v>5036626</v>
      </c>
      <c r="O379" s="24" t="s">
        <v>22</v>
      </c>
    </row>
    <row r="380" spans="1:15" ht="15" customHeight="1" x14ac:dyDescent="0.2">
      <c r="A380" s="24" t="s">
        <v>33</v>
      </c>
      <c r="B380" s="36">
        <v>45874</v>
      </c>
      <c r="C380" s="24">
        <f t="shared" si="11"/>
        <v>515</v>
      </c>
      <c r="D380" s="24">
        <v>1</v>
      </c>
      <c r="G380" s="37" t="s">
        <v>252</v>
      </c>
      <c r="H380" s="24" t="s">
        <v>3639</v>
      </c>
      <c r="I380" s="24">
        <v>112111</v>
      </c>
      <c r="J380" s="24">
        <v>131</v>
      </c>
      <c r="K380" s="24" t="s">
        <v>21</v>
      </c>
      <c r="L380" s="24">
        <v>1</v>
      </c>
      <c r="M380" s="39">
        <v>5036626</v>
      </c>
      <c r="N380" s="39">
        <f t="shared" si="10"/>
        <v>5036626</v>
      </c>
      <c r="O380" s="24" t="s">
        <v>22</v>
      </c>
    </row>
    <row r="381" spans="1:15" ht="15" customHeight="1" x14ac:dyDescent="0.2">
      <c r="A381" s="24" t="s">
        <v>33</v>
      </c>
      <c r="B381" s="36">
        <v>45874</v>
      </c>
      <c r="C381" s="24">
        <f t="shared" si="11"/>
        <v>516</v>
      </c>
      <c r="D381" s="24">
        <v>1</v>
      </c>
      <c r="G381" s="37" t="s">
        <v>96</v>
      </c>
      <c r="H381" s="24" t="s">
        <v>3646</v>
      </c>
      <c r="I381" s="24">
        <v>112111</v>
      </c>
      <c r="J381" s="24">
        <v>131</v>
      </c>
      <c r="K381" s="24" t="s">
        <v>21</v>
      </c>
      <c r="L381" s="24">
        <v>1</v>
      </c>
      <c r="M381" s="39">
        <v>15967724</v>
      </c>
      <c r="N381" s="39">
        <f t="shared" ref="N381:N411" si="12">L381*M381</f>
        <v>15967724</v>
      </c>
      <c r="O381" s="24" t="s">
        <v>22</v>
      </c>
    </row>
    <row r="382" spans="1:15" ht="15" customHeight="1" x14ac:dyDescent="0.2">
      <c r="A382" s="24" t="s">
        <v>89</v>
      </c>
      <c r="B382" s="36">
        <v>45875</v>
      </c>
      <c r="C382" s="24">
        <f t="shared" si="11"/>
        <v>517</v>
      </c>
      <c r="D382" s="24">
        <v>1</v>
      </c>
      <c r="G382" s="37" t="s">
        <v>2914</v>
      </c>
      <c r="H382" s="24" t="s">
        <v>1008</v>
      </c>
      <c r="I382" s="24">
        <v>1111</v>
      </c>
      <c r="J382" s="24">
        <v>112111</v>
      </c>
      <c r="K382" s="24" t="s">
        <v>21</v>
      </c>
      <c r="L382" s="24">
        <v>1</v>
      </c>
      <c r="M382" s="39">
        <v>100000000</v>
      </c>
      <c r="N382" s="39">
        <f t="shared" si="12"/>
        <v>100000000</v>
      </c>
      <c r="O382" s="24" t="s">
        <v>22</v>
      </c>
    </row>
    <row r="383" spans="1:15" ht="15" customHeight="1" x14ac:dyDescent="0.2">
      <c r="A383" s="24" t="s">
        <v>33</v>
      </c>
      <c r="B383" s="36">
        <v>45876</v>
      </c>
      <c r="C383" s="24">
        <f t="shared" si="11"/>
        <v>518</v>
      </c>
      <c r="D383" s="24">
        <v>1</v>
      </c>
      <c r="G383" s="37" t="s">
        <v>3647</v>
      </c>
      <c r="H383" s="24" t="s">
        <v>3648</v>
      </c>
      <c r="I383" s="24">
        <v>112111</v>
      </c>
      <c r="J383" s="24">
        <v>131</v>
      </c>
      <c r="K383" s="24" t="s">
        <v>21</v>
      </c>
      <c r="L383" s="24">
        <v>1</v>
      </c>
      <c r="M383" s="39">
        <v>34408602</v>
      </c>
      <c r="N383" s="39">
        <f t="shared" si="12"/>
        <v>34408602</v>
      </c>
      <c r="O383" s="24" t="s">
        <v>22</v>
      </c>
    </row>
    <row r="384" spans="1:15" ht="15" customHeight="1" x14ac:dyDescent="0.2">
      <c r="A384" s="24" t="s">
        <v>33</v>
      </c>
      <c r="B384" s="36">
        <v>45877</v>
      </c>
      <c r="C384" s="24">
        <f t="shared" si="11"/>
        <v>519</v>
      </c>
      <c r="D384" s="24">
        <v>1</v>
      </c>
      <c r="G384" s="37" t="s">
        <v>627</v>
      </c>
      <c r="H384" s="24" t="s">
        <v>3649</v>
      </c>
      <c r="I384" s="24">
        <v>112111</v>
      </c>
      <c r="J384" s="24">
        <v>131</v>
      </c>
      <c r="K384" s="24" t="s">
        <v>21</v>
      </c>
      <c r="L384" s="24">
        <v>1</v>
      </c>
      <c r="M384" s="39">
        <v>58548387</v>
      </c>
      <c r="N384" s="39">
        <f t="shared" si="12"/>
        <v>58548387</v>
      </c>
      <c r="O384" s="24" t="s">
        <v>22</v>
      </c>
    </row>
    <row r="385" spans="1:15" ht="15" customHeight="1" x14ac:dyDescent="0.2">
      <c r="A385" s="24" t="s">
        <v>33</v>
      </c>
      <c r="B385" s="36">
        <v>45877</v>
      </c>
      <c r="C385" s="24">
        <f t="shared" si="11"/>
        <v>520</v>
      </c>
      <c r="D385" s="24">
        <v>1</v>
      </c>
      <c r="G385" s="37" t="s">
        <v>627</v>
      </c>
      <c r="H385" s="24" t="s">
        <v>3650</v>
      </c>
      <c r="I385" s="24">
        <v>112111</v>
      </c>
      <c r="J385" s="24">
        <v>131</v>
      </c>
      <c r="K385" s="24" t="s">
        <v>21</v>
      </c>
      <c r="L385" s="24">
        <v>1</v>
      </c>
      <c r="M385" s="39">
        <v>42580645</v>
      </c>
      <c r="N385" s="39">
        <f t="shared" si="12"/>
        <v>42580645</v>
      </c>
      <c r="O385" s="24" t="s">
        <v>22</v>
      </c>
    </row>
    <row r="386" spans="1:15" ht="15" customHeight="1" x14ac:dyDescent="0.2">
      <c r="A386" s="24" t="s">
        <v>33</v>
      </c>
      <c r="B386" s="36">
        <v>45880</v>
      </c>
      <c r="C386" s="24">
        <f t="shared" si="11"/>
        <v>521</v>
      </c>
      <c r="D386" s="24">
        <v>1</v>
      </c>
      <c r="G386" s="37" t="s">
        <v>96</v>
      </c>
      <c r="H386" s="24" t="s">
        <v>3651</v>
      </c>
      <c r="I386" s="24">
        <v>112111</v>
      </c>
      <c r="J386" s="24">
        <v>131</v>
      </c>
      <c r="K386" s="24" t="s">
        <v>21</v>
      </c>
      <c r="L386" s="24">
        <v>1</v>
      </c>
      <c r="M386" s="39">
        <v>42580645</v>
      </c>
      <c r="N386" s="39">
        <f t="shared" si="12"/>
        <v>42580645</v>
      </c>
      <c r="O386" s="24" t="s">
        <v>22</v>
      </c>
    </row>
    <row r="387" spans="1:15" ht="15" customHeight="1" x14ac:dyDescent="0.2">
      <c r="A387" s="24" t="s">
        <v>33</v>
      </c>
      <c r="B387" s="36">
        <v>45880</v>
      </c>
      <c r="C387" s="24">
        <f t="shared" si="11"/>
        <v>522</v>
      </c>
      <c r="D387" s="24">
        <v>1</v>
      </c>
      <c r="G387" s="37" t="s">
        <v>96</v>
      </c>
      <c r="H387" s="24" t="s">
        <v>3652</v>
      </c>
      <c r="I387" s="24">
        <v>112111</v>
      </c>
      <c r="J387" s="24">
        <v>131</v>
      </c>
      <c r="K387" s="24" t="s">
        <v>21</v>
      </c>
      <c r="L387" s="24">
        <v>1</v>
      </c>
      <c r="M387" s="39">
        <v>53225806</v>
      </c>
      <c r="N387" s="39">
        <f t="shared" si="12"/>
        <v>53225806</v>
      </c>
      <c r="O387" s="24" t="s">
        <v>22</v>
      </c>
    </row>
    <row r="388" spans="1:15" ht="15" customHeight="1" x14ac:dyDescent="0.2">
      <c r="A388" s="24" t="s">
        <v>18</v>
      </c>
      <c r="B388" s="36">
        <v>45885</v>
      </c>
      <c r="C388" s="24">
        <f t="shared" si="11"/>
        <v>523</v>
      </c>
      <c r="D388" s="24">
        <v>1</v>
      </c>
      <c r="G388" s="37" t="s">
        <v>252</v>
      </c>
      <c r="H388" s="24" t="s">
        <v>3638</v>
      </c>
      <c r="I388" s="24">
        <v>131</v>
      </c>
      <c r="J388" s="24">
        <v>5118</v>
      </c>
      <c r="K388" s="24" t="s">
        <v>21</v>
      </c>
      <c r="L388" s="24">
        <v>1</v>
      </c>
      <c r="M388" s="39">
        <v>25798978</v>
      </c>
      <c r="N388" s="39">
        <f t="shared" si="12"/>
        <v>25798978</v>
      </c>
      <c r="O388" s="24" t="s">
        <v>22</v>
      </c>
    </row>
    <row r="389" spans="1:15" ht="15" customHeight="1" x14ac:dyDescent="0.2">
      <c r="A389" s="24" t="s">
        <v>33</v>
      </c>
      <c r="B389" s="36">
        <v>45885</v>
      </c>
      <c r="C389" s="24">
        <f t="shared" ref="C389:C429" si="13">C388+D389</f>
        <v>524</v>
      </c>
      <c r="D389" s="24">
        <v>1</v>
      </c>
      <c r="G389" s="37" t="s">
        <v>252</v>
      </c>
      <c r="H389" s="24" t="s">
        <v>3639</v>
      </c>
      <c r="I389" s="24">
        <v>112111</v>
      </c>
      <c r="J389" s="24">
        <v>131</v>
      </c>
      <c r="K389" s="24" t="s">
        <v>21</v>
      </c>
      <c r="L389" s="24">
        <v>1</v>
      </c>
      <c r="M389" s="39">
        <v>25798978</v>
      </c>
      <c r="N389" s="39">
        <f t="shared" si="12"/>
        <v>25798978</v>
      </c>
      <c r="O389" s="24" t="s">
        <v>22</v>
      </c>
    </row>
    <row r="390" spans="1:15" ht="15" customHeight="1" x14ac:dyDescent="0.2">
      <c r="A390" s="24" t="s">
        <v>18</v>
      </c>
      <c r="B390" s="36">
        <v>45885</v>
      </c>
      <c r="C390" s="24">
        <f t="shared" si="13"/>
        <v>525</v>
      </c>
      <c r="D390" s="24">
        <v>1</v>
      </c>
      <c r="G390" s="37" t="s">
        <v>252</v>
      </c>
      <c r="H390" s="24" t="s">
        <v>3638</v>
      </c>
      <c r="I390" s="24">
        <v>131</v>
      </c>
      <c r="J390" s="24">
        <v>5118</v>
      </c>
      <c r="K390" s="24" t="s">
        <v>21</v>
      </c>
      <c r="L390" s="24">
        <v>1</v>
      </c>
      <c r="M390" s="39">
        <v>6314531</v>
      </c>
      <c r="N390" s="39">
        <f t="shared" si="12"/>
        <v>6314531</v>
      </c>
      <c r="O390" s="24" t="s">
        <v>22</v>
      </c>
    </row>
    <row r="391" spans="1:15" ht="15" customHeight="1" x14ac:dyDescent="0.2">
      <c r="A391" s="24" t="s">
        <v>33</v>
      </c>
      <c r="B391" s="36">
        <v>45885</v>
      </c>
      <c r="C391" s="24">
        <f t="shared" si="13"/>
        <v>526</v>
      </c>
      <c r="D391" s="24">
        <v>1</v>
      </c>
      <c r="G391" s="37" t="s">
        <v>252</v>
      </c>
      <c r="H391" s="24" t="s">
        <v>3639</v>
      </c>
      <c r="I391" s="24">
        <v>112111</v>
      </c>
      <c r="J391" s="24">
        <v>131</v>
      </c>
      <c r="K391" s="24" t="s">
        <v>21</v>
      </c>
      <c r="L391" s="24">
        <v>1</v>
      </c>
      <c r="M391" s="39">
        <v>6314531</v>
      </c>
      <c r="N391" s="39">
        <f t="shared" si="12"/>
        <v>6314531</v>
      </c>
      <c r="O391" s="24" t="s">
        <v>22</v>
      </c>
    </row>
    <row r="392" spans="1:15" ht="15" customHeight="1" x14ac:dyDescent="0.2">
      <c r="A392" s="24" t="s">
        <v>33</v>
      </c>
      <c r="B392" s="36">
        <v>45887</v>
      </c>
      <c r="C392" s="24">
        <f t="shared" si="13"/>
        <v>527</v>
      </c>
      <c r="D392" s="24">
        <v>1</v>
      </c>
      <c r="G392" s="37" t="s">
        <v>287</v>
      </c>
      <c r="H392" s="24" t="s">
        <v>3653</v>
      </c>
      <c r="I392" s="24">
        <v>112111</v>
      </c>
      <c r="J392" s="24">
        <v>131</v>
      </c>
      <c r="K392" s="24" t="s">
        <v>21</v>
      </c>
      <c r="L392" s="24">
        <v>1</v>
      </c>
      <c r="M392" s="39">
        <v>42580645</v>
      </c>
      <c r="N392" s="39">
        <f t="shared" si="12"/>
        <v>42580645</v>
      </c>
      <c r="O392" s="24" t="s">
        <v>22</v>
      </c>
    </row>
    <row r="393" spans="1:15" ht="15" customHeight="1" x14ac:dyDescent="0.2">
      <c r="A393" s="24" t="s">
        <v>33</v>
      </c>
      <c r="B393" s="36">
        <v>45888</v>
      </c>
      <c r="C393" s="24">
        <f t="shared" si="13"/>
        <v>528</v>
      </c>
      <c r="D393" s="24">
        <v>1</v>
      </c>
      <c r="G393" s="37" t="s">
        <v>976</v>
      </c>
      <c r="H393" s="24" t="s">
        <v>3654</v>
      </c>
      <c r="I393" s="24">
        <v>112111</v>
      </c>
      <c r="J393" s="24">
        <v>131</v>
      </c>
      <c r="K393" s="24" t="s">
        <v>21</v>
      </c>
      <c r="L393" s="24">
        <v>1</v>
      </c>
      <c r="M393" s="39">
        <v>47903226</v>
      </c>
      <c r="N393" s="39">
        <f t="shared" si="12"/>
        <v>47903226</v>
      </c>
      <c r="O393" s="24" t="s">
        <v>22</v>
      </c>
    </row>
    <row r="394" spans="1:15" ht="15" customHeight="1" x14ac:dyDescent="0.2">
      <c r="A394" s="24" t="s">
        <v>18</v>
      </c>
      <c r="B394" s="36">
        <v>45889</v>
      </c>
      <c r="C394" s="24">
        <f t="shared" si="13"/>
        <v>529</v>
      </c>
      <c r="D394" s="24">
        <v>1</v>
      </c>
      <c r="G394" s="37" t="s">
        <v>252</v>
      </c>
      <c r="H394" s="24" t="s">
        <v>3638</v>
      </c>
      <c r="I394" s="24">
        <v>131</v>
      </c>
      <c r="J394" s="24">
        <v>5118</v>
      </c>
      <c r="K394" s="24" t="s">
        <v>21</v>
      </c>
      <c r="L394" s="24">
        <v>1</v>
      </c>
      <c r="M394" s="39">
        <v>11407639</v>
      </c>
      <c r="N394" s="39">
        <f t="shared" si="12"/>
        <v>11407639</v>
      </c>
      <c r="O394" s="24" t="s">
        <v>22</v>
      </c>
    </row>
    <row r="395" spans="1:15" ht="15" customHeight="1" x14ac:dyDescent="0.2">
      <c r="A395" s="24" t="s">
        <v>33</v>
      </c>
      <c r="B395" s="36">
        <v>45889</v>
      </c>
      <c r="C395" s="24">
        <f t="shared" si="13"/>
        <v>530</v>
      </c>
      <c r="D395" s="24">
        <v>1</v>
      </c>
      <c r="G395" s="37" t="s">
        <v>252</v>
      </c>
      <c r="H395" s="24" t="s">
        <v>3639</v>
      </c>
      <c r="I395" s="24">
        <v>112111</v>
      </c>
      <c r="J395" s="24">
        <v>131</v>
      </c>
      <c r="K395" s="24" t="s">
        <v>21</v>
      </c>
      <c r="L395" s="24">
        <v>1</v>
      </c>
      <c r="M395" s="39">
        <v>11407639</v>
      </c>
      <c r="N395" s="39">
        <f t="shared" ref="N395" si="14">L395*M395</f>
        <v>11407639</v>
      </c>
      <c r="O395" s="24" t="s">
        <v>22</v>
      </c>
    </row>
    <row r="396" spans="1:15" ht="15" customHeight="1" x14ac:dyDescent="0.2">
      <c r="A396" s="24" t="s">
        <v>33</v>
      </c>
      <c r="B396" s="36">
        <v>45894</v>
      </c>
      <c r="C396" s="24">
        <f t="shared" si="13"/>
        <v>531</v>
      </c>
      <c r="D396" s="24">
        <v>1</v>
      </c>
      <c r="G396" s="37" t="s">
        <v>976</v>
      </c>
      <c r="H396" s="24" t="s">
        <v>3655</v>
      </c>
      <c r="I396" s="24">
        <v>112111</v>
      </c>
      <c r="J396" s="24">
        <v>131</v>
      </c>
      <c r="K396" s="24" t="s">
        <v>21</v>
      </c>
      <c r="L396" s="24">
        <v>1</v>
      </c>
      <c r="M396" s="39">
        <v>63870968</v>
      </c>
      <c r="N396" s="39">
        <f t="shared" si="12"/>
        <v>63870968</v>
      </c>
      <c r="O396" s="24" t="s">
        <v>22</v>
      </c>
    </row>
    <row r="397" spans="1:15" ht="15" customHeight="1" x14ac:dyDescent="0.2">
      <c r="A397" s="24" t="s">
        <v>33</v>
      </c>
      <c r="B397" s="36">
        <v>45894</v>
      </c>
      <c r="C397" s="24">
        <f t="shared" si="13"/>
        <v>532</v>
      </c>
      <c r="D397" s="24">
        <v>1</v>
      </c>
      <c r="G397" s="37" t="s">
        <v>627</v>
      </c>
      <c r="H397" s="24" t="s">
        <v>3656</v>
      </c>
      <c r="I397" s="24">
        <v>112111</v>
      </c>
      <c r="J397" s="24">
        <v>131</v>
      </c>
      <c r="K397" s="24" t="s">
        <v>21</v>
      </c>
      <c r="L397" s="24">
        <v>1</v>
      </c>
      <c r="M397" s="39">
        <v>42580645</v>
      </c>
      <c r="N397" s="39">
        <f t="shared" si="12"/>
        <v>42580645</v>
      </c>
      <c r="O397" s="24" t="s">
        <v>22</v>
      </c>
    </row>
    <row r="398" spans="1:15" ht="15" customHeight="1" x14ac:dyDescent="0.2">
      <c r="A398" s="24" t="s">
        <v>89</v>
      </c>
      <c r="B398" s="36">
        <v>45896</v>
      </c>
      <c r="C398" s="24">
        <f t="shared" si="13"/>
        <v>533</v>
      </c>
      <c r="D398" s="24">
        <v>1</v>
      </c>
      <c r="G398" s="37" t="s">
        <v>2914</v>
      </c>
      <c r="H398" s="24" t="s">
        <v>1008</v>
      </c>
      <c r="I398" s="24">
        <v>1111</v>
      </c>
      <c r="J398" s="24">
        <v>112111</v>
      </c>
      <c r="K398" s="24" t="s">
        <v>21</v>
      </c>
      <c r="L398" s="24">
        <v>1</v>
      </c>
      <c r="M398" s="39">
        <v>450000000</v>
      </c>
      <c r="N398" s="39">
        <f t="shared" si="12"/>
        <v>450000000</v>
      </c>
      <c r="O398" s="24" t="s">
        <v>22</v>
      </c>
    </row>
    <row r="399" spans="1:15" ht="15" customHeight="1" x14ac:dyDescent="0.2">
      <c r="A399" s="24" t="s">
        <v>33</v>
      </c>
      <c r="B399" s="36">
        <v>45897</v>
      </c>
      <c r="C399" s="24">
        <f t="shared" si="13"/>
        <v>534</v>
      </c>
      <c r="D399" s="24">
        <v>1</v>
      </c>
      <c r="G399" s="37" t="s">
        <v>96</v>
      </c>
      <c r="H399" s="24" t="s">
        <v>3657</v>
      </c>
      <c r="I399" s="24">
        <v>112111</v>
      </c>
      <c r="J399" s="24">
        <v>131</v>
      </c>
      <c r="K399" s="24" t="s">
        <v>21</v>
      </c>
      <c r="L399" s="24">
        <v>1</v>
      </c>
      <c r="M399" s="39">
        <v>74516129</v>
      </c>
      <c r="N399" s="39">
        <f t="shared" si="12"/>
        <v>74516129</v>
      </c>
      <c r="O399" s="24" t="s">
        <v>22</v>
      </c>
    </row>
    <row r="400" spans="1:15" ht="15" customHeight="1" x14ac:dyDescent="0.2">
      <c r="A400" s="24" t="s">
        <v>89</v>
      </c>
      <c r="B400" s="36">
        <v>45898</v>
      </c>
      <c r="C400" s="24">
        <f t="shared" si="13"/>
        <v>535</v>
      </c>
      <c r="D400" s="24">
        <v>1</v>
      </c>
      <c r="G400" s="37" t="s">
        <v>1235</v>
      </c>
      <c r="H400" s="24" t="s">
        <v>3640</v>
      </c>
      <c r="I400" s="24">
        <v>3383</v>
      </c>
      <c r="J400" s="24">
        <v>112111</v>
      </c>
      <c r="K400" s="24" t="s">
        <v>21</v>
      </c>
      <c r="L400" s="24">
        <v>1</v>
      </c>
      <c r="M400" s="39">
        <v>690300</v>
      </c>
      <c r="N400" s="39">
        <f t="shared" si="12"/>
        <v>690300</v>
      </c>
      <c r="O400" s="38" t="s">
        <v>22</v>
      </c>
    </row>
    <row r="401" spans="1:15" ht="15" customHeight="1" x14ac:dyDescent="0.2">
      <c r="A401" s="24" t="s">
        <v>33</v>
      </c>
      <c r="B401" s="36">
        <v>45899</v>
      </c>
      <c r="C401" s="24">
        <f t="shared" si="13"/>
        <v>536</v>
      </c>
      <c r="D401" s="24">
        <v>1</v>
      </c>
      <c r="G401" s="37" t="s">
        <v>128</v>
      </c>
      <c r="H401" s="42" t="s">
        <v>129</v>
      </c>
      <c r="I401" s="24">
        <v>112111</v>
      </c>
      <c r="J401" s="24">
        <v>5154</v>
      </c>
      <c r="K401" s="24" t="s">
        <v>21</v>
      </c>
      <c r="L401" s="24">
        <v>1</v>
      </c>
      <c r="M401" s="39">
        <v>12062</v>
      </c>
      <c r="N401" s="39">
        <f t="shared" si="12"/>
        <v>12062</v>
      </c>
      <c r="O401" s="24" t="s">
        <v>22</v>
      </c>
    </row>
    <row r="402" spans="1:15" ht="15" customHeight="1" x14ac:dyDescent="0.2">
      <c r="A402" s="24" t="s">
        <v>18</v>
      </c>
      <c r="B402" s="36">
        <v>45903</v>
      </c>
      <c r="C402" s="24">
        <f t="shared" si="13"/>
        <v>537</v>
      </c>
      <c r="D402" s="24">
        <v>1</v>
      </c>
      <c r="G402" s="37" t="s">
        <v>252</v>
      </c>
      <c r="H402" s="24" t="s">
        <v>3638</v>
      </c>
      <c r="I402" s="24">
        <v>131</v>
      </c>
      <c r="J402" s="24">
        <v>5118</v>
      </c>
      <c r="K402" s="24" t="s">
        <v>21</v>
      </c>
      <c r="L402" s="24">
        <v>1</v>
      </c>
      <c r="M402" s="39">
        <v>54530573</v>
      </c>
      <c r="N402" s="39">
        <f t="shared" si="12"/>
        <v>54530573</v>
      </c>
      <c r="O402" s="24" t="s">
        <v>22</v>
      </c>
    </row>
    <row r="403" spans="1:15" ht="15" customHeight="1" x14ac:dyDescent="0.2">
      <c r="A403" s="24" t="s">
        <v>33</v>
      </c>
      <c r="B403" s="36">
        <v>45903</v>
      </c>
      <c r="C403" s="24">
        <f t="shared" si="13"/>
        <v>538</v>
      </c>
      <c r="D403" s="24">
        <v>1</v>
      </c>
      <c r="G403" s="37" t="s">
        <v>252</v>
      </c>
      <c r="H403" s="24" t="s">
        <v>3639</v>
      </c>
      <c r="I403" s="24">
        <v>112111</v>
      </c>
      <c r="J403" s="24">
        <v>131</v>
      </c>
      <c r="K403" s="24" t="s">
        <v>21</v>
      </c>
      <c r="L403" s="24">
        <v>1</v>
      </c>
      <c r="M403" s="39">
        <v>54530573</v>
      </c>
      <c r="N403" s="39">
        <f t="shared" si="12"/>
        <v>54530573</v>
      </c>
      <c r="O403" s="24" t="s">
        <v>22</v>
      </c>
    </row>
    <row r="404" spans="1:15" ht="15" customHeight="1" x14ac:dyDescent="0.2">
      <c r="A404" s="24" t="s">
        <v>89</v>
      </c>
      <c r="B404" s="36">
        <v>45905</v>
      </c>
      <c r="C404" s="24">
        <f t="shared" si="13"/>
        <v>539</v>
      </c>
      <c r="D404" s="24">
        <v>1</v>
      </c>
      <c r="G404" s="37" t="s">
        <v>3669</v>
      </c>
      <c r="H404" s="24" t="s">
        <v>3672</v>
      </c>
      <c r="I404" s="24">
        <v>333822</v>
      </c>
      <c r="J404" s="24">
        <v>112111</v>
      </c>
      <c r="K404" s="24" t="s">
        <v>21</v>
      </c>
      <c r="L404" s="24">
        <v>1</v>
      </c>
      <c r="M404" s="39">
        <v>5036</v>
      </c>
      <c r="N404" s="39">
        <f t="shared" si="12"/>
        <v>5036</v>
      </c>
      <c r="O404" s="24" t="s">
        <v>22</v>
      </c>
    </row>
    <row r="405" spans="1:15" ht="15" customHeight="1" x14ac:dyDescent="0.2">
      <c r="A405" s="24" t="s">
        <v>89</v>
      </c>
      <c r="B405" s="36">
        <v>45905</v>
      </c>
      <c r="C405" s="24">
        <f t="shared" si="13"/>
        <v>540</v>
      </c>
      <c r="D405" s="24">
        <v>1</v>
      </c>
      <c r="G405" s="37" t="s">
        <v>3669</v>
      </c>
      <c r="H405" s="24" t="s">
        <v>3672</v>
      </c>
      <c r="I405" s="24">
        <v>333822</v>
      </c>
      <c r="J405" s="24">
        <v>112111</v>
      </c>
      <c r="K405" s="24" t="s">
        <v>21</v>
      </c>
      <c r="L405" s="24">
        <v>1</v>
      </c>
      <c r="M405" s="39">
        <v>3538080</v>
      </c>
      <c r="N405" s="39">
        <f t="shared" si="12"/>
        <v>3538080</v>
      </c>
      <c r="O405" s="24" t="s">
        <v>22</v>
      </c>
    </row>
    <row r="406" spans="1:15" ht="15" customHeight="1" x14ac:dyDescent="0.2">
      <c r="A406" s="24" t="s">
        <v>89</v>
      </c>
      <c r="B406" s="36">
        <v>45905</v>
      </c>
      <c r="C406" s="24">
        <f t="shared" si="13"/>
        <v>541</v>
      </c>
      <c r="D406" s="24">
        <v>1</v>
      </c>
      <c r="G406" s="37" t="s">
        <v>3669</v>
      </c>
      <c r="H406" s="24" t="s">
        <v>3672</v>
      </c>
      <c r="I406" s="24">
        <v>333822</v>
      </c>
      <c r="J406" s="24">
        <v>112111</v>
      </c>
      <c r="K406" s="24" t="s">
        <v>21</v>
      </c>
      <c r="L406" s="24">
        <v>1</v>
      </c>
      <c r="M406" s="39">
        <v>4719600</v>
      </c>
      <c r="N406" s="39">
        <f t="shared" si="12"/>
        <v>4719600</v>
      </c>
      <c r="O406" s="24" t="s">
        <v>22</v>
      </c>
    </row>
    <row r="407" spans="1:15" ht="15" customHeight="1" x14ac:dyDescent="0.2">
      <c r="A407" s="24" t="s">
        <v>33</v>
      </c>
      <c r="B407" s="36">
        <v>45908</v>
      </c>
      <c r="C407" s="24">
        <f t="shared" si="13"/>
        <v>542</v>
      </c>
      <c r="D407" s="24">
        <v>1</v>
      </c>
      <c r="G407" s="37" t="s">
        <v>2004</v>
      </c>
      <c r="H407" s="24" t="s">
        <v>3658</v>
      </c>
      <c r="I407" s="24">
        <v>112111</v>
      </c>
      <c r="J407" s="24">
        <v>131</v>
      </c>
      <c r="K407" s="24" t="s">
        <v>21</v>
      </c>
      <c r="L407" s="24">
        <v>1</v>
      </c>
      <c r="M407" s="39">
        <v>96774194</v>
      </c>
      <c r="N407" s="39">
        <f t="shared" si="12"/>
        <v>96774194</v>
      </c>
      <c r="O407" s="24" t="s">
        <v>22</v>
      </c>
    </row>
    <row r="408" spans="1:15" ht="15" customHeight="1" x14ac:dyDescent="0.2">
      <c r="A408" s="24" t="s">
        <v>33</v>
      </c>
      <c r="B408" s="36">
        <v>45908</v>
      </c>
      <c r="C408" s="24">
        <f t="shared" si="13"/>
        <v>543</v>
      </c>
      <c r="D408" s="24">
        <v>1</v>
      </c>
      <c r="G408" s="37" t="s">
        <v>287</v>
      </c>
      <c r="H408" s="24" t="s">
        <v>3659</v>
      </c>
      <c r="I408" s="24">
        <v>112111</v>
      </c>
      <c r="J408" s="24">
        <v>131</v>
      </c>
      <c r="K408" s="24" t="s">
        <v>21</v>
      </c>
      <c r="L408" s="24">
        <v>1</v>
      </c>
      <c r="M408" s="39">
        <v>42580645</v>
      </c>
      <c r="N408" s="39">
        <f t="shared" si="12"/>
        <v>42580645</v>
      </c>
      <c r="O408" s="24" t="s">
        <v>22</v>
      </c>
    </row>
    <row r="409" spans="1:15" ht="15" customHeight="1" x14ac:dyDescent="0.2">
      <c r="A409" s="24" t="s">
        <v>33</v>
      </c>
      <c r="B409" s="36">
        <v>45908</v>
      </c>
      <c r="C409" s="24">
        <f t="shared" si="13"/>
        <v>544</v>
      </c>
      <c r="D409" s="24">
        <v>1</v>
      </c>
      <c r="G409" s="37" t="s">
        <v>3085</v>
      </c>
      <c r="H409" s="24" t="s">
        <v>3660</v>
      </c>
      <c r="I409" s="24">
        <v>112111</v>
      </c>
      <c r="J409" s="24">
        <v>131</v>
      </c>
      <c r="K409" s="24" t="s">
        <v>21</v>
      </c>
      <c r="L409" s="24">
        <v>1</v>
      </c>
      <c r="M409" s="39">
        <v>53000000</v>
      </c>
      <c r="N409" s="39">
        <f t="shared" si="12"/>
        <v>53000000</v>
      </c>
      <c r="O409" s="24" t="s">
        <v>22</v>
      </c>
    </row>
    <row r="410" spans="1:15" ht="15" customHeight="1" x14ac:dyDescent="0.2">
      <c r="A410" s="24" t="s">
        <v>18</v>
      </c>
      <c r="B410" s="36">
        <v>45911</v>
      </c>
      <c r="C410" s="24">
        <f t="shared" si="13"/>
        <v>545</v>
      </c>
      <c r="D410" s="24">
        <v>1</v>
      </c>
      <c r="G410" s="37" t="s">
        <v>252</v>
      </c>
      <c r="H410" s="24" t="s">
        <v>3638</v>
      </c>
      <c r="I410" s="24">
        <v>131</v>
      </c>
      <c r="J410" s="24">
        <v>5118</v>
      </c>
      <c r="K410" s="24" t="s">
        <v>21</v>
      </c>
      <c r="L410" s="24">
        <v>1</v>
      </c>
      <c r="M410" s="39">
        <v>31893988</v>
      </c>
      <c r="N410" s="39">
        <f t="shared" si="12"/>
        <v>31893988</v>
      </c>
      <c r="O410" s="24" t="s">
        <v>22</v>
      </c>
    </row>
    <row r="411" spans="1:15" ht="15" customHeight="1" x14ac:dyDescent="0.2">
      <c r="A411" s="24" t="s">
        <v>33</v>
      </c>
      <c r="B411" s="36">
        <v>45911</v>
      </c>
      <c r="C411" s="24">
        <f t="shared" si="13"/>
        <v>546</v>
      </c>
      <c r="D411" s="24">
        <v>1</v>
      </c>
      <c r="G411" s="37" t="s">
        <v>252</v>
      </c>
      <c r="H411" s="24" t="s">
        <v>3639</v>
      </c>
      <c r="I411" s="24">
        <v>112111</v>
      </c>
      <c r="J411" s="24">
        <v>131</v>
      </c>
      <c r="K411" s="24" t="s">
        <v>21</v>
      </c>
      <c r="L411" s="24">
        <v>1</v>
      </c>
      <c r="M411" s="39">
        <v>31893988</v>
      </c>
      <c r="N411" s="39">
        <f t="shared" si="12"/>
        <v>31893988</v>
      </c>
      <c r="O411" s="24" t="s">
        <v>22</v>
      </c>
    </row>
    <row r="412" spans="1:15" ht="15" customHeight="1" x14ac:dyDescent="0.2">
      <c r="A412" s="24" t="s">
        <v>18</v>
      </c>
      <c r="B412" s="36">
        <v>45911</v>
      </c>
      <c r="C412" s="24">
        <f t="shared" si="13"/>
        <v>547</v>
      </c>
      <c r="D412" s="24">
        <v>1</v>
      </c>
      <c r="G412" s="37" t="s">
        <v>252</v>
      </c>
      <c r="H412" s="24" t="s">
        <v>3638</v>
      </c>
      <c r="I412" s="24">
        <v>131</v>
      </c>
      <c r="J412" s="24">
        <v>5118</v>
      </c>
      <c r="K412" s="24" t="s">
        <v>21</v>
      </c>
      <c r="L412" s="24">
        <v>1</v>
      </c>
      <c r="M412" s="39">
        <v>17070364</v>
      </c>
      <c r="N412" s="39">
        <f t="shared" ref="N412:N425" si="15">L412*M412</f>
        <v>17070364</v>
      </c>
      <c r="O412" s="24" t="s">
        <v>22</v>
      </c>
    </row>
    <row r="413" spans="1:15" ht="15" customHeight="1" x14ac:dyDescent="0.2">
      <c r="A413" s="24" t="s">
        <v>33</v>
      </c>
      <c r="B413" s="36">
        <v>45911</v>
      </c>
      <c r="C413" s="24">
        <f t="shared" si="13"/>
        <v>548</v>
      </c>
      <c r="D413" s="24">
        <v>1</v>
      </c>
      <c r="G413" s="37" t="s">
        <v>252</v>
      </c>
      <c r="H413" s="24" t="s">
        <v>3639</v>
      </c>
      <c r="I413" s="24">
        <v>112111</v>
      </c>
      <c r="J413" s="24">
        <v>131</v>
      </c>
      <c r="K413" s="24" t="s">
        <v>21</v>
      </c>
      <c r="L413" s="24">
        <v>1</v>
      </c>
      <c r="M413" s="39">
        <v>17070364</v>
      </c>
      <c r="N413" s="39">
        <f t="shared" si="15"/>
        <v>17070364</v>
      </c>
      <c r="O413" s="24" t="s">
        <v>22</v>
      </c>
    </row>
    <row r="414" spans="1:15" ht="15" customHeight="1" x14ac:dyDescent="0.2">
      <c r="A414" s="24" t="s">
        <v>89</v>
      </c>
      <c r="B414" s="36">
        <v>45911</v>
      </c>
      <c r="C414" s="24">
        <f t="shared" si="13"/>
        <v>549</v>
      </c>
      <c r="D414" s="24">
        <v>1</v>
      </c>
      <c r="G414" s="37" t="s">
        <v>2914</v>
      </c>
      <c r="H414" s="24" t="s">
        <v>1008</v>
      </c>
      <c r="I414" s="24">
        <v>1111</v>
      </c>
      <c r="J414" s="24">
        <v>112111</v>
      </c>
      <c r="K414" s="24" t="s">
        <v>21</v>
      </c>
      <c r="L414" s="24">
        <v>1</v>
      </c>
      <c r="M414" s="39">
        <v>200000000</v>
      </c>
      <c r="N414" s="39">
        <f t="shared" si="15"/>
        <v>200000000</v>
      </c>
      <c r="O414" s="24" t="s">
        <v>22</v>
      </c>
    </row>
    <row r="415" spans="1:15" ht="15" customHeight="1" x14ac:dyDescent="0.2">
      <c r="A415" s="24" t="s">
        <v>33</v>
      </c>
      <c r="B415" s="36">
        <v>45911</v>
      </c>
      <c r="C415" s="24">
        <f t="shared" si="13"/>
        <v>550</v>
      </c>
      <c r="D415" s="24">
        <v>1</v>
      </c>
      <c r="G415" s="37" t="s">
        <v>2824</v>
      </c>
      <c r="H415" s="24" t="s">
        <v>3661</v>
      </c>
      <c r="I415" s="24">
        <v>112111</v>
      </c>
      <c r="J415" s="24">
        <v>131</v>
      </c>
      <c r="K415" s="24" t="s">
        <v>21</v>
      </c>
      <c r="L415" s="24">
        <v>1</v>
      </c>
      <c r="M415" s="39">
        <v>6387097</v>
      </c>
      <c r="N415" s="39">
        <f t="shared" si="15"/>
        <v>6387097</v>
      </c>
      <c r="O415" s="24" t="s">
        <v>22</v>
      </c>
    </row>
    <row r="416" spans="1:15" ht="15" customHeight="1" x14ac:dyDescent="0.2">
      <c r="A416" s="24" t="s">
        <v>33</v>
      </c>
      <c r="B416" s="36">
        <v>45911</v>
      </c>
      <c r="C416" s="24">
        <f t="shared" si="13"/>
        <v>551</v>
      </c>
      <c r="D416" s="24">
        <v>1</v>
      </c>
      <c r="G416" s="37" t="s">
        <v>2824</v>
      </c>
      <c r="H416" s="24" t="s">
        <v>3662</v>
      </c>
      <c r="I416" s="24">
        <v>112111</v>
      </c>
      <c r="J416" s="24">
        <v>131</v>
      </c>
      <c r="K416" s="24" t="s">
        <v>21</v>
      </c>
      <c r="L416" s="24">
        <v>1</v>
      </c>
      <c r="M416" s="39">
        <v>3193548</v>
      </c>
      <c r="N416" s="39">
        <f t="shared" si="15"/>
        <v>3193548</v>
      </c>
      <c r="O416" s="24" t="s">
        <v>22</v>
      </c>
    </row>
    <row r="417" spans="1:15" ht="15" customHeight="1" x14ac:dyDescent="0.2">
      <c r="A417" s="24" t="s">
        <v>89</v>
      </c>
      <c r="B417" s="36">
        <v>45912</v>
      </c>
      <c r="C417" s="24">
        <f t="shared" si="13"/>
        <v>552</v>
      </c>
      <c r="D417" s="24">
        <v>1</v>
      </c>
      <c r="G417" s="37" t="s">
        <v>2914</v>
      </c>
      <c r="H417" s="24" t="s">
        <v>1008</v>
      </c>
      <c r="I417" s="24">
        <v>1111</v>
      </c>
      <c r="J417" s="24">
        <v>112111</v>
      </c>
      <c r="K417" s="24" t="s">
        <v>21</v>
      </c>
      <c r="L417" s="24">
        <v>1</v>
      </c>
      <c r="M417" s="39">
        <v>200000000</v>
      </c>
      <c r="N417" s="39">
        <f t="shared" si="15"/>
        <v>200000000</v>
      </c>
      <c r="O417" s="24" t="s">
        <v>22</v>
      </c>
    </row>
    <row r="418" spans="1:15" ht="15" customHeight="1" x14ac:dyDescent="0.2">
      <c r="A418" s="24" t="s">
        <v>33</v>
      </c>
      <c r="B418" s="36">
        <v>45915</v>
      </c>
      <c r="C418" s="24">
        <f t="shared" si="13"/>
        <v>553</v>
      </c>
      <c r="D418" s="24">
        <v>1</v>
      </c>
      <c r="G418" s="37" t="s">
        <v>3088</v>
      </c>
      <c r="H418" s="24" t="s">
        <v>3663</v>
      </c>
      <c r="I418" s="24">
        <v>112111</v>
      </c>
      <c r="J418" s="24">
        <v>131</v>
      </c>
      <c r="K418" s="24" t="s">
        <v>21</v>
      </c>
      <c r="L418" s="24">
        <v>1</v>
      </c>
      <c r="M418" s="39">
        <v>45241936</v>
      </c>
      <c r="N418" s="39">
        <f t="shared" si="15"/>
        <v>45241936</v>
      </c>
      <c r="O418" s="24" t="s">
        <v>22</v>
      </c>
    </row>
    <row r="419" spans="1:15" ht="15" customHeight="1" x14ac:dyDescent="0.2">
      <c r="A419" s="24" t="s">
        <v>18</v>
      </c>
      <c r="B419" s="36">
        <v>45916</v>
      </c>
      <c r="C419" s="24">
        <f t="shared" si="13"/>
        <v>554</v>
      </c>
      <c r="D419" s="24">
        <v>1</v>
      </c>
      <c r="G419" s="37" t="s">
        <v>252</v>
      </c>
      <c r="H419" s="24" t="s">
        <v>3638</v>
      </c>
      <c r="I419" s="24">
        <v>131</v>
      </c>
      <c r="J419" s="24">
        <v>5118</v>
      </c>
      <c r="K419" s="24" t="s">
        <v>21</v>
      </c>
      <c r="L419" s="24">
        <v>1</v>
      </c>
      <c r="M419" s="39">
        <v>68054890</v>
      </c>
      <c r="N419" s="39">
        <f t="shared" si="15"/>
        <v>68054890</v>
      </c>
      <c r="O419" s="24" t="s">
        <v>22</v>
      </c>
    </row>
    <row r="420" spans="1:15" ht="15" customHeight="1" x14ac:dyDescent="0.2">
      <c r="A420" s="24" t="s">
        <v>33</v>
      </c>
      <c r="B420" s="36">
        <v>45916</v>
      </c>
      <c r="C420" s="24">
        <f t="shared" si="13"/>
        <v>555</v>
      </c>
      <c r="D420" s="24">
        <v>1</v>
      </c>
      <c r="G420" s="37" t="s">
        <v>252</v>
      </c>
      <c r="H420" s="24" t="s">
        <v>3639</v>
      </c>
      <c r="I420" s="24">
        <v>112111</v>
      </c>
      <c r="J420" s="24">
        <v>131</v>
      </c>
      <c r="K420" s="24" t="s">
        <v>21</v>
      </c>
      <c r="L420" s="24">
        <v>1</v>
      </c>
      <c r="M420" s="39">
        <v>68054890</v>
      </c>
      <c r="N420" s="39">
        <f t="shared" si="15"/>
        <v>68054890</v>
      </c>
      <c r="O420" s="24" t="s">
        <v>22</v>
      </c>
    </row>
    <row r="421" spans="1:15" ht="15" customHeight="1" x14ac:dyDescent="0.2">
      <c r="A421" s="24" t="s">
        <v>33</v>
      </c>
      <c r="B421" s="36">
        <v>45917</v>
      </c>
      <c r="C421" s="24">
        <f t="shared" si="13"/>
        <v>556</v>
      </c>
      <c r="D421" s="24">
        <v>1</v>
      </c>
      <c r="G421" s="37" t="s">
        <v>627</v>
      </c>
      <c r="H421" s="24" t="s">
        <v>3664</v>
      </c>
      <c r="I421" s="24">
        <v>112111</v>
      </c>
      <c r="J421" s="24">
        <v>131</v>
      </c>
      <c r="K421" s="24" t="s">
        <v>21</v>
      </c>
      <c r="L421" s="24">
        <v>1</v>
      </c>
      <c r="M421" s="39">
        <v>21290323</v>
      </c>
      <c r="N421" s="39">
        <f t="shared" si="15"/>
        <v>21290323</v>
      </c>
      <c r="O421" s="24" t="s">
        <v>22</v>
      </c>
    </row>
    <row r="422" spans="1:15" ht="15" customHeight="1" x14ac:dyDescent="0.2">
      <c r="A422" s="24" t="s">
        <v>18</v>
      </c>
      <c r="B422" s="36">
        <v>45922</v>
      </c>
      <c r="C422" s="24">
        <f t="shared" si="13"/>
        <v>557</v>
      </c>
      <c r="D422" s="24">
        <v>1</v>
      </c>
      <c r="G422" s="37" t="s">
        <v>252</v>
      </c>
      <c r="H422" s="24" t="s">
        <v>3638</v>
      </c>
      <c r="I422" s="24">
        <v>131</v>
      </c>
      <c r="J422" s="24">
        <v>5118</v>
      </c>
      <c r="K422" s="24" t="s">
        <v>21</v>
      </c>
      <c r="L422" s="24">
        <v>1</v>
      </c>
      <c r="M422" s="39">
        <v>42442240</v>
      </c>
      <c r="N422" s="39">
        <f t="shared" si="15"/>
        <v>42442240</v>
      </c>
      <c r="O422" s="24" t="s">
        <v>22</v>
      </c>
    </row>
    <row r="423" spans="1:15" ht="15" customHeight="1" x14ac:dyDescent="0.2">
      <c r="A423" s="24" t="s">
        <v>33</v>
      </c>
      <c r="B423" s="36">
        <v>45922</v>
      </c>
      <c r="C423" s="24">
        <f t="shared" si="13"/>
        <v>558</v>
      </c>
      <c r="D423" s="24">
        <v>1</v>
      </c>
      <c r="G423" s="37" t="s">
        <v>252</v>
      </c>
      <c r="H423" s="24" t="s">
        <v>3639</v>
      </c>
      <c r="I423" s="24">
        <v>112111</v>
      </c>
      <c r="J423" s="24">
        <v>131</v>
      </c>
      <c r="K423" s="24" t="s">
        <v>21</v>
      </c>
      <c r="L423" s="24">
        <v>1</v>
      </c>
      <c r="M423" s="39">
        <v>42442240</v>
      </c>
      <c r="N423" s="39">
        <f t="shared" si="15"/>
        <v>42442240</v>
      </c>
      <c r="O423" s="24" t="s">
        <v>22</v>
      </c>
    </row>
    <row r="424" spans="1:15" ht="15" customHeight="1" x14ac:dyDescent="0.2">
      <c r="A424" s="24" t="s">
        <v>18</v>
      </c>
      <c r="B424" s="36">
        <v>45922</v>
      </c>
      <c r="C424" s="24">
        <f t="shared" si="13"/>
        <v>559</v>
      </c>
      <c r="D424" s="24">
        <v>1</v>
      </c>
      <c r="G424" s="37" t="s">
        <v>252</v>
      </c>
      <c r="H424" s="24" t="s">
        <v>3638</v>
      </c>
      <c r="I424" s="24">
        <v>131</v>
      </c>
      <c r="J424" s="24">
        <v>5118</v>
      </c>
      <c r="K424" s="24" t="s">
        <v>21</v>
      </c>
      <c r="L424" s="24">
        <v>1</v>
      </c>
      <c r="M424" s="39">
        <v>13695854</v>
      </c>
      <c r="N424" s="39">
        <f t="shared" si="15"/>
        <v>13695854</v>
      </c>
      <c r="O424" s="24" t="s">
        <v>22</v>
      </c>
    </row>
    <row r="425" spans="1:15" ht="15" customHeight="1" x14ac:dyDescent="0.2">
      <c r="A425" s="24" t="s">
        <v>33</v>
      </c>
      <c r="B425" s="36">
        <v>45922</v>
      </c>
      <c r="C425" s="24">
        <f t="shared" si="13"/>
        <v>560</v>
      </c>
      <c r="D425" s="24">
        <v>1</v>
      </c>
      <c r="G425" s="37" t="s">
        <v>252</v>
      </c>
      <c r="H425" s="24" t="s">
        <v>3639</v>
      </c>
      <c r="I425" s="24">
        <v>112111</v>
      </c>
      <c r="J425" s="24">
        <v>131</v>
      </c>
      <c r="K425" s="24" t="s">
        <v>21</v>
      </c>
      <c r="L425" s="24">
        <v>1</v>
      </c>
      <c r="M425" s="39">
        <v>13695854</v>
      </c>
      <c r="N425" s="39">
        <f t="shared" si="15"/>
        <v>13695854</v>
      </c>
      <c r="O425" s="24" t="s">
        <v>22</v>
      </c>
    </row>
    <row r="426" spans="1:15" ht="15" customHeight="1" x14ac:dyDescent="0.2">
      <c r="A426" s="24" t="s">
        <v>89</v>
      </c>
      <c r="B426" s="36">
        <v>45923</v>
      </c>
      <c r="C426" s="24">
        <f t="shared" si="13"/>
        <v>561</v>
      </c>
      <c r="D426" s="24">
        <v>1</v>
      </c>
      <c r="G426" s="37" t="s">
        <v>2914</v>
      </c>
      <c r="H426" s="24" t="s">
        <v>1008</v>
      </c>
      <c r="I426" s="24">
        <v>1111</v>
      </c>
      <c r="J426" s="24">
        <v>112111</v>
      </c>
      <c r="K426" s="24" t="s">
        <v>21</v>
      </c>
      <c r="L426" s="24">
        <v>1</v>
      </c>
      <c r="M426" s="39">
        <v>100000000</v>
      </c>
      <c r="N426" s="39">
        <f t="shared" ref="N426:N429" si="16">L426*M426</f>
        <v>100000000</v>
      </c>
      <c r="O426" s="24" t="s">
        <v>22</v>
      </c>
    </row>
    <row r="427" spans="1:15" ht="15" customHeight="1" x14ac:dyDescent="0.2">
      <c r="A427" s="24" t="s">
        <v>33</v>
      </c>
      <c r="B427" s="36">
        <v>45925</v>
      </c>
      <c r="C427" s="24">
        <f t="shared" si="13"/>
        <v>562</v>
      </c>
      <c r="D427" s="24">
        <v>1</v>
      </c>
      <c r="G427" s="37" t="s">
        <v>3087</v>
      </c>
      <c r="H427" s="24" t="s">
        <v>3665</v>
      </c>
      <c r="I427" s="24">
        <v>112111</v>
      </c>
      <c r="J427" s="24">
        <v>131</v>
      </c>
      <c r="K427" s="24" t="s">
        <v>21</v>
      </c>
      <c r="L427" s="24">
        <v>1</v>
      </c>
      <c r="M427" s="39">
        <v>58548387</v>
      </c>
      <c r="N427" s="39">
        <f t="shared" si="16"/>
        <v>58548387</v>
      </c>
      <c r="O427" s="24" t="s">
        <v>22</v>
      </c>
    </row>
    <row r="428" spans="1:15" ht="15" customHeight="1" x14ac:dyDescent="0.2">
      <c r="A428" s="24" t="s">
        <v>33</v>
      </c>
      <c r="B428" s="36">
        <v>45925</v>
      </c>
      <c r="C428" s="24">
        <f t="shared" si="13"/>
        <v>563</v>
      </c>
      <c r="D428" s="24">
        <v>1</v>
      </c>
      <c r="G428" s="37" t="s">
        <v>2824</v>
      </c>
      <c r="H428" s="24" t="s">
        <v>3666</v>
      </c>
      <c r="I428" s="24">
        <v>112111</v>
      </c>
      <c r="J428" s="24">
        <v>131</v>
      </c>
      <c r="K428" s="24" t="s">
        <v>21</v>
      </c>
      <c r="L428" s="24">
        <v>1</v>
      </c>
      <c r="M428" s="39">
        <v>6387097</v>
      </c>
      <c r="N428" s="39">
        <f t="shared" si="16"/>
        <v>6387097</v>
      </c>
      <c r="O428" s="24" t="s">
        <v>22</v>
      </c>
    </row>
    <row r="429" spans="1:15" ht="15" customHeight="1" x14ac:dyDescent="0.2">
      <c r="A429" s="24" t="s">
        <v>33</v>
      </c>
      <c r="B429" s="36">
        <v>45927</v>
      </c>
      <c r="C429" s="24">
        <f t="shared" si="13"/>
        <v>564</v>
      </c>
      <c r="D429" s="24">
        <v>1</v>
      </c>
      <c r="G429" s="37" t="s">
        <v>128</v>
      </c>
      <c r="H429" s="42" t="s">
        <v>129</v>
      </c>
      <c r="I429" s="24">
        <v>112111</v>
      </c>
      <c r="J429" s="24">
        <v>5154</v>
      </c>
      <c r="K429" s="24" t="s">
        <v>21</v>
      </c>
      <c r="L429" s="24">
        <v>1</v>
      </c>
      <c r="M429" s="39">
        <v>7651</v>
      </c>
      <c r="N429" s="39">
        <f t="shared" si="16"/>
        <v>7651</v>
      </c>
      <c r="O429" s="24" t="s">
        <v>22</v>
      </c>
    </row>
    <row r="430" spans="1:15" ht="15" customHeight="1" x14ac:dyDescent="0.2">
      <c r="A430" s="24" t="s">
        <v>33</v>
      </c>
      <c r="B430" s="36">
        <v>45839</v>
      </c>
      <c r="C430" s="24">
        <f t="shared" ref="C430" si="17">C429+D430</f>
        <v>565</v>
      </c>
      <c r="D430" s="24">
        <v>1</v>
      </c>
      <c r="G430" s="37" t="s">
        <v>252</v>
      </c>
      <c r="H430" s="24" t="s">
        <v>3639</v>
      </c>
      <c r="I430" s="24">
        <v>112111</v>
      </c>
      <c r="J430" s="24">
        <v>131</v>
      </c>
      <c r="K430" s="24" t="s">
        <v>21</v>
      </c>
      <c r="L430" s="24">
        <v>1</v>
      </c>
      <c r="M430" s="39">
        <v>48938143</v>
      </c>
      <c r="N430" s="39">
        <f t="shared" ref="N430" si="18">L430*M430</f>
        <v>48938143</v>
      </c>
      <c r="O430" s="24" t="s">
        <v>22</v>
      </c>
    </row>
  </sheetData>
  <autoFilter ref="A3:P429" xr:uid="{00000000-0009-0000-0000-00000F000000}"/>
  <mergeCells count="13">
    <mergeCell ref="N1:N2"/>
    <mergeCell ref="G1:G2"/>
    <mergeCell ref="H1:H2"/>
    <mergeCell ref="I1:J1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conditionalFormatting sqref="H4:H59 H68 H93 H111:H117 H136 H163:H164 H168:H172 H202 H205:H210 H219 H244 H262:H268 H287 H314:H315 H319:H323 H353 H356:H361">
    <cfRule type="duplicateValues" dxfId="15" priority="16"/>
  </conditionalFormatting>
  <conditionalFormatting sqref="H373">
    <cfRule type="duplicateValues" dxfId="14" priority="15"/>
  </conditionalFormatting>
  <conditionalFormatting sqref="H375">
    <cfRule type="duplicateValues" dxfId="13" priority="14"/>
  </conditionalFormatting>
  <conditionalFormatting sqref="H381">
    <cfRule type="duplicateValues" dxfId="12" priority="13"/>
  </conditionalFormatting>
  <conditionalFormatting sqref="H384">
    <cfRule type="duplicateValues" dxfId="11" priority="12"/>
  </conditionalFormatting>
  <conditionalFormatting sqref="H385">
    <cfRule type="duplicateValues" dxfId="10" priority="11"/>
  </conditionalFormatting>
  <conditionalFormatting sqref="H386">
    <cfRule type="duplicateValues" dxfId="9" priority="10"/>
  </conditionalFormatting>
  <conditionalFormatting sqref="H387">
    <cfRule type="duplicateValues" dxfId="8" priority="9"/>
  </conditionalFormatting>
  <conditionalFormatting sqref="H393">
    <cfRule type="duplicateValues" dxfId="7" priority="8"/>
  </conditionalFormatting>
  <conditionalFormatting sqref="H397">
    <cfRule type="duplicateValues" dxfId="6" priority="7"/>
  </conditionalFormatting>
  <conditionalFormatting sqref="H399">
    <cfRule type="duplicateValues" dxfId="5" priority="6"/>
  </conditionalFormatting>
  <conditionalFormatting sqref="H408">
    <cfRule type="duplicateValues" dxfId="4" priority="5"/>
  </conditionalFormatting>
  <conditionalFormatting sqref="H415">
    <cfRule type="duplicateValues" dxfId="3" priority="4"/>
  </conditionalFormatting>
  <conditionalFormatting sqref="H416">
    <cfRule type="duplicateValues" dxfId="2" priority="3"/>
  </conditionalFormatting>
  <conditionalFormatting sqref="H421">
    <cfRule type="duplicateValues" dxfId="1" priority="2"/>
  </conditionalFormatting>
  <conditionalFormatting sqref="H428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63"/>
  <sheetViews>
    <sheetView topLeftCell="A20" zoomScaleNormal="100" workbookViewId="0">
      <selection activeCell="H54" sqref="H54"/>
    </sheetView>
  </sheetViews>
  <sheetFormatPr defaultRowHeight="15" customHeight="1" x14ac:dyDescent="0.2"/>
  <cols>
    <col min="1" max="6" width="9.140625" style="13"/>
    <col min="7" max="7" width="9.140625" style="15"/>
    <col min="8" max="8" width="28.28515625" style="13" customWidth="1"/>
    <col min="9" max="12" width="9.140625" style="13"/>
    <col min="13" max="13" width="12" style="21" bestFit="1" customWidth="1"/>
    <col min="14" max="14" width="11.28515625" style="21" bestFit="1" customWidth="1"/>
    <col min="15" max="15" width="9.140625" style="13"/>
    <col min="16" max="16" width="10.42578125" style="13" bestFit="1" customWidth="1"/>
    <col min="17" max="17" width="9.140625" style="13"/>
    <col min="18" max="28" width="9.140625" style="15"/>
    <col min="29" max="16384" width="9.140625" style="13"/>
  </cols>
  <sheetData>
    <row r="1" spans="1:16" ht="15" customHeight="1" thickBot="1" x14ac:dyDescent="0.25">
      <c r="A1" s="164" t="s">
        <v>0</v>
      </c>
      <c r="B1" s="154" t="s">
        <v>1</v>
      </c>
      <c r="C1" s="164" t="s">
        <v>2</v>
      </c>
      <c r="D1" s="170" t="s">
        <v>3</v>
      </c>
      <c r="E1" s="170" t="s">
        <v>4</v>
      </c>
      <c r="F1" s="170" t="s">
        <v>5</v>
      </c>
      <c r="G1" s="158" t="s">
        <v>6</v>
      </c>
      <c r="H1" s="160" t="s">
        <v>7</v>
      </c>
      <c r="I1" s="162" t="s">
        <v>8</v>
      </c>
      <c r="J1" s="163"/>
      <c r="K1" s="164" t="s">
        <v>9</v>
      </c>
      <c r="L1" s="164" t="s">
        <v>10</v>
      </c>
      <c r="M1" s="194" t="s">
        <v>1287</v>
      </c>
      <c r="N1" s="194" t="s">
        <v>1288</v>
      </c>
      <c r="O1" s="55" t="s">
        <v>1289</v>
      </c>
      <c r="P1" s="46"/>
    </row>
    <row r="2" spans="1:16" ht="15" customHeight="1" thickBot="1" x14ac:dyDescent="0.25">
      <c r="A2" s="165"/>
      <c r="B2" s="155"/>
      <c r="C2" s="165"/>
      <c r="D2" s="171"/>
      <c r="E2" s="171"/>
      <c r="F2" s="172"/>
      <c r="G2" s="159"/>
      <c r="H2" s="161"/>
      <c r="I2" s="56" t="s">
        <v>13</v>
      </c>
      <c r="J2" s="57" t="s">
        <v>14</v>
      </c>
      <c r="K2" s="165"/>
      <c r="L2" s="165"/>
      <c r="M2" s="195"/>
      <c r="N2" s="195"/>
      <c r="O2" s="46" t="s">
        <v>1289</v>
      </c>
      <c r="P2" s="46"/>
    </row>
    <row r="3" spans="1:16" ht="15" customHeight="1" x14ac:dyDescent="0.2">
      <c r="A3" s="58"/>
      <c r="B3" s="107"/>
      <c r="C3" s="58"/>
      <c r="D3" s="60"/>
      <c r="E3" s="60"/>
      <c r="F3" s="60"/>
      <c r="G3" s="62" t="s">
        <v>15</v>
      </c>
      <c r="H3" s="63"/>
      <c r="I3" s="63"/>
      <c r="J3" s="63"/>
      <c r="K3" s="58"/>
      <c r="L3" s="58"/>
      <c r="M3" s="108"/>
      <c r="N3" s="108"/>
      <c r="O3" s="46" t="s">
        <v>16</v>
      </c>
      <c r="P3" s="46" t="s">
        <v>17</v>
      </c>
    </row>
    <row r="4" spans="1:16" ht="15" customHeight="1" x14ac:dyDescent="0.2">
      <c r="A4" s="13" t="s">
        <v>18</v>
      </c>
      <c r="B4" s="13" t="s">
        <v>2445</v>
      </c>
      <c r="G4" s="15" t="s">
        <v>3211</v>
      </c>
      <c r="H4" s="13" t="s">
        <v>3282</v>
      </c>
      <c r="I4" s="13">
        <v>131</v>
      </c>
      <c r="J4" s="13">
        <v>5113</v>
      </c>
      <c r="K4" s="13" t="s">
        <v>21</v>
      </c>
      <c r="L4" s="13">
        <v>1</v>
      </c>
      <c r="M4" s="21">
        <v>12903226</v>
      </c>
      <c r="N4" s="21">
        <f>L4*M4</f>
        <v>12903226</v>
      </c>
      <c r="O4" s="13" t="s">
        <v>998</v>
      </c>
      <c r="P4" s="21"/>
    </row>
    <row r="5" spans="1:16" ht="15" customHeight="1" x14ac:dyDescent="0.2">
      <c r="A5" s="13" t="s">
        <v>18</v>
      </c>
      <c r="B5" s="13" t="s">
        <v>2445</v>
      </c>
      <c r="G5" s="15" t="s">
        <v>3211</v>
      </c>
      <c r="H5" s="13" t="s">
        <v>3283</v>
      </c>
      <c r="I5" s="13">
        <v>333821</v>
      </c>
      <c r="J5" s="13">
        <v>131</v>
      </c>
      <c r="K5" s="13" t="s">
        <v>21</v>
      </c>
      <c r="L5" s="13">
        <v>1</v>
      </c>
      <c r="M5" s="21">
        <v>129032</v>
      </c>
      <c r="N5" s="21">
        <f t="shared" ref="N5:N29" si="0">L5*M5</f>
        <v>129032</v>
      </c>
      <c r="O5" s="13" t="s">
        <v>998</v>
      </c>
    </row>
    <row r="6" spans="1:16" ht="15" customHeight="1" x14ac:dyDescent="0.2">
      <c r="A6" s="13" t="s">
        <v>18</v>
      </c>
      <c r="B6" s="13" t="s">
        <v>2445</v>
      </c>
      <c r="G6" s="15" t="s">
        <v>1905</v>
      </c>
      <c r="H6" s="13" t="s">
        <v>3284</v>
      </c>
      <c r="I6" s="13">
        <v>131</v>
      </c>
      <c r="J6" s="13">
        <v>5113</v>
      </c>
      <c r="K6" s="13" t="s">
        <v>21</v>
      </c>
      <c r="L6" s="13">
        <v>1</v>
      </c>
      <c r="M6" s="21">
        <v>32258065</v>
      </c>
      <c r="N6" s="21">
        <f t="shared" si="0"/>
        <v>32258065</v>
      </c>
      <c r="O6" s="13" t="s">
        <v>998</v>
      </c>
      <c r="P6" s="21"/>
    </row>
    <row r="7" spans="1:16" ht="15" customHeight="1" x14ac:dyDescent="0.2">
      <c r="A7" s="13" t="s">
        <v>18</v>
      </c>
      <c r="B7" s="13" t="s">
        <v>2445</v>
      </c>
      <c r="G7" s="15" t="s">
        <v>1905</v>
      </c>
      <c r="H7" s="13" t="s">
        <v>3285</v>
      </c>
      <c r="I7" s="13">
        <v>333821</v>
      </c>
      <c r="J7" s="13">
        <v>131</v>
      </c>
      <c r="K7" s="13" t="s">
        <v>21</v>
      </c>
      <c r="L7" s="13">
        <v>1</v>
      </c>
      <c r="M7" s="21">
        <v>322581</v>
      </c>
      <c r="N7" s="21">
        <f t="shared" si="0"/>
        <v>322581</v>
      </c>
      <c r="O7" s="13" t="s">
        <v>998</v>
      </c>
    </row>
    <row r="8" spans="1:16" ht="15" customHeight="1" x14ac:dyDescent="0.2">
      <c r="A8" s="13" t="s">
        <v>18</v>
      </c>
      <c r="B8" s="13" t="s">
        <v>1424</v>
      </c>
      <c r="G8" s="15" t="s">
        <v>771</v>
      </c>
      <c r="H8" s="13" t="s">
        <v>3286</v>
      </c>
      <c r="I8" s="13">
        <v>131</v>
      </c>
      <c r="J8" s="13">
        <v>5113</v>
      </c>
      <c r="K8" s="13" t="s">
        <v>21</v>
      </c>
      <c r="L8" s="13">
        <v>1</v>
      </c>
      <c r="M8" s="21">
        <v>19354838</v>
      </c>
      <c r="N8" s="21">
        <f t="shared" si="0"/>
        <v>19354838</v>
      </c>
      <c r="O8" s="13" t="s">
        <v>998</v>
      </c>
      <c r="P8" s="21"/>
    </row>
    <row r="9" spans="1:16" ht="15" customHeight="1" x14ac:dyDescent="0.2">
      <c r="A9" s="13" t="s">
        <v>18</v>
      </c>
      <c r="B9" s="13" t="s">
        <v>1424</v>
      </c>
      <c r="G9" s="15" t="s">
        <v>771</v>
      </c>
      <c r="H9" s="13" t="s">
        <v>3287</v>
      </c>
      <c r="I9" s="13">
        <v>333821</v>
      </c>
      <c r="J9" s="13">
        <v>131</v>
      </c>
      <c r="K9" s="13" t="s">
        <v>21</v>
      </c>
      <c r="L9" s="13">
        <v>1</v>
      </c>
      <c r="M9" s="21">
        <v>193548</v>
      </c>
      <c r="N9" s="21">
        <f t="shared" si="0"/>
        <v>193548</v>
      </c>
      <c r="O9" s="13" t="s">
        <v>998</v>
      </c>
    </row>
    <row r="10" spans="1:16" ht="15" customHeight="1" x14ac:dyDescent="0.2">
      <c r="A10" s="13" t="s">
        <v>18</v>
      </c>
      <c r="B10" s="13" t="s">
        <v>1424</v>
      </c>
      <c r="G10" s="15" t="s">
        <v>1627</v>
      </c>
      <c r="H10" s="13" t="s">
        <v>3288</v>
      </c>
      <c r="I10" s="13">
        <v>131</v>
      </c>
      <c r="J10" s="13">
        <v>5113</v>
      </c>
      <c r="K10" s="13" t="s">
        <v>21</v>
      </c>
      <c r="L10" s="13">
        <v>1</v>
      </c>
      <c r="M10" s="21">
        <v>31182796</v>
      </c>
      <c r="N10" s="21">
        <f t="shared" si="0"/>
        <v>31182796</v>
      </c>
      <c r="O10" s="13" t="s">
        <v>998</v>
      </c>
      <c r="P10" s="21"/>
    </row>
    <row r="11" spans="1:16" ht="15" customHeight="1" x14ac:dyDescent="0.2">
      <c r="A11" s="13" t="s">
        <v>18</v>
      </c>
      <c r="B11" s="13" t="s">
        <v>1424</v>
      </c>
      <c r="G11" s="15" t="s">
        <v>1627</v>
      </c>
      <c r="H11" s="13" t="s">
        <v>3289</v>
      </c>
      <c r="I11" s="13">
        <v>333821</v>
      </c>
      <c r="J11" s="13">
        <v>131</v>
      </c>
      <c r="K11" s="13" t="s">
        <v>21</v>
      </c>
      <c r="L11" s="13">
        <v>1</v>
      </c>
      <c r="M11" s="21">
        <v>311828</v>
      </c>
      <c r="N11" s="21">
        <f t="shared" si="0"/>
        <v>311828</v>
      </c>
      <c r="O11" s="13" t="s">
        <v>998</v>
      </c>
    </row>
    <row r="12" spans="1:16" ht="15" customHeight="1" x14ac:dyDescent="0.2">
      <c r="A12" s="13" t="s">
        <v>18</v>
      </c>
      <c r="B12" s="13" t="s">
        <v>1425</v>
      </c>
      <c r="G12" s="15" t="s">
        <v>2236</v>
      </c>
      <c r="H12" s="13" t="s">
        <v>3290</v>
      </c>
      <c r="I12" s="13">
        <v>131</v>
      </c>
      <c r="J12" s="13">
        <v>5113</v>
      </c>
      <c r="K12" s="13" t="s">
        <v>21</v>
      </c>
      <c r="L12" s="13">
        <v>1</v>
      </c>
      <c r="M12" s="21">
        <v>12848485</v>
      </c>
      <c r="N12" s="21">
        <f t="shared" si="0"/>
        <v>12848485</v>
      </c>
      <c r="O12" s="13" t="s">
        <v>998</v>
      </c>
      <c r="P12" s="21"/>
    </row>
    <row r="13" spans="1:16" ht="15" customHeight="1" x14ac:dyDescent="0.2">
      <c r="A13" s="13" t="s">
        <v>18</v>
      </c>
      <c r="B13" s="13" t="s">
        <v>1425</v>
      </c>
      <c r="G13" s="15" t="s">
        <v>2236</v>
      </c>
      <c r="H13" s="13" t="s">
        <v>3291</v>
      </c>
      <c r="I13" s="13">
        <v>333821</v>
      </c>
      <c r="J13" s="13">
        <v>131</v>
      </c>
      <c r="K13" s="13" t="s">
        <v>21</v>
      </c>
      <c r="L13" s="13">
        <v>1</v>
      </c>
      <c r="M13" s="21">
        <v>128485</v>
      </c>
      <c r="N13" s="21">
        <f t="shared" si="0"/>
        <v>128485</v>
      </c>
      <c r="O13" s="13" t="s">
        <v>998</v>
      </c>
    </row>
    <row r="14" spans="1:16" ht="15" customHeight="1" x14ac:dyDescent="0.2">
      <c r="A14" s="13" t="s">
        <v>18</v>
      </c>
      <c r="B14" s="13" t="s">
        <v>1425</v>
      </c>
      <c r="G14" s="15" t="s">
        <v>3292</v>
      </c>
      <c r="H14" s="13" t="s">
        <v>3293</v>
      </c>
      <c r="I14" s="13">
        <v>131</v>
      </c>
      <c r="J14" s="13">
        <v>5113</v>
      </c>
      <c r="K14" s="13" t="s">
        <v>21</v>
      </c>
      <c r="L14" s="13">
        <v>1</v>
      </c>
      <c r="M14" s="21">
        <v>16129032</v>
      </c>
      <c r="N14" s="21">
        <f t="shared" si="0"/>
        <v>16129032</v>
      </c>
      <c r="O14" s="13" t="s">
        <v>998</v>
      </c>
      <c r="P14" s="21"/>
    </row>
    <row r="15" spans="1:16" ht="15" customHeight="1" x14ac:dyDescent="0.2">
      <c r="A15" s="13" t="s">
        <v>18</v>
      </c>
      <c r="B15" s="13" t="s">
        <v>1425</v>
      </c>
      <c r="G15" s="15" t="s">
        <v>3292</v>
      </c>
      <c r="H15" s="13" t="s">
        <v>3294</v>
      </c>
      <c r="I15" s="13">
        <v>333821</v>
      </c>
      <c r="J15" s="13">
        <v>131</v>
      </c>
      <c r="K15" s="13" t="s">
        <v>21</v>
      </c>
      <c r="L15" s="13">
        <v>1</v>
      </c>
      <c r="M15" s="21">
        <v>161290</v>
      </c>
      <c r="N15" s="21">
        <f t="shared" si="0"/>
        <v>161290</v>
      </c>
      <c r="O15" s="13" t="s">
        <v>998</v>
      </c>
    </row>
    <row r="16" spans="1:16" ht="15" customHeight="1" x14ac:dyDescent="0.2">
      <c r="A16" s="13" t="s">
        <v>18</v>
      </c>
      <c r="B16" s="13" t="s">
        <v>2233</v>
      </c>
      <c r="G16" s="15" t="s">
        <v>2824</v>
      </c>
      <c r="H16" s="13" t="s">
        <v>3295</v>
      </c>
      <c r="I16" s="13">
        <v>131</v>
      </c>
      <c r="J16" s="13">
        <v>5113</v>
      </c>
      <c r="K16" s="13" t="s">
        <v>21</v>
      </c>
      <c r="L16" s="13">
        <v>1</v>
      </c>
      <c r="M16" s="21">
        <v>15053764</v>
      </c>
      <c r="N16" s="21">
        <f t="shared" si="0"/>
        <v>15053764</v>
      </c>
      <c r="O16" s="13" t="s">
        <v>998</v>
      </c>
      <c r="P16" s="21"/>
    </row>
    <row r="17" spans="1:16" ht="15" customHeight="1" x14ac:dyDescent="0.2">
      <c r="A17" s="13" t="s">
        <v>18</v>
      </c>
      <c r="B17" s="13" t="s">
        <v>2233</v>
      </c>
      <c r="G17" s="15" t="s">
        <v>2824</v>
      </c>
      <c r="H17" s="13" t="s">
        <v>3296</v>
      </c>
      <c r="I17" s="13">
        <v>333821</v>
      </c>
      <c r="J17" s="13">
        <v>131</v>
      </c>
      <c r="K17" s="13" t="s">
        <v>21</v>
      </c>
      <c r="L17" s="13">
        <v>1</v>
      </c>
      <c r="M17" s="21">
        <v>150538</v>
      </c>
      <c r="N17" s="21">
        <f t="shared" si="0"/>
        <v>150538</v>
      </c>
      <c r="O17" s="13" t="s">
        <v>998</v>
      </c>
    </row>
    <row r="18" spans="1:16" ht="15" customHeight="1" x14ac:dyDescent="0.2">
      <c r="A18" s="13" t="s">
        <v>18</v>
      </c>
      <c r="B18" s="13" t="s">
        <v>2048</v>
      </c>
      <c r="G18" s="15" t="s">
        <v>3297</v>
      </c>
      <c r="H18" s="13" t="s">
        <v>3298</v>
      </c>
      <c r="I18" s="13">
        <v>64275</v>
      </c>
      <c r="J18" s="13">
        <v>331</v>
      </c>
      <c r="K18" s="13" t="s">
        <v>21</v>
      </c>
      <c r="L18" s="13">
        <v>1</v>
      </c>
      <c r="M18" s="21">
        <v>3115200</v>
      </c>
      <c r="N18" s="21">
        <f t="shared" si="0"/>
        <v>3115200</v>
      </c>
      <c r="O18" s="13" t="s">
        <v>998</v>
      </c>
      <c r="P18" s="21"/>
    </row>
    <row r="19" spans="1:16" ht="15" customHeight="1" x14ac:dyDescent="0.2">
      <c r="A19" s="13" t="s">
        <v>18</v>
      </c>
      <c r="B19" s="13" t="s">
        <v>2077</v>
      </c>
      <c r="G19" s="15" t="s">
        <v>695</v>
      </c>
      <c r="H19" s="13" t="s">
        <v>3299</v>
      </c>
      <c r="I19" s="13">
        <v>64277</v>
      </c>
      <c r="J19" s="13">
        <v>331</v>
      </c>
      <c r="K19" s="13" t="s">
        <v>21</v>
      </c>
      <c r="L19" s="13">
        <v>1</v>
      </c>
      <c r="M19" s="21">
        <v>99000</v>
      </c>
      <c r="N19" s="21">
        <f t="shared" si="0"/>
        <v>99000</v>
      </c>
      <c r="O19" s="13" t="s">
        <v>998</v>
      </c>
    </row>
    <row r="20" spans="1:16" ht="15" customHeight="1" x14ac:dyDescent="0.2">
      <c r="A20" s="13" t="s">
        <v>18</v>
      </c>
      <c r="B20" s="13" t="s">
        <v>1420</v>
      </c>
      <c r="G20" s="15" t="s">
        <v>695</v>
      </c>
      <c r="H20" s="13" t="s">
        <v>3300</v>
      </c>
      <c r="I20" s="13">
        <v>64277</v>
      </c>
      <c r="J20" s="13">
        <v>331</v>
      </c>
      <c r="K20" s="13" t="s">
        <v>21</v>
      </c>
      <c r="L20" s="13">
        <v>1</v>
      </c>
      <c r="M20" s="21">
        <v>860040</v>
      </c>
      <c r="N20" s="21">
        <f t="shared" si="0"/>
        <v>860040</v>
      </c>
      <c r="O20" s="13" t="s">
        <v>998</v>
      </c>
    </row>
    <row r="21" spans="1:16" ht="15" customHeight="1" x14ac:dyDescent="0.2">
      <c r="A21" s="13" t="s">
        <v>18</v>
      </c>
      <c r="B21" s="13" t="s">
        <v>1481</v>
      </c>
      <c r="G21" s="15" t="s">
        <v>19</v>
      </c>
      <c r="H21" s="13" t="s">
        <v>3755</v>
      </c>
      <c r="I21" s="13">
        <v>64277</v>
      </c>
      <c r="J21" s="13">
        <v>331</v>
      </c>
      <c r="K21" s="13" t="s">
        <v>21</v>
      </c>
      <c r="L21" s="13">
        <v>1</v>
      </c>
      <c r="M21" s="21">
        <v>29000</v>
      </c>
      <c r="N21" s="21">
        <f t="shared" si="0"/>
        <v>29000</v>
      </c>
      <c r="O21" s="13" t="s">
        <v>998</v>
      </c>
    </row>
    <row r="22" spans="1:16" ht="15" customHeight="1" x14ac:dyDescent="0.2">
      <c r="A22" s="13" t="s">
        <v>18</v>
      </c>
      <c r="B22" s="13" t="s">
        <v>1481</v>
      </c>
      <c r="G22" s="15" t="s">
        <v>19</v>
      </c>
      <c r="H22" s="13" t="s">
        <v>3756</v>
      </c>
      <c r="I22" s="13">
        <v>64277</v>
      </c>
      <c r="J22" s="13">
        <v>331</v>
      </c>
      <c r="K22" s="13" t="s">
        <v>21</v>
      </c>
      <c r="L22" s="13">
        <v>1</v>
      </c>
      <c r="M22" s="21">
        <v>29000</v>
      </c>
      <c r="N22" s="21">
        <f t="shared" si="0"/>
        <v>29000</v>
      </c>
      <c r="O22" s="13" t="s">
        <v>998</v>
      </c>
    </row>
    <row r="23" spans="1:16" ht="15" customHeight="1" x14ac:dyDescent="0.2">
      <c r="A23" s="13" t="s">
        <v>18</v>
      </c>
      <c r="B23" s="13" t="s">
        <v>1481</v>
      </c>
      <c r="G23" s="15" t="s">
        <v>19</v>
      </c>
      <c r="H23" s="13" t="s">
        <v>3757</v>
      </c>
      <c r="I23" s="13">
        <v>64277</v>
      </c>
      <c r="J23" s="13">
        <v>331</v>
      </c>
      <c r="K23" s="13" t="s">
        <v>21</v>
      </c>
      <c r="L23" s="13">
        <v>1</v>
      </c>
      <c r="M23" s="21">
        <v>19000</v>
      </c>
      <c r="N23" s="21">
        <f t="shared" si="0"/>
        <v>19000</v>
      </c>
      <c r="O23" s="13" t="s">
        <v>998</v>
      </c>
    </row>
    <row r="24" spans="1:16" ht="15" customHeight="1" x14ac:dyDescent="0.2">
      <c r="A24" s="13" t="s">
        <v>18</v>
      </c>
      <c r="B24" s="13" t="s">
        <v>1481</v>
      </c>
      <c r="G24" s="15" t="s">
        <v>19</v>
      </c>
      <c r="H24" s="13" t="s">
        <v>3758</v>
      </c>
      <c r="I24" s="13">
        <v>64277</v>
      </c>
      <c r="J24" s="13">
        <v>331</v>
      </c>
      <c r="K24" s="13" t="s">
        <v>21</v>
      </c>
      <c r="L24" s="13">
        <v>1</v>
      </c>
      <c r="M24" s="21">
        <v>98000</v>
      </c>
      <c r="N24" s="21">
        <f t="shared" si="0"/>
        <v>98000</v>
      </c>
      <c r="O24" s="13" t="s">
        <v>998</v>
      </c>
    </row>
    <row r="25" spans="1:16" ht="15" customHeight="1" x14ac:dyDescent="0.2">
      <c r="A25" s="13" t="s">
        <v>18</v>
      </c>
      <c r="B25" s="13" t="s">
        <v>1481</v>
      </c>
      <c r="G25" s="15" t="s">
        <v>19</v>
      </c>
      <c r="H25" s="13" t="s">
        <v>3759</v>
      </c>
      <c r="I25" s="13">
        <v>64277</v>
      </c>
      <c r="J25" s="13">
        <v>331</v>
      </c>
      <c r="K25" s="13" t="s">
        <v>21</v>
      </c>
      <c r="L25" s="13">
        <v>1</v>
      </c>
      <c r="M25" s="21">
        <v>35000</v>
      </c>
      <c r="N25" s="21">
        <f t="shared" si="0"/>
        <v>35000</v>
      </c>
      <c r="O25" s="13" t="s">
        <v>998</v>
      </c>
    </row>
    <row r="26" spans="1:16" ht="15" customHeight="1" x14ac:dyDescent="0.2">
      <c r="A26" s="13" t="s">
        <v>18</v>
      </c>
      <c r="B26" s="13" t="s">
        <v>2051</v>
      </c>
      <c r="G26" s="15" t="s">
        <v>19</v>
      </c>
      <c r="H26" s="13" t="s">
        <v>3760</v>
      </c>
      <c r="I26" s="13">
        <v>64277</v>
      </c>
      <c r="J26" s="13">
        <v>331</v>
      </c>
      <c r="K26" s="13" t="s">
        <v>21</v>
      </c>
      <c r="L26" s="13">
        <v>1</v>
      </c>
      <c r="M26" s="21">
        <v>49000</v>
      </c>
      <c r="N26" s="21">
        <f t="shared" si="0"/>
        <v>49000</v>
      </c>
      <c r="O26" s="13" t="s">
        <v>998</v>
      </c>
    </row>
    <row r="27" spans="1:16" ht="15" customHeight="1" x14ac:dyDescent="0.2">
      <c r="A27" s="13" t="s">
        <v>18</v>
      </c>
      <c r="B27" s="13" t="s">
        <v>2051</v>
      </c>
      <c r="G27" s="15" t="s">
        <v>19</v>
      </c>
      <c r="H27" s="13" t="s">
        <v>3761</v>
      </c>
      <c r="I27" s="13">
        <v>64277</v>
      </c>
      <c r="J27" s="13">
        <v>331</v>
      </c>
      <c r="K27" s="13" t="s">
        <v>21</v>
      </c>
      <c r="L27" s="13">
        <v>1</v>
      </c>
      <c r="M27" s="21">
        <v>29000</v>
      </c>
      <c r="N27" s="21">
        <f t="shared" si="0"/>
        <v>29000</v>
      </c>
      <c r="O27" s="13" t="s">
        <v>998</v>
      </c>
    </row>
    <row r="28" spans="1:16" ht="15" customHeight="1" x14ac:dyDescent="0.2">
      <c r="A28" s="13" t="s">
        <v>18</v>
      </c>
      <c r="B28" s="13" t="s">
        <v>2445</v>
      </c>
      <c r="G28" s="15" t="s">
        <v>19</v>
      </c>
      <c r="H28" s="13" t="s">
        <v>3762</v>
      </c>
      <c r="I28" s="13">
        <v>64277</v>
      </c>
      <c r="J28" s="13">
        <v>331</v>
      </c>
      <c r="K28" s="13" t="s">
        <v>21</v>
      </c>
      <c r="L28" s="13">
        <v>1</v>
      </c>
      <c r="M28" s="21">
        <v>31000</v>
      </c>
      <c r="N28" s="21">
        <f t="shared" si="0"/>
        <v>31000</v>
      </c>
      <c r="O28" s="13" t="s">
        <v>998</v>
      </c>
    </row>
    <row r="29" spans="1:16" ht="15" customHeight="1" x14ac:dyDescent="0.2">
      <c r="A29" s="13" t="s">
        <v>18</v>
      </c>
      <c r="B29" s="13" t="s">
        <v>3145</v>
      </c>
      <c r="G29" s="15" t="s">
        <v>3301</v>
      </c>
      <c r="H29" s="13" t="s">
        <v>3763</v>
      </c>
      <c r="I29" s="13">
        <v>64277</v>
      </c>
      <c r="J29" s="13">
        <v>331</v>
      </c>
      <c r="K29" s="13" t="s">
        <v>21</v>
      </c>
      <c r="L29" s="13">
        <v>1</v>
      </c>
      <c r="M29" s="21">
        <v>2000160</v>
      </c>
      <c r="N29" s="21">
        <f t="shared" si="0"/>
        <v>2000160</v>
      </c>
      <c r="O29" s="13" t="s">
        <v>998</v>
      </c>
    </row>
    <row r="30" spans="1:16" ht="15" customHeight="1" x14ac:dyDescent="0.2">
      <c r="A30" s="13" t="s">
        <v>368</v>
      </c>
      <c r="B30" s="13" t="s">
        <v>2048</v>
      </c>
      <c r="G30" s="15" t="s">
        <v>3297</v>
      </c>
      <c r="H30" s="13" t="s">
        <v>3764</v>
      </c>
      <c r="I30" s="13">
        <v>331</v>
      </c>
      <c r="J30" s="13">
        <v>1111</v>
      </c>
      <c r="K30" s="13" t="s">
        <v>21</v>
      </c>
      <c r="L30" s="13">
        <v>1</v>
      </c>
      <c r="M30" s="21">
        <v>3115200</v>
      </c>
      <c r="N30" s="21">
        <f t="shared" ref="N30:N63" si="1">L30*M30</f>
        <v>3115200</v>
      </c>
      <c r="O30" s="13" t="s">
        <v>998</v>
      </c>
    </row>
    <row r="31" spans="1:16" ht="15" customHeight="1" x14ac:dyDescent="0.2">
      <c r="A31" s="13" t="s">
        <v>368</v>
      </c>
      <c r="B31" s="13" t="s">
        <v>2077</v>
      </c>
      <c r="G31" s="15" t="s">
        <v>695</v>
      </c>
      <c r="H31" s="13" t="s">
        <v>3765</v>
      </c>
      <c r="I31" s="13">
        <v>331</v>
      </c>
      <c r="J31" s="13">
        <v>1111</v>
      </c>
      <c r="K31" s="13" t="s">
        <v>21</v>
      </c>
      <c r="L31" s="13">
        <v>1</v>
      </c>
      <c r="M31" s="21">
        <v>99000</v>
      </c>
      <c r="N31" s="21">
        <f t="shared" si="1"/>
        <v>99000</v>
      </c>
      <c r="O31" s="13" t="s">
        <v>998</v>
      </c>
    </row>
    <row r="32" spans="1:16" ht="15" customHeight="1" x14ac:dyDescent="0.2">
      <c r="A32" s="13" t="s">
        <v>368</v>
      </c>
      <c r="B32" s="13" t="s">
        <v>1420</v>
      </c>
      <c r="G32" s="15" t="s">
        <v>695</v>
      </c>
      <c r="H32" s="13" t="s">
        <v>3766</v>
      </c>
      <c r="I32" s="13">
        <v>331</v>
      </c>
      <c r="J32" s="13">
        <v>1111</v>
      </c>
      <c r="K32" s="13" t="s">
        <v>21</v>
      </c>
      <c r="L32" s="13">
        <v>1</v>
      </c>
      <c r="M32" s="21">
        <v>860040</v>
      </c>
      <c r="N32" s="21">
        <f t="shared" si="1"/>
        <v>860040</v>
      </c>
      <c r="O32" s="13" t="s">
        <v>998</v>
      </c>
    </row>
    <row r="33" spans="1:16" ht="15" customHeight="1" x14ac:dyDescent="0.2">
      <c r="A33" s="13" t="s">
        <v>368</v>
      </c>
      <c r="B33" s="13" t="s">
        <v>1481</v>
      </c>
      <c r="G33" s="15" t="s">
        <v>19</v>
      </c>
      <c r="H33" s="13" t="s">
        <v>3767</v>
      </c>
      <c r="I33" s="13">
        <v>331</v>
      </c>
      <c r="J33" s="13">
        <v>1111</v>
      </c>
      <c r="K33" s="13" t="s">
        <v>21</v>
      </c>
      <c r="L33" s="13">
        <v>1</v>
      </c>
      <c r="M33" s="21">
        <v>29000</v>
      </c>
      <c r="N33" s="21">
        <f t="shared" si="1"/>
        <v>29000</v>
      </c>
      <c r="O33" s="13" t="s">
        <v>998</v>
      </c>
    </row>
    <row r="34" spans="1:16" ht="15" customHeight="1" x14ac:dyDescent="0.2">
      <c r="A34" s="13" t="s">
        <v>368</v>
      </c>
      <c r="B34" s="13" t="s">
        <v>1481</v>
      </c>
      <c r="G34" s="15" t="s">
        <v>19</v>
      </c>
      <c r="H34" s="13" t="s">
        <v>3768</v>
      </c>
      <c r="I34" s="13">
        <v>331</v>
      </c>
      <c r="J34" s="13">
        <v>1111</v>
      </c>
      <c r="K34" s="13" t="s">
        <v>21</v>
      </c>
      <c r="L34" s="13">
        <v>1</v>
      </c>
      <c r="M34" s="21">
        <v>29000</v>
      </c>
      <c r="N34" s="21">
        <f t="shared" si="1"/>
        <v>29000</v>
      </c>
      <c r="O34" s="13" t="s">
        <v>998</v>
      </c>
    </row>
    <row r="35" spans="1:16" ht="15" customHeight="1" x14ac:dyDescent="0.2">
      <c r="A35" s="13" t="s">
        <v>368</v>
      </c>
      <c r="B35" s="13" t="s">
        <v>1481</v>
      </c>
      <c r="G35" s="15" t="s">
        <v>19</v>
      </c>
      <c r="H35" s="13" t="s">
        <v>3769</v>
      </c>
      <c r="I35" s="13">
        <v>331</v>
      </c>
      <c r="J35" s="13">
        <v>1111</v>
      </c>
      <c r="K35" s="13" t="s">
        <v>21</v>
      </c>
      <c r="L35" s="13">
        <v>1</v>
      </c>
      <c r="M35" s="21">
        <v>19000</v>
      </c>
      <c r="N35" s="21">
        <f t="shared" si="1"/>
        <v>19000</v>
      </c>
      <c r="O35" s="13" t="s">
        <v>998</v>
      </c>
    </row>
    <row r="36" spans="1:16" ht="15" customHeight="1" x14ac:dyDescent="0.2">
      <c r="A36" s="13" t="s">
        <v>368</v>
      </c>
      <c r="B36" s="13" t="s">
        <v>1481</v>
      </c>
      <c r="G36" s="15" t="s">
        <v>19</v>
      </c>
      <c r="H36" s="13" t="s">
        <v>3770</v>
      </c>
      <c r="I36" s="13">
        <v>331</v>
      </c>
      <c r="J36" s="13">
        <v>1111</v>
      </c>
      <c r="K36" s="13" t="s">
        <v>21</v>
      </c>
      <c r="L36" s="13">
        <v>1</v>
      </c>
      <c r="M36" s="21">
        <v>98000</v>
      </c>
      <c r="N36" s="21">
        <f t="shared" si="1"/>
        <v>98000</v>
      </c>
      <c r="O36" s="13" t="s">
        <v>998</v>
      </c>
    </row>
    <row r="37" spans="1:16" ht="15" customHeight="1" x14ac:dyDescent="0.2">
      <c r="A37" s="13" t="s">
        <v>368</v>
      </c>
      <c r="B37" s="13" t="s">
        <v>1481</v>
      </c>
      <c r="G37" s="15" t="s">
        <v>19</v>
      </c>
      <c r="H37" s="13" t="s">
        <v>3771</v>
      </c>
      <c r="I37" s="13">
        <v>331</v>
      </c>
      <c r="J37" s="13">
        <v>1111</v>
      </c>
      <c r="K37" s="13" t="s">
        <v>21</v>
      </c>
      <c r="L37" s="13">
        <v>1</v>
      </c>
      <c r="M37" s="21">
        <v>35000</v>
      </c>
      <c r="N37" s="21">
        <f t="shared" si="1"/>
        <v>35000</v>
      </c>
      <c r="O37" s="13" t="s">
        <v>998</v>
      </c>
    </row>
    <row r="38" spans="1:16" ht="15" customHeight="1" x14ac:dyDescent="0.2">
      <c r="A38" s="13" t="s">
        <v>368</v>
      </c>
      <c r="B38" s="13" t="s">
        <v>2051</v>
      </c>
      <c r="G38" s="15" t="s">
        <v>19</v>
      </c>
      <c r="H38" s="13" t="s">
        <v>3772</v>
      </c>
      <c r="I38" s="13">
        <v>331</v>
      </c>
      <c r="J38" s="13">
        <v>1111</v>
      </c>
      <c r="K38" s="13" t="s">
        <v>21</v>
      </c>
      <c r="L38" s="13">
        <v>1</v>
      </c>
      <c r="M38" s="21">
        <v>49000</v>
      </c>
      <c r="N38" s="21">
        <f t="shared" si="1"/>
        <v>49000</v>
      </c>
      <c r="O38" s="13" t="s">
        <v>998</v>
      </c>
    </row>
    <row r="39" spans="1:16" ht="15" customHeight="1" x14ac:dyDescent="0.2">
      <c r="A39" s="13" t="s">
        <v>368</v>
      </c>
      <c r="B39" s="13" t="s">
        <v>2051</v>
      </c>
      <c r="G39" s="15" t="s">
        <v>19</v>
      </c>
      <c r="H39" s="13" t="s">
        <v>3773</v>
      </c>
      <c r="I39" s="13">
        <v>331</v>
      </c>
      <c r="J39" s="13">
        <v>1111</v>
      </c>
      <c r="K39" s="13" t="s">
        <v>21</v>
      </c>
      <c r="L39" s="13">
        <v>1</v>
      </c>
      <c r="M39" s="21">
        <v>29000</v>
      </c>
      <c r="N39" s="21">
        <f t="shared" si="1"/>
        <v>29000</v>
      </c>
      <c r="O39" s="13" t="s">
        <v>998</v>
      </c>
    </row>
    <row r="40" spans="1:16" ht="15" customHeight="1" x14ac:dyDescent="0.2">
      <c r="A40" s="13" t="s">
        <v>368</v>
      </c>
      <c r="B40" s="13" t="s">
        <v>2445</v>
      </c>
      <c r="G40" s="15" t="s">
        <v>19</v>
      </c>
      <c r="H40" s="13" t="s">
        <v>3774</v>
      </c>
      <c r="I40" s="13">
        <v>331</v>
      </c>
      <c r="J40" s="13">
        <v>1111</v>
      </c>
      <c r="K40" s="13" t="s">
        <v>21</v>
      </c>
      <c r="L40" s="13">
        <v>1</v>
      </c>
      <c r="M40" s="21">
        <v>31000</v>
      </c>
      <c r="N40" s="21">
        <f t="shared" si="1"/>
        <v>31000</v>
      </c>
      <c r="O40" s="13" t="s">
        <v>998</v>
      </c>
    </row>
    <row r="41" spans="1:16" ht="15" customHeight="1" x14ac:dyDescent="0.2">
      <c r="A41" s="13" t="s">
        <v>368</v>
      </c>
      <c r="B41" s="13" t="s">
        <v>3145</v>
      </c>
      <c r="G41" s="15" t="s">
        <v>3301</v>
      </c>
      <c r="H41" s="13" t="s">
        <v>3775</v>
      </c>
      <c r="I41" s="13">
        <v>331</v>
      </c>
      <c r="J41" s="13">
        <v>1111</v>
      </c>
      <c r="K41" s="13" t="s">
        <v>21</v>
      </c>
      <c r="L41" s="13">
        <v>1</v>
      </c>
      <c r="M41" s="21">
        <v>2000160</v>
      </c>
      <c r="N41" s="21">
        <f t="shared" si="1"/>
        <v>2000160</v>
      </c>
      <c r="O41" s="13" t="s">
        <v>998</v>
      </c>
    </row>
    <row r="42" spans="1:16" ht="15" customHeight="1" x14ac:dyDescent="0.2">
      <c r="A42" s="24" t="s">
        <v>18</v>
      </c>
      <c r="B42" s="36">
        <v>45900</v>
      </c>
      <c r="C42" s="24">
        <v>10</v>
      </c>
      <c r="D42" s="24"/>
      <c r="E42" s="24"/>
      <c r="F42" s="24"/>
      <c r="G42" s="37" t="s">
        <v>1235</v>
      </c>
      <c r="H42" s="24" t="s">
        <v>280</v>
      </c>
      <c r="I42" s="24">
        <v>64271</v>
      </c>
      <c r="J42" s="24">
        <v>3383</v>
      </c>
      <c r="K42" s="24" t="s">
        <v>21</v>
      </c>
      <c r="L42" s="24">
        <v>1</v>
      </c>
      <c r="M42" s="39">
        <v>690300</v>
      </c>
      <c r="N42" s="39">
        <f t="shared" ref="N42" si="2">L42*M42</f>
        <v>690300</v>
      </c>
      <c r="O42" s="24" t="s">
        <v>22</v>
      </c>
      <c r="P42" s="113"/>
    </row>
    <row r="43" spans="1:16" ht="15" customHeight="1" x14ac:dyDescent="0.2">
      <c r="A43" s="24" t="s">
        <v>18</v>
      </c>
      <c r="B43" s="36">
        <v>45930</v>
      </c>
      <c r="C43" s="24">
        <v>11</v>
      </c>
      <c r="D43" s="24"/>
      <c r="E43" s="24"/>
      <c r="F43" s="24"/>
      <c r="G43" s="37" t="s">
        <v>1235</v>
      </c>
      <c r="H43" s="24" t="s">
        <v>367</v>
      </c>
      <c r="I43" s="24">
        <v>64271</v>
      </c>
      <c r="J43" s="24">
        <v>3383</v>
      </c>
      <c r="K43" s="24" t="s">
        <v>21</v>
      </c>
      <c r="L43" s="24">
        <v>1</v>
      </c>
      <c r="M43" s="39">
        <v>690300</v>
      </c>
      <c r="N43" s="39">
        <f t="shared" si="1"/>
        <v>690300</v>
      </c>
      <c r="O43" s="24" t="s">
        <v>22</v>
      </c>
      <c r="P43" s="113"/>
    </row>
    <row r="44" spans="1:16" ht="15" customHeight="1" x14ac:dyDescent="0.2">
      <c r="A44" s="13" t="s">
        <v>33</v>
      </c>
      <c r="B44" s="14">
        <v>45909</v>
      </c>
      <c r="C44" s="24">
        <v>12</v>
      </c>
      <c r="G44" s="15" t="s">
        <v>3278</v>
      </c>
      <c r="H44" s="13" t="s">
        <v>3813</v>
      </c>
      <c r="I44" s="13">
        <v>112111</v>
      </c>
      <c r="J44" s="13">
        <v>1111</v>
      </c>
      <c r="K44" s="24" t="s">
        <v>21</v>
      </c>
      <c r="L44" s="24">
        <v>1</v>
      </c>
      <c r="M44" s="21">
        <v>1000000</v>
      </c>
      <c r="N44" s="39">
        <f t="shared" si="1"/>
        <v>1000000</v>
      </c>
      <c r="O44" s="24" t="s">
        <v>22</v>
      </c>
    </row>
    <row r="45" spans="1:16" ht="15" customHeight="1" x14ac:dyDescent="0.2">
      <c r="A45" s="13" t="s">
        <v>33</v>
      </c>
      <c r="B45" s="14">
        <v>45916</v>
      </c>
      <c r="C45" s="24">
        <v>13</v>
      </c>
      <c r="G45" s="15" t="s">
        <v>2236</v>
      </c>
      <c r="H45" s="13" t="s">
        <v>3809</v>
      </c>
      <c r="I45" s="13">
        <v>112111</v>
      </c>
      <c r="J45" s="13">
        <v>131</v>
      </c>
      <c r="K45" s="24" t="s">
        <v>21</v>
      </c>
      <c r="L45" s="24">
        <v>1</v>
      </c>
      <c r="M45" s="21">
        <v>12720000</v>
      </c>
      <c r="N45" s="39">
        <f t="shared" si="1"/>
        <v>12720000</v>
      </c>
      <c r="O45" s="13" t="s">
        <v>22</v>
      </c>
    </row>
    <row r="46" spans="1:16" ht="15" customHeight="1" x14ac:dyDescent="0.2">
      <c r="A46" s="13" t="s">
        <v>33</v>
      </c>
      <c r="B46" s="14">
        <v>45921</v>
      </c>
      <c r="C46" s="24">
        <v>14</v>
      </c>
      <c r="G46" s="37" t="s">
        <v>31</v>
      </c>
      <c r="H46" s="24" t="s">
        <v>3639</v>
      </c>
      <c r="I46" s="24">
        <v>112111</v>
      </c>
      <c r="J46" s="24">
        <v>131</v>
      </c>
      <c r="K46" s="24" t="s">
        <v>21</v>
      </c>
      <c r="L46" s="24">
        <v>1</v>
      </c>
      <c r="M46" s="21">
        <v>985419</v>
      </c>
      <c r="N46" s="39">
        <f t="shared" si="1"/>
        <v>985419</v>
      </c>
      <c r="O46" s="13" t="s">
        <v>22</v>
      </c>
    </row>
    <row r="47" spans="1:16" ht="15" customHeight="1" x14ac:dyDescent="0.2">
      <c r="A47" s="13" t="s">
        <v>18</v>
      </c>
      <c r="B47" s="14">
        <v>45921</v>
      </c>
      <c r="C47" s="24">
        <v>15</v>
      </c>
      <c r="G47" s="37" t="s">
        <v>31</v>
      </c>
      <c r="H47" s="24" t="s">
        <v>3638</v>
      </c>
      <c r="I47" s="24">
        <v>131</v>
      </c>
      <c r="J47" s="24">
        <v>5118</v>
      </c>
      <c r="K47" s="24" t="s">
        <v>21</v>
      </c>
      <c r="L47" s="24">
        <v>1</v>
      </c>
      <c r="M47" s="21">
        <v>985419</v>
      </c>
      <c r="N47" s="39">
        <f t="shared" ref="N47" si="3">L47*M47</f>
        <v>985419</v>
      </c>
      <c r="O47" s="13" t="s">
        <v>22</v>
      </c>
    </row>
    <row r="48" spans="1:16" ht="15" customHeight="1" x14ac:dyDescent="0.2">
      <c r="A48" s="13" t="s">
        <v>33</v>
      </c>
      <c r="B48" s="14">
        <v>45921</v>
      </c>
      <c r="C48" s="24">
        <v>16</v>
      </c>
      <c r="G48" s="37" t="s">
        <v>31</v>
      </c>
      <c r="H48" s="24" t="s">
        <v>3639</v>
      </c>
      <c r="I48" s="24">
        <v>112111</v>
      </c>
      <c r="J48" s="24">
        <v>131</v>
      </c>
      <c r="K48" s="24" t="s">
        <v>21</v>
      </c>
      <c r="L48" s="24">
        <v>1</v>
      </c>
      <c r="M48" s="21">
        <v>45652195</v>
      </c>
      <c r="N48" s="39">
        <f t="shared" si="1"/>
        <v>45652195</v>
      </c>
      <c r="O48" s="13" t="s">
        <v>22</v>
      </c>
    </row>
    <row r="49" spans="1:15" ht="15" customHeight="1" x14ac:dyDescent="0.2">
      <c r="A49" s="13" t="s">
        <v>18</v>
      </c>
      <c r="B49" s="14">
        <v>45921</v>
      </c>
      <c r="C49" s="24">
        <v>17</v>
      </c>
      <c r="G49" s="37" t="s">
        <v>31</v>
      </c>
      <c r="H49" s="24" t="s">
        <v>3638</v>
      </c>
      <c r="I49" s="24">
        <v>131</v>
      </c>
      <c r="J49" s="24">
        <v>5118</v>
      </c>
      <c r="K49" s="24" t="s">
        <v>21</v>
      </c>
      <c r="L49" s="24">
        <v>1</v>
      </c>
      <c r="M49" s="21">
        <v>45652195</v>
      </c>
      <c r="N49" s="39">
        <f t="shared" si="1"/>
        <v>45652195</v>
      </c>
      <c r="O49" s="13" t="s">
        <v>22</v>
      </c>
    </row>
    <row r="50" spans="1:15" ht="15" customHeight="1" x14ac:dyDescent="0.2">
      <c r="A50" s="13" t="s">
        <v>33</v>
      </c>
      <c r="B50" s="14">
        <v>45921</v>
      </c>
      <c r="C50" s="24">
        <v>18</v>
      </c>
      <c r="G50" s="37" t="s">
        <v>31</v>
      </c>
      <c r="H50" s="24" t="s">
        <v>3639</v>
      </c>
      <c r="I50" s="24">
        <v>112111</v>
      </c>
      <c r="J50" s="24">
        <v>131</v>
      </c>
      <c r="K50" s="24" t="s">
        <v>21</v>
      </c>
      <c r="L50" s="24">
        <v>1</v>
      </c>
      <c r="M50" s="21">
        <v>60052093</v>
      </c>
      <c r="N50" s="39">
        <f t="shared" si="1"/>
        <v>60052093</v>
      </c>
      <c r="O50" s="13" t="s">
        <v>22</v>
      </c>
    </row>
    <row r="51" spans="1:15" ht="15" customHeight="1" x14ac:dyDescent="0.2">
      <c r="A51" s="13" t="s">
        <v>18</v>
      </c>
      <c r="B51" s="14">
        <v>45921</v>
      </c>
      <c r="C51" s="24">
        <v>19</v>
      </c>
      <c r="G51" s="37" t="s">
        <v>31</v>
      </c>
      <c r="H51" s="24" t="s">
        <v>3638</v>
      </c>
      <c r="I51" s="24">
        <v>131</v>
      </c>
      <c r="J51" s="24">
        <v>5118</v>
      </c>
      <c r="K51" s="24" t="s">
        <v>21</v>
      </c>
      <c r="L51" s="24">
        <v>1</v>
      </c>
      <c r="M51" s="21">
        <v>60052093</v>
      </c>
      <c r="N51" s="39">
        <f t="shared" si="1"/>
        <v>60052093</v>
      </c>
      <c r="O51" s="13" t="s">
        <v>22</v>
      </c>
    </row>
    <row r="52" spans="1:15" ht="15" customHeight="1" x14ac:dyDescent="0.2">
      <c r="A52" s="13" t="s">
        <v>89</v>
      </c>
      <c r="B52" s="14">
        <v>45921</v>
      </c>
      <c r="C52" s="24">
        <v>20</v>
      </c>
      <c r="G52" s="15" t="s">
        <v>3278</v>
      </c>
      <c r="H52" s="13" t="s">
        <v>1008</v>
      </c>
      <c r="I52" s="13">
        <v>1111</v>
      </c>
      <c r="J52" s="13">
        <v>112111</v>
      </c>
      <c r="K52" s="24" t="s">
        <v>21</v>
      </c>
      <c r="L52" s="24">
        <v>1</v>
      </c>
      <c r="M52" s="21">
        <v>1000000</v>
      </c>
      <c r="N52" s="39">
        <f t="shared" si="1"/>
        <v>1000000</v>
      </c>
      <c r="O52" s="13" t="s">
        <v>22</v>
      </c>
    </row>
    <row r="53" spans="1:15" ht="15" customHeight="1" x14ac:dyDescent="0.2">
      <c r="A53" s="13" t="s">
        <v>89</v>
      </c>
      <c r="B53" s="14">
        <v>45921</v>
      </c>
      <c r="C53" s="24">
        <v>21</v>
      </c>
      <c r="G53" s="15" t="s">
        <v>3278</v>
      </c>
      <c r="H53" s="13" t="s">
        <v>1008</v>
      </c>
      <c r="I53" s="13">
        <v>1111</v>
      </c>
      <c r="J53" s="13">
        <v>112111</v>
      </c>
      <c r="K53" s="24" t="s">
        <v>21</v>
      </c>
      <c r="L53" s="24">
        <v>1</v>
      </c>
      <c r="M53" s="21">
        <v>9999999</v>
      </c>
      <c r="N53" s="39">
        <f t="shared" si="1"/>
        <v>9999999</v>
      </c>
      <c r="O53" s="13" t="s">
        <v>22</v>
      </c>
    </row>
    <row r="54" spans="1:15" ht="15" customHeight="1" x14ac:dyDescent="0.2">
      <c r="A54" s="13" t="s">
        <v>89</v>
      </c>
      <c r="B54" s="14">
        <v>45921</v>
      </c>
      <c r="C54" s="24">
        <v>22</v>
      </c>
      <c r="G54" s="15" t="s">
        <v>3278</v>
      </c>
      <c r="H54" s="13" t="s">
        <v>1008</v>
      </c>
      <c r="I54" s="13">
        <v>1111</v>
      </c>
      <c r="J54" s="13">
        <v>112111</v>
      </c>
      <c r="K54" s="24" t="s">
        <v>21</v>
      </c>
      <c r="L54" s="24">
        <v>1</v>
      </c>
      <c r="M54" s="21">
        <v>9000001</v>
      </c>
      <c r="N54" s="39">
        <f t="shared" si="1"/>
        <v>9000001</v>
      </c>
      <c r="O54" s="13" t="s">
        <v>22</v>
      </c>
    </row>
    <row r="55" spans="1:15" ht="15" customHeight="1" x14ac:dyDescent="0.2">
      <c r="A55" s="13" t="s">
        <v>89</v>
      </c>
      <c r="B55" s="14">
        <v>45922</v>
      </c>
      <c r="C55" s="24">
        <v>23</v>
      </c>
      <c r="G55" s="15" t="s">
        <v>3278</v>
      </c>
      <c r="H55" s="13" t="s">
        <v>1008</v>
      </c>
      <c r="I55" s="13">
        <v>1111</v>
      </c>
      <c r="J55" s="13">
        <v>112111</v>
      </c>
      <c r="K55" s="24" t="s">
        <v>21</v>
      </c>
      <c r="L55" s="24">
        <v>1</v>
      </c>
      <c r="M55" s="21">
        <v>100000000</v>
      </c>
      <c r="N55" s="39">
        <f t="shared" si="1"/>
        <v>100000000</v>
      </c>
      <c r="O55" s="13" t="s">
        <v>22</v>
      </c>
    </row>
    <row r="56" spans="1:15" ht="15" customHeight="1" x14ac:dyDescent="0.2">
      <c r="A56" s="13" t="s">
        <v>33</v>
      </c>
      <c r="B56" s="14">
        <v>45926</v>
      </c>
      <c r="C56" s="24">
        <v>24</v>
      </c>
      <c r="G56" s="15" t="s">
        <v>3278</v>
      </c>
      <c r="H56" s="13" t="s">
        <v>129</v>
      </c>
      <c r="I56" s="13">
        <v>112111</v>
      </c>
      <c r="J56" s="13">
        <v>5154</v>
      </c>
      <c r="K56" s="24" t="s">
        <v>21</v>
      </c>
      <c r="L56" s="24">
        <v>1</v>
      </c>
      <c r="M56" s="21">
        <v>2432</v>
      </c>
      <c r="N56" s="39">
        <f t="shared" si="1"/>
        <v>2432</v>
      </c>
      <c r="O56" s="13" t="s">
        <v>22</v>
      </c>
    </row>
    <row r="57" spans="1:15" ht="15" customHeight="1" x14ac:dyDescent="0.2">
      <c r="A57" s="13" t="s">
        <v>33</v>
      </c>
      <c r="B57" s="14">
        <v>45929</v>
      </c>
      <c r="C57" s="24">
        <v>25</v>
      </c>
      <c r="G57" s="15" t="s">
        <v>3211</v>
      </c>
      <c r="H57" s="13" t="s">
        <v>3812</v>
      </c>
      <c r="I57" s="13">
        <v>112111</v>
      </c>
      <c r="J57" s="13">
        <v>131</v>
      </c>
      <c r="K57" s="24" t="s">
        <v>21</v>
      </c>
      <c r="L57" s="24">
        <v>1</v>
      </c>
      <c r="M57" s="21">
        <v>12774194</v>
      </c>
      <c r="N57" s="39">
        <f t="shared" si="1"/>
        <v>12774194</v>
      </c>
      <c r="O57" s="13" t="s">
        <v>22</v>
      </c>
    </row>
    <row r="58" spans="1:15" ht="15" customHeight="1" x14ac:dyDescent="0.2">
      <c r="A58" s="13" t="s">
        <v>89</v>
      </c>
      <c r="B58" s="14">
        <v>45929</v>
      </c>
      <c r="C58" s="24">
        <v>26</v>
      </c>
      <c r="G58" s="37" t="s">
        <v>1235</v>
      </c>
      <c r="H58" s="24" t="s">
        <v>3811</v>
      </c>
      <c r="I58" s="13">
        <v>3383</v>
      </c>
      <c r="J58" s="13">
        <v>112111</v>
      </c>
      <c r="K58" s="24" t="s">
        <v>21</v>
      </c>
      <c r="L58" s="24">
        <v>1</v>
      </c>
      <c r="M58" s="21">
        <v>1380600</v>
      </c>
      <c r="N58" s="39">
        <f t="shared" si="1"/>
        <v>1380600</v>
      </c>
      <c r="O58" s="13" t="s">
        <v>22</v>
      </c>
    </row>
    <row r="59" spans="1:15" ht="15" customHeight="1" x14ac:dyDescent="0.2">
      <c r="A59" s="13" t="s">
        <v>33</v>
      </c>
      <c r="B59" s="14">
        <v>45930</v>
      </c>
      <c r="C59" s="24">
        <v>27</v>
      </c>
      <c r="G59" s="15" t="s">
        <v>2824</v>
      </c>
      <c r="H59" s="13" t="s">
        <v>3810</v>
      </c>
      <c r="I59" s="13">
        <v>112111</v>
      </c>
      <c r="J59" s="13">
        <v>131</v>
      </c>
      <c r="K59" s="24" t="s">
        <v>21</v>
      </c>
      <c r="L59" s="24">
        <v>1</v>
      </c>
      <c r="M59" s="21">
        <v>14903226</v>
      </c>
      <c r="N59" s="39">
        <f t="shared" si="1"/>
        <v>14903226</v>
      </c>
      <c r="O59" s="13" t="s">
        <v>22</v>
      </c>
    </row>
    <row r="60" spans="1:15" ht="15" customHeight="1" x14ac:dyDescent="0.2">
      <c r="A60" s="13" t="s">
        <v>33</v>
      </c>
      <c r="B60" s="14">
        <v>45930</v>
      </c>
      <c r="C60" s="24">
        <v>28</v>
      </c>
      <c r="G60" s="37" t="s">
        <v>31</v>
      </c>
      <c r="H60" s="24" t="s">
        <v>3638</v>
      </c>
      <c r="I60" s="24">
        <v>131</v>
      </c>
      <c r="J60" s="24">
        <v>5118</v>
      </c>
      <c r="K60" s="24" t="s">
        <v>21</v>
      </c>
      <c r="L60" s="24">
        <v>1</v>
      </c>
      <c r="M60" s="21">
        <v>31924767</v>
      </c>
      <c r="N60" s="39">
        <f t="shared" si="1"/>
        <v>31924767</v>
      </c>
      <c r="O60" s="13" t="s">
        <v>22</v>
      </c>
    </row>
    <row r="61" spans="1:15" ht="15" customHeight="1" x14ac:dyDescent="0.2">
      <c r="A61" s="13" t="s">
        <v>18</v>
      </c>
      <c r="B61" s="14">
        <v>45930</v>
      </c>
      <c r="C61" s="24">
        <v>29</v>
      </c>
      <c r="G61" s="37" t="s">
        <v>31</v>
      </c>
      <c r="H61" s="24" t="s">
        <v>3639</v>
      </c>
      <c r="I61" s="24">
        <v>112111</v>
      </c>
      <c r="J61" s="24">
        <v>131</v>
      </c>
      <c r="K61" s="24" t="s">
        <v>21</v>
      </c>
      <c r="L61" s="24">
        <v>1</v>
      </c>
      <c r="M61" s="21">
        <v>31924767</v>
      </c>
      <c r="N61" s="39">
        <f t="shared" si="1"/>
        <v>31924767</v>
      </c>
      <c r="O61" s="13" t="s">
        <v>22</v>
      </c>
    </row>
    <row r="62" spans="1:15" ht="15" customHeight="1" x14ac:dyDescent="0.2">
      <c r="A62" s="13" t="s">
        <v>33</v>
      </c>
      <c r="B62" s="14">
        <v>45930</v>
      </c>
      <c r="C62" s="24">
        <v>30</v>
      </c>
      <c r="G62" s="37" t="s">
        <v>31</v>
      </c>
      <c r="H62" s="24" t="s">
        <v>3638</v>
      </c>
      <c r="I62" s="24">
        <v>131</v>
      </c>
      <c r="J62" s="24">
        <v>5118</v>
      </c>
      <c r="K62" s="24" t="s">
        <v>21</v>
      </c>
      <c r="L62" s="24">
        <v>1</v>
      </c>
      <c r="M62" s="21">
        <v>18163958</v>
      </c>
      <c r="N62" s="39">
        <f t="shared" si="1"/>
        <v>18163958</v>
      </c>
      <c r="O62" s="13" t="s">
        <v>22</v>
      </c>
    </row>
    <row r="63" spans="1:15" ht="15" customHeight="1" x14ac:dyDescent="0.2">
      <c r="A63" s="13" t="s">
        <v>18</v>
      </c>
      <c r="B63" s="14">
        <v>45930</v>
      </c>
      <c r="C63" s="24">
        <v>31</v>
      </c>
      <c r="G63" s="37" t="s">
        <v>31</v>
      </c>
      <c r="H63" s="24" t="s">
        <v>3639</v>
      </c>
      <c r="I63" s="24">
        <v>112111</v>
      </c>
      <c r="J63" s="24">
        <v>131</v>
      </c>
      <c r="K63" s="24" t="s">
        <v>21</v>
      </c>
      <c r="L63" s="24">
        <v>1</v>
      </c>
      <c r="M63" s="21">
        <v>18163958</v>
      </c>
      <c r="N63" s="39">
        <f t="shared" si="1"/>
        <v>18163958</v>
      </c>
      <c r="O63" s="13" t="s">
        <v>22</v>
      </c>
    </row>
  </sheetData>
  <autoFilter ref="A3:P63" xr:uid="{00000000-0009-0000-0000-000010000000}"/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17"/>
  <sheetViews>
    <sheetView workbookViewId="0">
      <selection activeCell="G3" sqref="G3"/>
    </sheetView>
  </sheetViews>
  <sheetFormatPr defaultRowHeight="15" customHeight="1" x14ac:dyDescent="0.2"/>
  <cols>
    <col min="1" max="1" width="9.140625" style="13"/>
    <col min="2" max="2" width="9.140625" style="14"/>
    <col min="3" max="6" width="9.140625" style="13"/>
    <col min="7" max="7" width="9.140625" style="15"/>
    <col min="8" max="8" width="35.42578125" style="13" customWidth="1"/>
    <col min="9" max="12" width="9.140625" style="13"/>
    <col min="13" max="14" width="9.85546875" style="21" bestFit="1" customWidth="1"/>
    <col min="15" max="17" width="9.140625" style="13"/>
    <col min="18" max="27" width="9.140625" style="15"/>
    <col min="28" max="16384" width="9.140625" style="13"/>
  </cols>
  <sheetData>
    <row r="1" spans="1:16" ht="15" customHeight="1" thickBot="1" x14ac:dyDescent="0.25">
      <c r="A1" s="164" t="s">
        <v>0</v>
      </c>
      <c r="B1" s="154" t="s">
        <v>1</v>
      </c>
      <c r="C1" s="164" t="s">
        <v>2</v>
      </c>
      <c r="D1" s="170" t="s">
        <v>3</v>
      </c>
      <c r="E1" s="170" t="s">
        <v>4</v>
      </c>
      <c r="F1" s="170" t="s">
        <v>5</v>
      </c>
      <c r="G1" s="158" t="s">
        <v>6</v>
      </c>
      <c r="H1" s="160" t="s">
        <v>7</v>
      </c>
      <c r="I1" s="162" t="s">
        <v>8</v>
      </c>
      <c r="J1" s="163"/>
      <c r="K1" s="164" t="s">
        <v>9</v>
      </c>
      <c r="L1" s="164" t="s">
        <v>10</v>
      </c>
      <c r="M1" s="194" t="s">
        <v>1287</v>
      </c>
      <c r="N1" s="194" t="s">
        <v>1288</v>
      </c>
      <c r="O1" s="55" t="s">
        <v>1289</v>
      </c>
      <c r="P1" s="46"/>
    </row>
    <row r="2" spans="1:16" ht="15" customHeight="1" thickBot="1" x14ac:dyDescent="0.25">
      <c r="A2" s="165"/>
      <c r="B2" s="155"/>
      <c r="C2" s="165"/>
      <c r="D2" s="171"/>
      <c r="E2" s="171"/>
      <c r="F2" s="172"/>
      <c r="G2" s="159"/>
      <c r="H2" s="161"/>
      <c r="I2" s="56" t="s">
        <v>13</v>
      </c>
      <c r="J2" s="57" t="s">
        <v>14</v>
      </c>
      <c r="K2" s="165"/>
      <c r="L2" s="165"/>
      <c r="M2" s="195"/>
      <c r="N2" s="195"/>
      <c r="O2" s="46" t="s">
        <v>1289</v>
      </c>
      <c r="P2" s="46"/>
    </row>
    <row r="3" spans="1:16" ht="15" customHeight="1" x14ac:dyDescent="0.2">
      <c r="A3" s="58"/>
      <c r="B3" s="107"/>
      <c r="C3" s="58">
        <v>39</v>
      </c>
      <c r="D3" s="60"/>
      <c r="E3" s="60"/>
      <c r="F3" s="60"/>
      <c r="G3" s="62" t="s">
        <v>15</v>
      </c>
      <c r="H3" s="63"/>
      <c r="I3" s="63"/>
      <c r="J3" s="63"/>
      <c r="K3" s="58"/>
      <c r="L3" s="58"/>
      <c r="M3" s="108"/>
      <c r="N3" s="108"/>
      <c r="O3" s="46" t="s">
        <v>16</v>
      </c>
      <c r="P3" s="46" t="s">
        <v>17</v>
      </c>
    </row>
    <row r="4" spans="1:16" ht="15" customHeight="1" x14ac:dyDescent="0.2">
      <c r="A4" s="13" t="s">
        <v>18</v>
      </c>
      <c r="B4" s="14" t="s">
        <v>2042</v>
      </c>
      <c r="C4" s="13">
        <f>C3+D4</f>
        <v>40</v>
      </c>
      <c r="D4" s="13">
        <v>1</v>
      </c>
      <c r="G4" s="15" t="s">
        <v>1077</v>
      </c>
      <c r="H4" s="13" t="s">
        <v>3222</v>
      </c>
      <c r="I4" s="13">
        <v>131</v>
      </c>
      <c r="J4" s="13">
        <v>5113</v>
      </c>
      <c r="K4" s="13" t="s">
        <v>21</v>
      </c>
      <c r="L4" s="13">
        <v>1</v>
      </c>
      <c r="M4" s="21">
        <v>13978494</v>
      </c>
      <c r="N4" s="21">
        <f>L4*M4</f>
        <v>13978494</v>
      </c>
      <c r="O4" s="13" t="s">
        <v>22</v>
      </c>
    </row>
    <row r="5" spans="1:16" ht="15" customHeight="1" x14ac:dyDescent="0.2">
      <c r="A5" s="13" t="s">
        <v>18</v>
      </c>
      <c r="B5" s="14" t="s">
        <v>2042</v>
      </c>
      <c r="C5" s="13">
        <f t="shared" ref="C5:C68" si="0">C4+D5</f>
        <v>41</v>
      </c>
      <c r="D5" s="13">
        <v>1</v>
      </c>
      <c r="G5" s="15" t="s">
        <v>3223</v>
      </c>
      <c r="H5" s="13" t="s">
        <v>3224</v>
      </c>
      <c r="I5" s="13">
        <v>131</v>
      </c>
      <c r="J5" s="13">
        <v>5113</v>
      </c>
      <c r="K5" s="13" t="s">
        <v>21</v>
      </c>
      <c r="L5" s="13">
        <v>1</v>
      </c>
      <c r="M5" s="21">
        <v>93956323</v>
      </c>
      <c r="N5" s="21">
        <f t="shared" ref="N5:N48" si="1">L5*M5</f>
        <v>93956323</v>
      </c>
      <c r="O5" s="13" t="s">
        <v>22</v>
      </c>
    </row>
    <row r="6" spans="1:16" ht="15" customHeight="1" x14ac:dyDescent="0.2">
      <c r="A6" s="13" t="s">
        <v>18</v>
      </c>
      <c r="B6" s="14" t="s">
        <v>2073</v>
      </c>
      <c r="C6" s="13">
        <f t="shared" si="0"/>
        <v>42</v>
      </c>
      <c r="D6" s="13">
        <v>1</v>
      </c>
      <c r="G6" s="15" t="s">
        <v>3225</v>
      </c>
      <c r="H6" s="13" t="s">
        <v>3226</v>
      </c>
      <c r="I6" s="13">
        <v>131</v>
      </c>
      <c r="J6" s="13">
        <v>5113</v>
      </c>
      <c r="K6" s="13" t="s">
        <v>21</v>
      </c>
      <c r="L6" s="13">
        <v>1</v>
      </c>
      <c r="M6" s="21">
        <v>12903226</v>
      </c>
      <c r="N6" s="21">
        <f t="shared" si="1"/>
        <v>12903226</v>
      </c>
      <c r="O6" s="13" t="s">
        <v>22</v>
      </c>
    </row>
    <row r="7" spans="1:16" ht="15" customHeight="1" x14ac:dyDescent="0.2">
      <c r="A7" s="13" t="s">
        <v>18</v>
      </c>
      <c r="B7" s="14" t="s">
        <v>1415</v>
      </c>
      <c r="C7" s="13">
        <f t="shared" si="0"/>
        <v>43</v>
      </c>
      <c r="D7" s="13">
        <v>1</v>
      </c>
      <c r="G7" s="15" t="s">
        <v>756</v>
      </c>
      <c r="H7" s="13" t="s">
        <v>3227</v>
      </c>
      <c r="I7" s="13">
        <v>131</v>
      </c>
      <c r="J7" s="13">
        <v>5113</v>
      </c>
      <c r="K7" s="13" t="s">
        <v>21</v>
      </c>
      <c r="L7" s="13">
        <v>1</v>
      </c>
      <c r="M7" s="21">
        <v>7526882</v>
      </c>
      <c r="N7" s="21">
        <f t="shared" si="1"/>
        <v>7526882</v>
      </c>
      <c r="O7" s="13" t="s">
        <v>22</v>
      </c>
    </row>
    <row r="8" spans="1:16" ht="15" customHeight="1" x14ac:dyDescent="0.2">
      <c r="A8" s="13" t="s">
        <v>18</v>
      </c>
      <c r="B8" s="14" t="s">
        <v>1415</v>
      </c>
      <c r="C8" s="13">
        <f t="shared" si="0"/>
        <v>44</v>
      </c>
      <c r="D8" s="13">
        <v>1</v>
      </c>
      <c r="G8" s="15" t="s">
        <v>756</v>
      </c>
      <c r="H8" s="13" t="s">
        <v>3228</v>
      </c>
      <c r="I8" s="13">
        <v>333821</v>
      </c>
      <c r="J8" s="13">
        <v>131</v>
      </c>
      <c r="K8" s="13" t="s">
        <v>21</v>
      </c>
      <c r="L8" s="13">
        <v>1</v>
      </c>
      <c r="M8" s="21">
        <v>75269</v>
      </c>
      <c r="N8" s="21">
        <f t="shared" si="1"/>
        <v>75269</v>
      </c>
      <c r="O8" s="13" t="s">
        <v>22</v>
      </c>
    </row>
    <row r="9" spans="1:16" ht="15" customHeight="1" x14ac:dyDescent="0.2">
      <c r="A9" s="13" t="s">
        <v>18</v>
      </c>
      <c r="B9" s="14" t="s">
        <v>1415</v>
      </c>
      <c r="C9" s="13">
        <f t="shared" si="0"/>
        <v>45</v>
      </c>
      <c r="D9" s="13">
        <v>1</v>
      </c>
      <c r="G9" s="15" t="s">
        <v>3223</v>
      </c>
      <c r="H9" s="13" t="s">
        <v>3229</v>
      </c>
      <c r="I9" s="13">
        <v>131</v>
      </c>
      <c r="J9" s="13">
        <v>5113</v>
      </c>
      <c r="K9" s="13" t="s">
        <v>21</v>
      </c>
      <c r="L9" s="13">
        <v>1</v>
      </c>
      <c r="M9" s="21">
        <v>39784946</v>
      </c>
      <c r="N9" s="21">
        <f t="shared" si="1"/>
        <v>39784946</v>
      </c>
      <c r="O9" s="13" t="s">
        <v>22</v>
      </c>
    </row>
    <row r="10" spans="1:16" ht="15" customHeight="1" x14ac:dyDescent="0.2">
      <c r="A10" s="13" t="s">
        <v>18</v>
      </c>
      <c r="B10" s="14" t="s">
        <v>1415</v>
      </c>
      <c r="C10" s="13">
        <f t="shared" si="0"/>
        <v>46</v>
      </c>
      <c r="D10" s="13">
        <v>1</v>
      </c>
      <c r="G10" s="15" t="s">
        <v>3223</v>
      </c>
      <c r="H10" s="13" t="s">
        <v>3230</v>
      </c>
      <c r="I10" s="13">
        <v>333821</v>
      </c>
      <c r="J10" s="13">
        <v>131</v>
      </c>
      <c r="K10" s="13" t="s">
        <v>21</v>
      </c>
      <c r="L10" s="13">
        <v>1</v>
      </c>
      <c r="M10" s="21">
        <v>397849</v>
      </c>
      <c r="N10" s="21">
        <f t="shared" si="1"/>
        <v>397849</v>
      </c>
      <c r="O10" s="13" t="s">
        <v>22</v>
      </c>
    </row>
    <row r="11" spans="1:16" ht="15" customHeight="1" x14ac:dyDescent="0.2">
      <c r="A11" s="13" t="s">
        <v>18</v>
      </c>
      <c r="B11" s="14" t="s">
        <v>2047</v>
      </c>
      <c r="C11" s="13">
        <f t="shared" si="0"/>
        <v>47</v>
      </c>
      <c r="D11" s="13">
        <v>1</v>
      </c>
      <c r="G11" s="15" t="s">
        <v>3231</v>
      </c>
      <c r="H11" s="13" t="s">
        <v>3232</v>
      </c>
      <c r="I11" s="13">
        <v>131</v>
      </c>
      <c r="J11" s="13">
        <v>5113</v>
      </c>
      <c r="K11" s="13" t="s">
        <v>21</v>
      </c>
      <c r="L11" s="13">
        <v>1</v>
      </c>
      <c r="M11" s="21">
        <v>8602151</v>
      </c>
      <c r="N11" s="21">
        <f t="shared" si="1"/>
        <v>8602151</v>
      </c>
      <c r="O11" s="13" t="s">
        <v>22</v>
      </c>
    </row>
    <row r="12" spans="1:16" ht="15" customHeight="1" x14ac:dyDescent="0.2">
      <c r="A12" s="13" t="s">
        <v>18</v>
      </c>
      <c r="B12" s="14" t="s">
        <v>2047</v>
      </c>
      <c r="C12" s="13">
        <f t="shared" si="0"/>
        <v>48</v>
      </c>
      <c r="D12" s="13">
        <v>1</v>
      </c>
      <c r="G12" s="15" t="s">
        <v>3231</v>
      </c>
      <c r="H12" s="13" t="s">
        <v>3233</v>
      </c>
      <c r="I12" s="13">
        <v>333821</v>
      </c>
      <c r="J12" s="13">
        <v>131</v>
      </c>
      <c r="K12" s="13" t="s">
        <v>21</v>
      </c>
      <c r="L12" s="13">
        <v>1</v>
      </c>
      <c r="M12" s="21">
        <v>86022</v>
      </c>
      <c r="N12" s="21">
        <f t="shared" si="1"/>
        <v>86022</v>
      </c>
      <c r="O12" s="13" t="s">
        <v>22</v>
      </c>
    </row>
    <row r="13" spans="1:16" ht="15" customHeight="1" x14ac:dyDescent="0.2">
      <c r="A13" s="13" t="s">
        <v>18</v>
      </c>
      <c r="B13" s="14" t="s">
        <v>2482</v>
      </c>
      <c r="C13" s="13">
        <f t="shared" si="0"/>
        <v>49</v>
      </c>
      <c r="D13" s="13">
        <v>1</v>
      </c>
      <c r="G13" s="15" t="s">
        <v>3225</v>
      </c>
      <c r="H13" s="13" t="s">
        <v>3234</v>
      </c>
      <c r="I13" s="13">
        <v>131</v>
      </c>
      <c r="J13" s="13">
        <v>5113</v>
      </c>
      <c r="K13" s="13" t="s">
        <v>21</v>
      </c>
      <c r="L13" s="13">
        <v>1</v>
      </c>
      <c r="M13" s="21">
        <v>10752688</v>
      </c>
      <c r="N13" s="21">
        <f t="shared" si="1"/>
        <v>10752688</v>
      </c>
      <c r="O13" s="13" t="s">
        <v>22</v>
      </c>
    </row>
    <row r="14" spans="1:16" ht="15" customHeight="1" x14ac:dyDescent="0.2">
      <c r="A14" s="13" t="s">
        <v>18</v>
      </c>
      <c r="B14" s="14" t="s">
        <v>2482</v>
      </c>
      <c r="C14" s="13">
        <f t="shared" si="0"/>
        <v>50</v>
      </c>
      <c r="D14" s="13">
        <v>1</v>
      </c>
      <c r="G14" s="15" t="s">
        <v>3225</v>
      </c>
      <c r="H14" s="13" t="s">
        <v>3235</v>
      </c>
      <c r="I14" s="13">
        <v>333821</v>
      </c>
      <c r="J14" s="13">
        <v>131</v>
      </c>
      <c r="K14" s="13" t="s">
        <v>21</v>
      </c>
      <c r="L14" s="13">
        <v>1</v>
      </c>
      <c r="M14" s="21">
        <v>107527</v>
      </c>
      <c r="N14" s="21">
        <f t="shared" si="1"/>
        <v>107527</v>
      </c>
      <c r="O14" s="13" t="s">
        <v>22</v>
      </c>
    </row>
    <row r="15" spans="1:16" ht="15" customHeight="1" x14ac:dyDescent="0.2">
      <c r="A15" s="13" t="s">
        <v>18</v>
      </c>
      <c r="B15" s="14" t="s">
        <v>1422</v>
      </c>
      <c r="C15" s="13">
        <f t="shared" si="0"/>
        <v>51</v>
      </c>
      <c r="D15" s="13">
        <v>1</v>
      </c>
      <c r="G15" s="15" t="s">
        <v>3223</v>
      </c>
      <c r="H15" s="13" t="s">
        <v>3236</v>
      </c>
      <c r="I15" s="13">
        <v>131</v>
      </c>
      <c r="J15" s="13">
        <v>5113</v>
      </c>
      <c r="K15" s="13" t="s">
        <v>21</v>
      </c>
      <c r="L15" s="13">
        <v>1</v>
      </c>
      <c r="M15" s="21">
        <v>45698924</v>
      </c>
      <c r="N15" s="21">
        <f t="shared" si="1"/>
        <v>45698924</v>
      </c>
      <c r="O15" s="13" t="s">
        <v>22</v>
      </c>
    </row>
    <row r="16" spans="1:16" ht="15" customHeight="1" x14ac:dyDescent="0.2">
      <c r="A16" s="13" t="s">
        <v>18</v>
      </c>
      <c r="B16" s="14" t="s">
        <v>1422</v>
      </c>
      <c r="C16" s="13">
        <f t="shared" si="0"/>
        <v>52</v>
      </c>
      <c r="D16" s="13">
        <v>1</v>
      </c>
      <c r="G16" s="15" t="s">
        <v>3223</v>
      </c>
      <c r="H16" s="13" t="s">
        <v>3237</v>
      </c>
      <c r="I16" s="13">
        <v>333821</v>
      </c>
      <c r="J16" s="13">
        <v>131</v>
      </c>
      <c r="K16" s="13" t="s">
        <v>21</v>
      </c>
      <c r="L16" s="13">
        <v>1</v>
      </c>
      <c r="M16" s="21">
        <v>456989</v>
      </c>
      <c r="N16" s="21">
        <f t="shared" si="1"/>
        <v>456989</v>
      </c>
      <c r="O16" s="13" t="s">
        <v>22</v>
      </c>
    </row>
    <row r="17" spans="1:15" ht="15" customHeight="1" x14ac:dyDescent="0.2">
      <c r="A17" s="13" t="s">
        <v>18</v>
      </c>
      <c r="B17" s="14" t="s">
        <v>2485</v>
      </c>
      <c r="C17" s="13">
        <f t="shared" si="0"/>
        <v>53</v>
      </c>
      <c r="D17" s="13">
        <v>1</v>
      </c>
      <c r="G17" s="15" t="s">
        <v>784</v>
      </c>
      <c r="H17" s="13" t="s">
        <v>3238</v>
      </c>
      <c r="I17" s="13">
        <v>131</v>
      </c>
      <c r="J17" s="13">
        <v>5113</v>
      </c>
      <c r="K17" s="13" t="s">
        <v>21</v>
      </c>
      <c r="L17" s="13">
        <v>1</v>
      </c>
      <c r="M17" s="21">
        <v>3225806</v>
      </c>
      <c r="N17" s="21">
        <f t="shared" si="1"/>
        <v>3225806</v>
      </c>
      <c r="O17" s="13" t="s">
        <v>22</v>
      </c>
    </row>
    <row r="18" spans="1:15" ht="15" customHeight="1" x14ac:dyDescent="0.2">
      <c r="A18" s="13" t="s">
        <v>18</v>
      </c>
      <c r="B18" s="14" t="s">
        <v>2485</v>
      </c>
      <c r="C18" s="13">
        <f t="shared" si="0"/>
        <v>54</v>
      </c>
      <c r="D18" s="13">
        <v>1</v>
      </c>
      <c r="G18" s="15" t="s">
        <v>784</v>
      </c>
      <c r="H18" s="13" t="s">
        <v>3239</v>
      </c>
      <c r="I18" s="13">
        <v>333821</v>
      </c>
      <c r="J18" s="13">
        <v>131</v>
      </c>
      <c r="K18" s="13" t="s">
        <v>21</v>
      </c>
      <c r="L18" s="13">
        <v>1</v>
      </c>
      <c r="M18" s="21">
        <v>32258</v>
      </c>
      <c r="N18" s="21">
        <f t="shared" si="1"/>
        <v>32258</v>
      </c>
      <c r="O18" s="13" t="s">
        <v>22</v>
      </c>
    </row>
    <row r="19" spans="1:15" ht="15" customHeight="1" x14ac:dyDescent="0.2">
      <c r="A19" s="13" t="s">
        <v>18</v>
      </c>
      <c r="B19" s="14" t="s">
        <v>2356</v>
      </c>
      <c r="C19" s="13">
        <f t="shared" si="0"/>
        <v>55</v>
      </c>
      <c r="D19" s="13">
        <v>1</v>
      </c>
      <c r="G19" s="15" t="s">
        <v>158</v>
      </c>
      <c r="H19" s="13" t="s">
        <v>3240</v>
      </c>
      <c r="I19" s="13">
        <v>64277</v>
      </c>
      <c r="J19" s="13">
        <v>331</v>
      </c>
      <c r="K19" s="13" t="s">
        <v>21</v>
      </c>
      <c r="L19" s="13">
        <v>1</v>
      </c>
      <c r="M19" s="21">
        <v>2700000</v>
      </c>
      <c r="N19" s="21">
        <f t="shared" si="1"/>
        <v>2700000</v>
      </c>
      <c r="O19" s="13" t="s">
        <v>22</v>
      </c>
    </row>
    <row r="20" spans="1:15" ht="15" customHeight="1" x14ac:dyDescent="0.2">
      <c r="A20" s="13" t="s">
        <v>18</v>
      </c>
      <c r="B20" s="14" t="s">
        <v>2477</v>
      </c>
      <c r="C20" s="13">
        <f t="shared" si="0"/>
        <v>56</v>
      </c>
      <c r="D20" s="13">
        <v>1</v>
      </c>
      <c r="G20" s="15" t="s">
        <v>19</v>
      </c>
      <c r="H20" s="13" t="s">
        <v>3694</v>
      </c>
      <c r="I20" s="13">
        <v>64277</v>
      </c>
      <c r="J20" s="13">
        <v>331</v>
      </c>
      <c r="K20" s="13" t="s">
        <v>21</v>
      </c>
      <c r="L20" s="13">
        <v>1</v>
      </c>
      <c r="M20" s="21">
        <v>16000</v>
      </c>
      <c r="N20" s="21">
        <f t="shared" si="1"/>
        <v>16000</v>
      </c>
      <c r="O20" s="13" t="s">
        <v>22</v>
      </c>
    </row>
    <row r="21" spans="1:15" ht="15" customHeight="1" x14ac:dyDescent="0.2">
      <c r="A21" s="13" t="s">
        <v>18</v>
      </c>
      <c r="B21" s="14" t="s">
        <v>2477</v>
      </c>
      <c r="C21" s="13">
        <f t="shared" si="0"/>
        <v>57</v>
      </c>
      <c r="D21" s="13">
        <v>1</v>
      </c>
      <c r="G21" s="15" t="s">
        <v>19</v>
      </c>
      <c r="H21" s="13" t="s">
        <v>3695</v>
      </c>
      <c r="I21" s="13">
        <v>64277</v>
      </c>
      <c r="J21" s="13">
        <v>331</v>
      </c>
      <c r="K21" s="13" t="s">
        <v>21</v>
      </c>
      <c r="L21" s="13">
        <v>1</v>
      </c>
      <c r="M21" s="21">
        <v>59000</v>
      </c>
      <c r="N21" s="21">
        <f t="shared" si="1"/>
        <v>59000</v>
      </c>
      <c r="O21" s="13" t="s">
        <v>22</v>
      </c>
    </row>
    <row r="22" spans="1:15" ht="15" customHeight="1" x14ac:dyDescent="0.2">
      <c r="A22" s="13" t="s">
        <v>18</v>
      </c>
      <c r="B22" s="14" t="s">
        <v>2477</v>
      </c>
      <c r="C22" s="13">
        <f t="shared" si="0"/>
        <v>58</v>
      </c>
      <c r="D22" s="13">
        <v>1</v>
      </c>
      <c r="G22" s="15" t="s">
        <v>19</v>
      </c>
      <c r="H22" s="13" t="s">
        <v>3696</v>
      </c>
      <c r="I22" s="13">
        <v>64277</v>
      </c>
      <c r="J22" s="13">
        <v>331</v>
      </c>
      <c r="K22" s="13" t="s">
        <v>21</v>
      </c>
      <c r="L22" s="13">
        <v>1</v>
      </c>
      <c r="M22" s="21">
        <v>36000</v>
      </c>
      <c r="N22" s="21">
        <f t="shared" si="1"/>
        <v>36000</v>
      </c>
      <c r="O22" s="13" t="s">
        <v>22</v>
      </c>
    </row>
    <row r="23" spans="1:15" ht="15" customHeight="1" x14ac:dyDescent="0.2">
      <c r="A23" s="13" t="s">
        <v>18</v>
      </c>
      <c r="B23" s="14" t="s">
        <v>2354</v>
      </c>
      <c r="C23" s="13">
        <f t="shared" si="0"/>
        <v>59</v>
      </c>
      <c r="D23" s="13">
        <v>1</v>
      </c>
      <c r="G23" s="15" t="s">
        <v>19</v>
      </c>
      <c r="H23" s="13" t="s">
        <v>3697</v>
      </c>
      <c r="I23" s="13">
        <v>64277</v>
      </c>
      <c r="J23" s="13">
        <v>331</v>
      </c>
      <c r="K23" s="13" t="s">
        <v>21</v>
      </c>
      <c r="L23" s="13">
        <v>1</v>
      </c>
      <c r="M23" s="21">
        <v>31000</v>
      </c>
      <c r="N23" s="21">
        <f t="shared" si="1"/>
        <v>31000</v>
      </c>
      <c r="O23" s="13" t="s">
        <v>22</v>
      </c>
    </row>
    <row r="24" spans="1:15" ht="15" customHeight="1" x14ac:dyDescent="0.2">
      <c r="A24" s="13" t="s">
        <v>18</v>
      </c>
      <c r="B24" s="14" t="s">
        <v>2354</v>
      </c>
      <c r="C24" s="13">
        <f t="shared" si="0"/>
        <v>60</v>
      </c>
      <c r="D24" s="13">
        <v>1</v>
      </c>
      <c r="G24" s="15" t="s">
        <v>19</v>
      </c>
      <c r="H24" s="13" t="s">
        <v>3698</v>
      </c>
      <c r="I24" s="13">
        <v>64277</v>
      </c>
      <c r="J24" s="13">
        <v>331</v>
      </c>
      <c r="K24" s="13" t="s">
        <v>21</v>
      </c>
      <c r="L24" s="13">
        <v>1</v>
      </c>
      <c r="M24" s="21">
        <v>36000</v>
      </c>
      <c r="N24" s="21">
        <f t="shared" si="1"/>
        <v>36000</v>
      </c>
      <c r="O24" s="13" t="s">
        <v>22</v>
      </c>
    </row>
    <row r="25" spans="1:15" ht="15" customHeight="1" x14ac:dyDescent="0.2">
      <c r="A25" s="13" t="s">
        <v>18</v>
      </c>
      <c r="B25" s="14" t="s">
        <v>3142</v>
      </c>
      <c r="C25" s="13">
        <f t="shared" si="0"/>
        <v>61</v>
      </c>
      <c r="D25" s="13">
        <v>1</v>
      </c>
      <c r="G25" s="15" t="s">
        <v>19</v>
      </c>
      <c r="H25" s="13" t="s">
        <v>3699</v>
      </c>
      <c r="I25" s="13">
        <v>64277</v>
      </c>
      <c r="J25" s="13">
        <v>331</v>
      </c>
      <c r="K25" s="13" t="s">
        <v>21</v>
      </c>
      <c r="L25" s="13">
        <v>1</v>
      </c>
      <c r="M25" s="21">
        <v>25000</v>
      </c>
      <c r="N25" s="21">
        <f t="shared" si="1"/>
        <v>25000</v>
      </c>
      <c r="O25" s="13" t="s">
        <v>22</v>
      </c>
    </row>
    <row r="26" spans="1:15" ht="15" customHeight="1" x14ac:dyDescent="0.2">
      <c r="A26" s="13" t="s">
        <v>18</v>
      </c>
      <c r="B26" s="14" t="s">
        <v>3142</v>
      </c>
      <c r="C26" s="13">
        <f t="shared" si="0"/>
        <v>62</v>
      </c>
      <c r="D26" s="13">
        <v>1</v>
      </c>
      <c r="G26" s="15" t="s">
        <v>19</v>
      </c>
      <c r="H26" s="13" t="s">
        <v>3700</v>
      </c>
      <c r="I26" s="13">
        <v>64277</v>
      </c>
      <c r="J26" s="13">
        <v>331</v>
      </c>
      <c r="K26" s="13" t="s">
        <v>21</v>
      </c>
      <c r="L26" s="13">
        <v>1</v>
      </c>
      <c r="M26" s="21">
        <v>115000</v>
      </c>
      <c r="N26" s="21">
        <f t="shared" si="1"/>
        <v>115000</v>
      </c>
      <c r="O26" s="13" t="s">
        <v>22</v>
      </c>
    </row>
    <row r="27" spans="1:15" ht="15" customHeight="1" x14ac:dyDescent="0.2">
      <c r="A27" s="13" t="s">
        <v>18</v>
      </c>
      <c r="B27" s="14" t="s">
        <v>2299</v>
      </c>
      <c r="C27" s="13">
        <f t="shared" si="0"/>
        <v>63</v>
      </c>
      <c r="D27" s="13">
        <v>1</v>
      </c>
      <c r="G27" s="15" t="s">
        <v>19</v>
      </c>
      <c r="H27" s="13" t="s">
        <v>3701</v>
      </c>
      <c r="I27" s="13">
        <v>64277</v>
      </c>
      <c r="J27" s="13">
        <v>331</v>
      </c>
      <c r="K27" s="13" t="s">
        <v>21</v>
      </c>
      <c r="L27" s="13">
        <v>1</v>
      </c>
      <c r="M27" s="21">
        <v>31000</v>
      </c>
      <c r="N27" s="21">
        <f t="shared" si="1"/>
        <v>31000</v>
      </c>
      <c r="O27" s="13" t="s">
        <v>22</v>
      </c>
    </row>
    <row r="28" spans="1:15" ht="15" customHeight="1" x14ac:dyDescent="0.2">
      <c r="A28" s="13" t="s">
        <v>18</v>
      </c>
      <c r="B28" s="14" t="s">
        <v>2355</v>
      </c>
      <c r="C28" s="13">
        <f t="shared" si="0"/>
        <v>64</v>
      </c>
      <c r="D28" s="13">
        <v>1</v>
      </c>
      <c r="G28" s="15" t="s">
        <v>19</v>
      </c>
      <c r="H28" s="13" t="s">
        <v>3702</v>
      </c>
      <c r="I28" s="13">
        <v>64277</v>
      </c>
      <c r="J28" s="13">
        <v>331</v>
      </c>
      <c r="K28" s="13" t="s">
        <v>21</v>
      </c>
      <c r="L28" s="13">
        <v>1</v>
      </c>
      <c r="M28" s="21">
        <v>15000</v>
      </c>
      <c r="N28" s="21">
        <f t="shared" si="1"/>
        <v>15000</v>
      </c>
      <c r="O28" s="13" t="s">
        <v>22</v>
      </c>
    </row>
    <row r="29" spans="1:15" ht="15" customHeight="1" x14ac:dyDescent="0.2">
      <c r="A29" s="13" t="s">
        <v>18</v>
      </c>
      <c r="B29" s="14" t="s">
        <v>2355</v>
      </c>
      <c r="C29" s="13">
        <f t="shared" si="0"/>
        <v>65</v>
      </c>
      <c r="D29" s="13">
        <v>1</v>
      </c>
      <c r="G29" s="15" t="s">
        <v>19</v>
      </c>
      <c r="H29" s="13" t="s">
        <v>3703</v>
      </c>
      <c r="I29" s="13">
        <v>64277</v>
      </c>
      <c r="J29" s="13">
        <v>331</v>
      </c>
      <c r="K29" s="13" t="s">
        <v>21</v>
      </c>
      <c r="L29" s="13">
        <v>1</v>
      </c>
      <c r="M29" s="21">
        <v>105000</v>
      </c>
      <c r="N29" s="21">
        <f t="shared" si="1"/>
        <v>105000</v>
      </c>
      <c r="O29" s="13" t="s">
        <v>22</v>
      </c>
    </row>
    <row r="30" spans="1:15" ht="15" customHeight="1" x14ac:dyDescent="0.2">
      <c r="A30" s="13" t="s">
        <v>18</v>
      </c>
      <c r="B30" s="14" t="s">
        <v>3241</v>
      </c>
      <c r="C30" s="13">
        <f t="shared" si="0"/>
        <v>66</v>
      </c>
      <c r="D30" s="13">
        <v>1</v>
      </c>
      <c r="G30" s="15" t="s">
        <v>19</v>
      </c>
      <c r="H30" s="13" t="s">
        <v>3704</v>
      </c>
      <c r="I30" s="13">
        <v>64277</v>
      </c>
      <c r="J30" s="13">
        <v>331</v>
      </c>
      <c r="K30" s="13" t="s">
        <v>21</v>
      </c>
      <c r="L30" s="13">
        <v>1</v>
      </c>
      <c r="M30" s="21">
        <v>98000</v>
      </c>
      <c r="N30" s="21">
        <f t="shared" si="1"/>
        <v>98000</v>
      </c>
      <c r="O30" s="13" t="s">
        <v>22</v>
      </c>
    </row>
    <row r="31" spans="1:15" ht="15" customHeight="1" x14ac:dyDescent="0.2">
      <c r="A31" s="13" t="s">
        <v>18</v>
      </c>
      <c r="B31" s="14" t="s">
        <v>3241</v>
      </c>
      <c r="C31" s="13">
        <f t="shared" si="0"/>
        <v>67</v>
      </c>
      <c r="D31" s="13">
        <v>1</v>
      </c>
      <c r="G31" s="15" t="s">
        <v>19</v>
      </c>
      <c r="H31" s="13" t="s">
        <v>3705</v>
      </c>
      <c r="I31" s="13">
        <v>64277</v>
      </c>
      <c r="J31" s="13">
        <v>331</v>
      </c>
      <c r="K31" s="13" t="s">
        <v>21</v>
      </c>
      <c r="L31" s="13">
        <v>1</v>
      </c>
      <c r="M31" s="21">
        <v>129000</v>
      </c>
      <c r="N31" s="21">
        <f t="shared" si="1"/>
        <v>129000</v>
      </c>
      <c r="O31" s="13" t="s">
        <v>22</v>
      </c>
    </row>
    <row r="32" spans="1:15" ht="15" customHeight="1" x14ac:dyDescent="0.2">
      <c r="A32" s="13" t="s">
        <v>18</v>
      </c>
      <c r="B32" s="14" t="s">
        <v>3241</v>
      </c>
      <c r="C32" s="13">
        <f t="shared" si="0"/>
        <v>68</v>
      </c>
      <c r="D32" s="13">
        <v>1</v>
      </c>
      <c r="G32" s="15" t="s">
        <v>19</v>
      </c>
      <c r="H32" s="13" t="s">
        <v>3706</v>
      </c>
      <c r="I32" s="13">
        <v>64277</v>
      </c>
      <c r="J32" s="13">
        <v>331</v>
      </c>
      <c r="K32" s="13" t="s">
        <v>21</v>
      </c>
      <c r="L32" s="13">
        <v>1</v>
      </c>
      <c r="M32" s="21">
        <v>65000</v>
      </c>
      <c r="N32" s="21">
        <f t="shared" si="1"/>
        <v>65000</v>
      </c>
      <c r="O32" s="13" t="s">
        <v>22</v>
      </c>
    </row>
    <row r="33" spans="1:15" ht="15" customHeight="1" x14ac:dyDescent="0.2">
      <c r="A33" s="13" t="s">
        <v>18</v>
      </c>
      <c r="B33" s="14" t="s">
        <v>2115</v>
      </c>
      <c r="C33" s="13">
        <f t="shared" si="0"/>
        <v>69</v>
      </c>
      <c r="D33" s="13">
        <v>1</v>
      </c>
      <c r="G33" s="15" t="s">
        <v>2446</v>
      </c>
      <c r="H33" s="13" t="s">
        <v>3710</v>
      </c>
      <c r="I33" s="13">
        <v>64277</v>
      </c>
      <c r="J33" s="13">
        <v>331</v>
      </c>
      <c r="K33" s="13" t="s">
        <v>21</v>
      </c>
      <c r="L33" s="13">
        <v>1</v>
      </c>
      <c r="M33" s="21">
        <v>1981800</v>
      </c>
      <c r="N33" s="21">
        <f t="shared" si="1"/>
        <v>1981800</v>
      </c>
      <c r="O33" s="13" t="s">
        <v>22</v>
      </c>
    </row>
    <row r="34" spans="1:15" ht="15" customHeight="1" x14ac:dyDescent="0.2">
      <c r="A34" s="13" t="s">
        <v>18</v>
      </c>
      <c r="B34" s="14" t="s">
        <v>2115</v>
      </c>
      <c r="C34" s="13">
        <f t="shared" si="0"/>
        <v>70</v>
      </c>
      <c r="D34" s="13">
        <v>1</v>
      </c>
      <c r="G34" s="15" t="s">
        <v>19</v>
      </c>
      <c r="H34" s="13" t="s">
        <v>3707</v>
      </c>
      <c r="I34" s="13">
        <v>64277</v>
      </c>
      <c r="J34" s="13">
        <v>331</v>
      </c>
      <c r="K34" s="13" t="s">
        <v>21</v>
      </c>
      <c r="L34" s="13">
        <v>1</v>
      </c>
      <c r="M34" s="21">
        <v>16000</v>
      </c>
      <c r="N34" s="21">
        <f t="shared" si="1"/>
        <v>16000</v>
      </c>
      <c r="O34" s="13" t="s">
        <v>22</v>
      </c>
    </row>
    <row r="35" spans="1:15" ht="15" customHeight="1" x14ac:dyDescent="0.2">
      <c r="A35" s="13" t="s">
        <v>18</v>
      </c>
      <c r="B35" s="14" t="s">
        <v>2356</v>
      </c>
      <c r="C35" s="13">
        <f t="shared" si="0"/>
        <v>71</v>
      </c>
      <c r="D35" s="13">
        <v>1</v>
      </c>
      <c r="G35" s="15" t="s">
        <v>46</v>
      </c>
      <c r="H35" s="13" t="s">
        <v>3711</v>
      </c>
      <c r="I35" s="13">
        <v>64277</v>
      </c>
      <c r="J35" s="13">
        <v>331</v>
      </c>
      <c r="K35" s="13" t="s">
        <v>21</v>
      </c>
      <c r="L35" s="13">
        <v>1</v>
      </c>
      <c r="M35" s="21">
        <v>611280</v>
      </c>
      <c r="N35" s="21">
        <f t="shared" si="1"/>
        <v>611280</v>
      </c>
      <c r="O35" s="13" t="s">
        <v>22</v>
      </c>
    </row>
    <row r="36" spans="1:15" ht="15" customHeight="1" x14ac:dyDescent="0.2">
      <c r="A36" s="13" t="s">
        <v>18</v>
      </c>
      <c r="B36" s="14" t="s">
        <v>2356</v>
      </c>
      <c r="C36" s="13">
        <f t="shared" si="0"/>
        <v>72</v>
      </c>
      <c r="D36" s="13">
        <v>1</v>
      </c>
      <c r="G36" s="15" t="s">
        <v>19</v>
      </c>
      <c r="H36" s="13" t="s">
        <v>3708</v>
      </c>
      <c r="I36" s="13">
        <v>64277</v>
      </c>
      <c r="J36" s="13">
        <v>331</v>
      </c>
      <c r="K36" s="13" t="s">
        <v>21</v>
      </c>
      <c r="L36" s="13">
        <v>1</v>
      </c>
      <c r="M36" s="21">
        <v>13000</v>
      </c>
      <c r="N36" s="21">
        <f t="shared" si="1"/>
        <v>13000</v>
      </c>
      <c r="O36" s="13" t="s">
        <v>22</v>
      </c>
    </row>
    <row r="37" spans="1:15" ht="15" customHeight="1" x14ac:dyDescent="0.2">
      <c r="A37" s="13" t="s">
        <v>18</v>
      </c>
      <c r="B37" s="14" t="s">
        <v>2356</v>
      </c>
      <c r="C37" s="13">
        <f t="shared" si="0"/>
        <v>73</v>
      </c>
      <c r="D37" s="13">
        <v>1</v>
      </c>
      <c r="G37" s="15" t="s">
        <v>19</v>
      </c>
      <c r="H37" s="13" t="s">
        <v>3709</v>
      </c>
      <c r="I37" s="13">
        <v>64277</v>
      </c>
      <c r="J37" s="13">
        <v>331</v>
      </c>
      <c r="K37" s="13" t="s">
        <v>21</v>
      </c>
      <c r="L37" s="13">
        <v>1</v>
      </c>
      <c r="M37" s="21">
        <v>84000</v>
      </c>
      <c r="N37" s="21">
        <f t="shared" si="1"/>
        <v>84000</v>
      </c>
      <c r="O37" s="13" t="s">
        <v>22</v>
      </c>
    </row>
    <row r="38" spans="1:15" ht="15" customHeight="1" x14ac:dyDescent="0.2">
      <c r="A38" s="13" t="s">
        <v>18</v>
      </c>
      <c r="B38" s="14" t="s">
        <v>2075</v>
      </c>
      <c r="C38" s="13">
        <f t="shared" si="0"/>
        <v>74</v>
      </c>
      <c r="D38" s="13">
        <v>1</v>
      </c>
      <c r="G38" s="15" t="s">
        <v>158</v>
      </c>
      <c r="H38" s="13" t="s">
        <v>3242</v>
      </c>
      <c r="I38" s="13">
        <v>64277</v>
      </c>
      <c r="J38" s="13">
        <v>331</v>
      </c>
      <c r="K38" s="13" t="s">
        <v>21</v>
      </c>
      <c r="L38" s="13">
        <v>1</v>
      </c>
      <c r="M38" s="21">
        <v>2700000</v>
      </c>
      <c r="N38" s="21">
        <f t="shared" si="1"/>
        <v>2700000</v>
      </c>
      <c r="O38" s="13" t="s">
        <v>22</v>
      </c>
    </row>
    <row r="39" spans="1:15" ht="15" customHeight="1" x14ac:dyDescent="0.2">
      <c r="A39" s="13" t="s">
        <v>18</v>
      </c>
      <c r="B39" s="14" t="s">
        <v>2121</v>
      </c>
      <c r="C39" s="13">
        <f t="shared" si="0"/>
        <v>75</v>
      </c>
      <c r="D39" s="13">
        <v>1</v>
      </c>
      <c r="G39" s="15" t="s">
        <v>209</v>
      </c>
      <c r="H39" s="13" t="s">
        <v>3712</v>
      </c>
      <c r="I39" s="13">
        <v>64277</v>
      </c>
      <c r="J39" s="13">
        <v>331</v>
      </c>
      <c r="K39" s="13" t="s">
        <v>21</v>
      </c>
      <c r="L39" s="13">
        <v>1</v>
      </c>
      <c r="M39" s="21">
        <v>1015200</v>
      </c>
      <c r="N39" s="21">
        <f t="shared" si="1"/>
        <v>1015200</v>
      </c>
      <c r="O39" s="13" t="s">
        <v>22</v>
      </c>
    </row>
    <row r="40" spans="1:15" ht="15" customHeight="1" x14ac:dyDescent="0.2">
      <c r="A40" s="13" t="s">
        <v>18</v>
      </c>
      <c r="B40" s="14" t="s">
        <v>1417</v>
      </c>
      <c r="C40" s="13">
        <f t="shared" si="0"/>
        <v>76</v>
      </c>
      <c r="D40" s="13">
        <v>1</v>
      </c>
      <c r="G40" s="15" t="s">
        <v>209</v>
      </c>
      <c r="H40" s="13" t="s">
        <v>3713</v>
      </c>
      <c r="I40" s="13">
        <v>64277</v>
      </c>
      <c r="J40" s="13">
        <v>331</v>
      </c>
      <c r="K40" s="13" t="s">
        <v>21</v>
      </c>
      <c r="L40" s="13">
        <v>1</v>
      </c>
      <c r="M40" s="21">
        <v>4710800</v>
      </c>
      <c r="N40" s="21">
        <f t="shared" si="1"/>
        <v>4710800</v>
      </c>
      <c r="O40" s="13" t="s">
        <v>22</v>
      </c>
    </row>
    <row r="41" spans="1:15" ht="15" customHeight="1" x14ac:dyDescent="0.2">
      <c r="A41" s="13" t="s">
        <v>18</v>
      </c>
      <c r="B41" s="14" t="s">
        <v>2048</v>
      </c>
      <c r="C41" s="13">
        <f t="shared" si="0"/>
        <v>77</v>
      </c>
      <c r="D41" s="13">
        <v>1</v>
      </c>
      <c r="G41" s="15" t="s">
        <v>3243</v>
      </c>
      <c r="H41" s="13" t="s">
        <v>3714</v>
      </c>
      <c r="I41" s="13">
        <v>64277</v>
      </c>
      <c r="J41" s="13">
        <v>331</v>
      </c>
      <c r="K41" s="13" t="s">
        <v>21</v>
      </c>
      <c r="L41" s="13">
        <v>1</v>
      </c>
      <c r="M41" s="21">
        <v>1269000</v>
      </c>
      <c r="N41" s="21">
        <f t="shared" si="1"/>
        <v>1269000</v>
      </c>
      <c r="O41" s="13" t="s">
        <v>22</v>
      </c>
    </row>
    <row r="42" spans="1:15" ht="15" customHeight="1" x14ac:dyDescent="0.2">
      <c r="A42" s="13" t="s">
        <v>18</v>
      </c>
      <c r="B42" s="14" t="s">
        <v>1423</v>
      </c>
      <c r="C42" s="13">
        <f t="shared" si="0"/>
        <v>78</v>
      </c>
      <c r="D42" s="13">
        <v>1</v>
      </c>
      <c r="G42" s="15" t="s">
        <v>1688</v>
      </c>
      <c r="H42" s="13" t="s">
        <v>3717</v>
      </c>
      <c r="I42" s="13">
        <v>64277</v>
      </c>
      <c r="J42" s="13">
        <v>331</v>
      </c>
      <c r="K42" s="13" t="s">
        <v>21</v>
      </c>
      <c r="L42" s="13">
        <v>1</v>
      </c>
      <c r="M42" s="21">
        <v>961870</v>
      </c>
      <c r="N42" s="21">
        <f t="shared" si="1"/>
        <v>961870</v>
      </c>
      <c r="O42" s="13" t="s">
        <v>22</v>
      </c>
    </row>
    <row r="43" spans="1:15" ht="15" customHeight="1" x14ac:dyDescent="0.2">
      <c r="A43" s="13" t="s">
        <v>18</v>
      </c>
      <c r="B43" s="14" t="s">
        <v>1425</v>
      </c>
      <c r="C43" s="13">
        <f t="shared" si="0"/>
        <v>79</v>
      </c>
      <c r="D43" s="13">
        <v>1</v>
      </c>
      <c r="G43" s="15" t="s">
        <v>3244</v>
      </c>
      <c r="H43" s="13" t="s">
        <v>3718</v>
      </c>
      <c r="I43" s="13">
        <v>64277</v>
      </c>
      <c r="J43" s="13">
        <v>331</v>
      </c>
      <c r="K43" s="13" t="s">
        <v>21</v>
      </c>
      <c r="L43" s="13">
        <v>1</v>
      </c>
      <c r="M43" s="21">
        <v>2460000</v>
      </c>
      <c r="N43" s="21">
        <f t="shared" si="1"/>
        <v>2460000</v>
      </c>
      <c r="O43" s="13" t="s">
        <v>22</v>
      </c>
    </row>
    <row r="44" spans="1:15" ht="15" customHeight="1" x14ac:dyDescent="0.2">
      <c r="A44" s="13" t="s">
        <v>18</v>
      </c>
      <c r="B44" s="14" t="s">
        <v>1425</v>
      </c>
      <c r="C44" s="13">
        <f t="shared" si="0"/>
        <v>80</v>
      </c>
      <c r="D44" s="13">
        <v>1</v>
      </c>
      <c r="G44" s="15" t="s">
        <v>85</v>
      </c>
      <c r="H44" s="13" t="s">
        <v>3715</v>
      </c>
      <c r="I44" s="13">
        <v>64277</v>
      </c>
      <c r="J44" s="13">
        <v>331</v>
      </c>
      <c r="K44" s="13" t="s">
        <v>21</v>
      </c>
      <c r="L44" s="13">
        <v>1</v>
      </c>
      <c r="M44" s="21">
        <v>1995840</v>
      </c>
      <c r="N44" s="21">
        <f t="shared" si="1"/>
        <v>1995840</v>
      </c>
      <c r="O44" s="13" t="s">
        <v>22</v>
      </c>
    </row>
    <row r="45" spans="1:15" ht="15" customHeight="1" x14ac:dyDescent="0.2">
      <c r="A45" s="13" t="s">
        <v>18</v>
      </c>
      <c r="B45" s="14" t="s">
        <v>2485</v>
      </c>
      <c r="C45" s="13">
        <f t="shared" si="0"/>
        <v>81</v>
      </c>
      <c r="D45" s="13">
        <v>1</v>
      </c>
      <c r="G45" s="15" t="s">
        <v>209</v>
      </c>
      <c r="H45" s="13" t="s">
        <v>3716</v>
      </c>
      <c r="I45" s="13">
        <v>64277</v>
      </c>
      <c r="J45" s="13">
        <v>331</v>
      </c>
      <c r="K45" s="13" t="s">
        <v>21</v>
      </c>
      <c r="L45" s="13">
        <v>1</v>
      </c>
      <c r="M45" s="21">
        <v>4099140</v>
      </c>
      <c r="N45" s="21">
        <f t="shared" si="1"/>
        <v>4099140</v>
      </c>
      <c r="O45" s="13" t="s">
        <v>22</v>
      </c>
    </row>
    <row r="46" spans="1:15" ht="15" customHeight="1" x14ac:dyDescent="0.2">
      <c r="A46" s="24" t="s">
        <v>18</v>
      </c>
      <c r="B46" s="36">
        <v>45869</v>
      </c>
      <c r="C46" s="13">
        <f t="shared" si="0"/>
        <v>82</v>
      </c>
      <c r="D46" s="13">
        <v>1</v>
      </c>
      <c r="E46" s="24"/>
      <c r="F46" s="24"/>
      <c r="G46" s="37" t="s">
        <v>1235</v>
      </c>
      <c r="H46" s="24" t="s">
        <v>147</v>
      </c>
      <c r="I46" s="24">
        <v>64271</v>
      </c>
      <c r="J46" s="24">
        <v>3383</v>
      </c>
      <c r="K46" s="24" t="s">
        <v>21</v>
      </c>
      <c r="L46" s="24">
        <v>1</v>
      </c>
      <c r="M46" s="39">
        <v>690300</v>
      </c>
      <c r="N46" s="39">
        <f t="shared" si="1"/>
        <v>690300</v>
      </c>
      <c r="O46" s="24" t="s">
        <v>22</v>
      </c>
    </row>
    <row r="47" spans="1:15" ht="15" customHeight="1" x14ac:dyDescent="0.2">
      <c r="A47" s="24" t="s">
        <v>18</v>
      </c>
      <c r="B47" s="36">
        <v>45900</v>
      </c>
      <c r="C47" s="13">
        <f t="shared" si="0"/>
        <v>83</v>
      </c>
      <c r="D47" s="13">
        <v>1</v>
      </c>
      <c r="E47" s="24"/>
      <c r="F47" s="24"/>
      <c r="G47" s="37" t="s">
        <v>1235</v>
      </c>
      <c r="H47" s="24" t="s">
        <v>280</v>
      </c>
      <c r="I47" s="24">
        <v>64271</v>
      </c>
      <c r="J47" s="24">
        <v>3383</v>
      </c>
      <c r="K47" s="24" t="s">
        <v>21</v>
      </c>
      <c r="L47" s="24">
        <v>1</v>
      </c>
      <c r="M47" s="39">
        <v>690300</v>
      </c>
      <c r="N47" s="39">
        <f t="shared" si="1"/>
        <v>690300</v>
      </c>
      <c r="O47" s="24" t="s">
        <v>22</v>
      </c>
    </row>
    <row r="48" spans="1:15" ht="15" customHeight="1" x14ac:dyDescent="0.2">
      <c r="A48" s="24" t="s">
        <v>18</v>
      </c>
      <c r="B48" s="36">
        <v>45930</v>
      </c>
      <c r="C48" s="13">
        <f t="shared" si="0"/>
        <v>84</v>
      </c>
      <c r="D48" s="13">
        <v>1</v>
      </c>
      <c r="E48" s="24"/>
      <c r="F48" s="24"/>
      <c r="G48" s="37" t="s">
        <v>1235</v>
      </c>
      <c r="H48" s="24" t="s">
        <v>367</v>
      </c>
      <c r="I48" s="24">
        <v>64271</v>
      </c>
      <c r="J48" s="24">
        <v>3383</v>
      </c>
      <c r="K48" s="24" t="s">
        <v>21</v>
      </c>
      <c r="L48" s="24">
        <v>1</v>
      </c>
      <c r="M48" s="39">
        <v>690300</v>
      </c>
      <c r="N48" s="39">
        <f t="shared" si="1"/>
        <v>690300</v>
      </c>
      <c r="O48" s="24" t="s">
        <v>22</v>
      </c>
    </row>
    <row r="49" spans="1:15" ht="15" customHeight="1" x14ac:dyDescent="0.2">
      <c r="A49" s="13" t="s">
        <v>368</v>
      </c>
      <c r="B49" s="14" t="s">
        <v>2356</v>
      </c>
      <c r="C49" s="13">
        <f t="shared" si="0"/>
        <v>85</v>
      </c>
      <c r="D49" s="13">
        <v>1</v>
      </c>
      <c r="G49" s="15" t="s">
        <v>158</v>
      </c>
      <c r="H49" s="13" t="s">
        <v>3719</v>
      </c>
      <c r="I49" s="13">
        <v>331</v>
      </c>
      <c r="J49" s="13">
        <v>1111</v>
      </c>
      <c r="K49" s="13" t="s">
        <v>21</v>
      </c>
      <c r="L49" s="13">
        <v>1</v>
      </c>
      <c r="M49" s="21">
        <v>2700000</v>
      </c>
      <c r="N49" s="21">
        <f t="shared" ref="N49:N112" si="2">L49*M49</f>
        <v>2700000</v>
      </c>
      <c r="O49" s="13" t="s">
        <v>22</v>
      </c>
    </row>
    <row r="50" spans="1:15" ht="15" customHeight="1" x14ac:dyDescent="0.2">
      <c r="A50" s="13" t="s">
        <v>368</v>
      </c>
      <c r="B50" s="14" t="s">
        <v>2477</v>
      </c>
      <c r="C50" s="13">
        <f t="shared" si="0"/>
        <v>86</v>
      </c>
      <c r="D50" s="13">
        <v>1</v>
      </c>
      <c r="G50" s="15" t="s">
        <v>19</v>
      </c>
      <c r="H50" s="13" t="s">
        <v>3720</v>
      </c>
      <c r="I50" s="13">
        <v>331</v>
      </c>
      <c r="J50" s="13">
        <v>1111</v>
      </c>
      <c r="K50" s="13" t="s">
        <v>21</v>
      </c>
      <c r="L50" s="13">
        <v>1</v>
      </c>
      <c r="M50" s="21">
        <v>16000</v>
      </c>
      <c r="N50" s="21">
        <f t="shared" si="2"/>
        <v>16000</v>
      </c>
      <c r="O50" s="13" t="s">
        <v>22</v>
      </c>
    </row>
    <row r="51" spans="1:15" ht="15" customHeight="1" x14ac:dyDescent="0.2">
      <c r="A51" s="13" t="s">
        <v>368</v>
      </c>
      <c r="B51" s="14" t="s">
        <v>2477</v>
      </c>
      <c r="C51" s="13">
        <f t="shared" si="0"/>
        <v>87</v>
      </c>
      <c r="D51" s="13">
        <v>1</v>
      </c>
      <c r="G51" s="15" t="s">
        <v>19</v>
      </c>
      <c r="H51" s="13" t="s">
        <v>3721</v>
      </c>
      <c r="I51" s="13">
        <v>331</v>
      </c>
      <c r="J51" s="13">
        <v>1111</v>
      </c>
      <c r="K51" s="13" t="s">
        <v>21</v>
      </c>
      <c r="L51" s="13">
        <v>1</v>
      </c>
      <c r="M51" s="21">
        <v>59000</v>
      </c>
      <c r="N51" s="21">
        <f t="shared" si="2"/>
        <v>59000</v>
      </c>
      <c r="O51" s="13" t="s">
        <v>22</v>
      </c>
    </row>
    <row r="52" spans="1:15" ht="15" customHeight="1" x14ac:dyDescent="0.2">
      <c r="A52" s="13" t="s">
        <v>368</v>
      </c>
      <c r="B52" s="14" t="s">
        <v>2477</v>
      </c>
      <c r="C52" s="13">
        <f t="shared" si="0"/>
        <v>88</v>
      </c>
      <c r="D52" s="13">
        <v>1</v>
      </c>
      <c r="G52" s="15" t="s">
        <v>19</v>
      </c>
      <c r="H52" s="13" t="s">
        <v>3722</v>
      </c>
      <c r="I52" s="13">
        <v>331</v>
      </c>
      <c r="J52" s="13">
        <v>1111</v>
      </c>
      <c r="K52" s="13" t="s">
        <v>21</v>
      </c>
      <c r="L52" s="13">
        <v>1</v>
      </c>
      <c r="M52" s="21">
        <v>36000</v>
      </c>
      <c r="N52" s="21">
        <f t="shared" si="2"/>
        <v>36000</v>
      </c>
      <c r="O52" s="13" t="s">
        <v>22</v>
      </c>
    </row>
    <row r="53" spans="1:15" ht="15" customHeight="1" x14ac:dyDescent="0.2">
      <c r="A53" s="13" t="s">
        <v>368</v>
      </c>
      <c r="B53" s="14" t="s">
        <v>2354</v>
      </c>
      <c r="C53" s="13">
        <f t="shared" si="0"/>
        <v>89</v>
      </c>
      <c r="D53" s="13">
        <v>1</v>
      </c>
      <c r="G53" s="15" t="s">
        <v>19</v>
      </c>
      <c r="H53" s="13" t="s">
        <v>3723</v>
      </c>
      <c r="I53" s="13">
        <v>331</v>
      </c>
      <c r="J53" s="13">
        <v>1111</v>
      </c>
      <c r="K53" s="13" t="s">
        <v>21</v>
      </c>
      <c r="L53" s="13">
        <v>1</v>
      </c>
      <c r="M53" s="21">
        <v>31000</v>
      </c>
      <c r="N53" s="21">
        <f t="shared" si="2"/>
        <v>31000</v>
      </c>
      <c r="O53" s="13" t="s">
        <v>22</v>
      </c>
    </row>
    <row r="54" spans="1:15" ht="15" customHeight="1" x14ac:dyDescent="0.2">
      <c r="A54" s="13" t="s">
        <v>368</v>
      </c>
      <c r="B54" s="14" t="s">
        <v>2354</v>
      </c>
      <c r="C54" s="13">
        <f t="shared" si="0"/>
        <v>90</v>
      </c>
      <c r="D54" s="13">
        <v>1</v>
      </c>
      <c r="G54" s="15" t="s">
        <v>19</v>
      </c>
      <c r="H54" s="13" t="s">
        <v>3724</v>
      </c>
      <c r="I54" s="13">
        <v>331</v>
      </c>
      <c r="J54" s="13">
        <v>1111</v>
      </c>
      <c r="K54" s="13" t="s">
        <v>21</v>
      </c>
      <c r="L54" s="13">
        <v>1</v>
      </c>
      <c r="M54" s="21">
        <v>36000</v>
      </c>
      <c r="N54" s="21">
        <f t="shared" si="2"/>
        <v>36000</v>
      </c>
      <c r="O54" s="13" t="s">
        <v>22</v>
      </c>
    </row>
    <row r="55" spans="1:15" ht="15" customHeight="1" x14ac:dyDescent="0.2">
      <c r="A55" s="13" t="s">
        <v>368</v>
      </c>
      <c r="B55" s="14" t="s">
        <v>3142</v>
      </c>
      <c r="C55" s="13">
        <f t="shared" si="0"/>
        <v>91</v>
      </c>
      <c r="D55" s="13">
        <v>1</v>
      </c>
      <c r="G55" s="15" t="s">
        <v>19</v>
      </c>
      <c r="H55" s="13" t="s">
        <v>3725</v>
      </c>
      <c r="I55" s="13">
        <v>331</v>
      </c>
      <c r="J55" s="13">
        <v>1111</v>
      </c>
      <c r="K55" s="13" t="s">
        <v>21</v>
      </c>
      <c r="L55" s="13">
        <v>1</v>
      </c>
      <c r="M55" s="21">
        <v>25000</v>
      </c>
      <c r="N55" s="21">
        <f t="shared" si="2"/>
        <v>25000</v>
      </c>
      <c r="O55" s="13" t="s">
        <v>22</v>
      </c>
    </row>
    <row r="56" spans="1:15" ht="15" customHeight="1" x14ac:dyDescent="0.2">
      <c r="A56" s="13" t="s">
        <v>368</v>
      </c>
      <c r="B56" s="14" t="s">
        <v>3142</v>
      </c>
      <c r="C56" s="13">
        <f t="shared" si="0"/>
        <v>92</v>
      </c>
      <c r="D56" s="13">
        <v>1</v>
      </c>
      <c r="G56" s="15" t="s">
        <v>19</v>
      </c>
      <c r="H56" s="13" t="s">
        <v>3726</v>
      </c>
      <c r="I56" s="13">
        <v>331</v>
      </c>
      <c r="J56" s="13">
        <v>1111</v>
      </c>
      <c r="K56" s="13" t="s">
        <v>21</v>
      </c>
      <c r="L56" s="13">
        <v>1</v>
      </c>
      <c r="M56" s="21">
        <v>115000</v>
      </c>
      <c r="N56" s="21">
        <f t="shared" si="2"/>
        <v>115000</v>
      </c>
      <c r="O56" s="13" t="s">
        <v>22</v>
      </c>
    </row>
    <row r="57" spans="1:15" ht="15" customHeight="1" x14ac:dyDescent="0.2">
      <c r="A57" s="13" t="s">
        <v>368</v>
      </c>
      <c r="B57" s="14" t="s">
        <v>2299</v>
      </c>
      <c r="C57" s="13">
        <f t="shared" si="0"/>
        <v>93</v>
      </c>
      <c r="D57" s="13">
        <v>1</v>
      </c>
      <c r="G57" s="15" t="s">
        <v>19</v>
      </c>
      <c r="H57" s="13" t="s">
        <v>3727</v>
      </c>
      <c r="I57" s="13">
        <v>331</v>
      </c>
      <c r="J57" s="13">
        <v>1111</v>
      </c>
      <c r="K57" s="13" t="s">
        <v>21</v>
      </c>
      <c r="L57" s="13">
        <v>1</v>
      </c>
      <c r="M57" s="21">
        <v>31000</v>
      </c>
      <c r="N57" s="21">
        <f t="shared" si="2"/>
        <v>31000</v>
      </c>
      <c r="O57" s="13" t="s">
        <v>22</v>
      </c>
    </row>
    <row r="58" spans="1:15" ht="15" customHeight="1" x14ac:dyDescent="0.2">
      <c r="A58" s="13" t="s">
        <v>368</v>
      </c>
      <c r="B58" s="14" t="s">
        <v>2355</v>
      </c>
      <c r="C58" s="13">
        <f t="shared" si="0"/>
        <v>94</v>
      </c>
      <c r="D58" s="13">
        <v>1</v>
      </c>
      <c r="G58" s="15" t="s">
        <v>19</v>
      </c>
      <c r="H58" s="13" t="s">
        <v>3728</v>
      </c>
      <c r="I58" s="13">
        <v>331</v>
      </c>
      <c r="J58" s="13">
        <v>1111</v>
      </c>
      <c r="K58" s="13" t="s">
        <v>21</v>
      </c>
      <c r="L58" s="13">
        <v>1</v>
      </c>
      <c r="M58" s="21">
        <v>15000</v>
      </c>
      <c r="N58" s="21">
        <f t="shared" si="2"/>
        <v>15000</v>
      </c>
      <c r="O58" s="13" t="s">
        <v>22</v>
      </c>
    </row>
    <row r="59" spans="1:15" ht="15" customHeight="1" x14ac:dyDescent="0.2">
      <c r="A59" s="13" t="s">
        <v>368</v>
      </c>
      <c r="B59" s="14" t="s">
        <v>2355</v>
      </c>
      <c r="C59" s="13">
        <f t="shared" si="0"/>
        <v>95</v>
      </c>
      <c r="D59" s="13">
        <v>1</v>
      </c>
      <c r="G59" s="15" t="s">
        <v>19</v>
      </c>
      <c r="H59" s="13" t="s">
        <v>3729</v>
      </c>
      <c r="I59" s="13">
        <v>331</v>
      </c>
      <c r="J59" s="13">
        <v>1111</v>
      </c>
      <c r="K59" s="13" t="s">
        <v>21</v>
      </c>
      <c r="L59" s="13">
        <v>1</v>
      </c>
      <c r="M59" s="21">
        <v>105000</v>
      </c>
      <c r="N59" s="21">
        <f t="shared" si="2"/>
        <v>105000</v>
      </c>
      <c r="O59" s="13" t="s">
        <v>22</v>
      </c>
    </row>
    <row r="60" spans="1:15" ht="15" customHeight="1" x14ac:dyDescent="0.2">
      <c r="A60" s="13" t="s">
        <v>368</v>
      </c>
      <c r="B60" s="14" t="s">
        <v>3241</v>
      </c>
      <c r="C60" s="13">
        <f t="shared" si="0"/>
        <v>96</v>
      </c>
      <c r="D60" s="13">
        <v>1</v>
      </c>
      <c r="G60" s="15" t="s">
        <v>19</v>
      </c>
      <c r="H60" s="13" t="s">
        <v>3730</v>
      </c>
      <c r="I60" s="13">
        <v>331</v>
      </c>
      <c r="J60" s="13">
        <v>1111</v>
      </c>
      <c r="K60" s="13" t="s">
        <v>21</v>
      </c>
      <c r="L60" s="13">
        <v>1</v>
      </c>
      <c r="M60" s="21">
        <v>98000</v>
      </c>
      <c r="N60" s="21">
        <f t="shared" si="2"/>
        <v>98000</v>
      </c>
      <c r="O60" s="13" t="s">
        <v>22</v>
      </c>
    </row>
    <row r="61" spans="1:15" ht="15" customHeight="1" x14ac:dyDescent="0.2">
      <c r="A61" s="13" t="s">
        <v>368</v>
      </c>
      <c r="B61" s="14" t="s">
        <v>3241</v>
      </c>
      <c r="C61" s="13">
        <f t="shared" si="0"/>
        <v>97</v>
      </c>
      <c r="D61" s="13">
        <v>1</v>
      </c>
      <c r="G61" s="15" t="s">
        <v>19</v>
      </c>
      <c r="H61" s="13" t="s">
        <v>3731</v>
      </c>
      <c r="I61" s="13">
        <v>331</v>
      </c>
      <c r="J61" s="13">
        <v>1111</v>
      </c>
      <c r="K61" s="13" t="s">
        <v>21</v>
      </c>
      <c r="L61" s="13">
        <v>1</v>
      </c>
      <c r="M61" s="21">
        <v>129000</v>
      </c>
      <c r="N61" s="21">
        <f t="shared" si="2"/>
        <v>129000</v>
      </c>
      <c r="O61" s="13" t="s">
        <v>22</v>
      </c>
    </row>
    <row r="62" spans="1:15" ht="15" customHeight="1" x14ac:dyDescent="0.2">
      <c r="A62" s="13" t="s">
        <v>368</v>
      </c>
      <c r="B62" s="14" t="s">
        <v>3241</v>
      </c>
      <c r="C62" s="13">
        <f t="shared" si="0"/>
        <v>98</v>
      </c>
      <c r="D62" s="13">
        <v>1</v>
      </c>
      <c r="G62" s="15" t="s">
        <v>19</v>
      </c>
      <c r="H62" s="13" t="s">
        <v>3732</v>
      </c>
      <c r="I62" s="13">
        <v>331</v>
      </c>
      <c r="J62" s="13">
        <v>1111</v>
      </c>
      <c r="K62" s="13" t="s">
        <v>21</v>
      </c>
      <c r="L62" s="13">
        <v>1</v>
      </c>
      <c r="M62" s="21">
        <v>65000</v>
      </c>
      <c r="N62" s="21">
        <f t="shared" si="2"/>
        <v>65000</v>
      </c>
      <c r="O62" s="13" t="s">
        <v>22</v>
      </c>
    </row>
    <row r="63" spans="1:15" ht="15" customHeight="1" x14ac:dyDescent="0.2">
      <c r="A63" s="13" t="s">
        <v>368</v>
      </c>
      <c r="B63" s="14" t="s">
        <v>2115</v>
      </c>
      <c r="C63" s="13">
        <f t="shared" si="0"/>
        <v>99</v>
      </c>
      <c r="D63" s="13">
        <v>1</v>
      </c>
      <c r="G63" s="15" t="s">
        <v>2446</v>
      </c>
      <c r="H63" s="13" t="s">
        <v>3733</v>
      </c>
      <c r="I63" s="13">
        <v>331</v>
      </c>
      <c r="J63" s="13">
        <v>1111</v>
      </c>
      <c r="K63" s="13" t="s">
        <v>21</v>
      </c>
      <c r="L63" s="13">
        <v>1</v>
      </c>
      <c r="M63" s="21">
        <v>1981800</v>
      </c>
      <c r="N63" s="21">
        <f t="shared" si="2"/>
        <v>1981800</v>
      </c>
      <c r="O63" s="13" t="s">
        <v>22</v>
      </c>
    </row>
    <row r="64" spans="1:15" ht="15" customHeight="1" x14ac:dyDescent="0.2">
      <c r="A64" s="13" t="s">
        <v>368</v>
      </c>
      <c r="B64" s="14" t="s">
        <v>2115</v>
      </c>
      <c r="C64" s="13">
        <f t="shared" si="0"/>
        <v>100</v>
      </c>
      <c r="D64" s="13">
        <v>1</v>
      </c>
      <c r="G64" s="15" t="s">
        <v>19</v>
      </c>
      <c r="H64" s="13" t="s">
        <v>3734</v>
      </c>
      <c r="I64" s="13">
        <v>331</v>
      </c>
      <c r="J64" s="13">
        <v>1111</v>
      </c>
      <c r="K64" s="13" t="s">
        <v>21</v>
      </c>
      <c r="L64" s="13">
        <v>1</v>
      </c>
      <c r="M64" s="21">
        <v>16000</v>
      </c>
      <c r="N64" s="21">
        <f t="shared" si="2"/>
        <v>16000</v>
      </c>
      <c r="O64" s="13" t="s">
        <v>22</v>
      </c>
    </row>
    <row r="65" spans="1:15" ht="15" customHeight="1" x14ac:dyDescent="0.2">
      <c r="A65" s="13" t="s">
        <v>368</v>
      </c>
      <c r="B65" s="14" t="s">
        <v>2356</v>
      </c>
      <c r="C65" s="13">
        <f t="shared" si="0"/>
        <v>101</v>
      </c>
      <c r="D65" s="13">
        <v>1</v>
      </c>
      <c r="G65" s="15" t="s">
        <v>46</v>
      </c>
      <c r="H65" s="13" t="s">
        <v>3735</v>
      </c>
      <c r="I65" s="13">
        <v>331</v>
      </c>
      <c r="J65" s="13">
        <v>1111</v>
      </c>
      <c r="K65" s="13" t="s">
        <v>21</v>
      </c>
      <c r="L65" s="13">
        <v>1</v>
      </c>
      <c r="M65" s="21">
        <v>611280</v>
      </c>
      <c r="N65" s="21">
        <f t="shared" si="2"/>
        <v>611280</v>
      </c>
      <c r="O65" s="13" t="s">
        <v>22</v>
      </c>
    </row>
    <row r="66" spans="1:15" ht="15" customHeight="1" x14ac:dyDescent="0.2">
      <c r="A66" s="13" t="s">
        <v>368</v>
      </c>
      <c r="B66" s="14" t="s">
        <v>2356</v>
      </c>
      <c r="C66" s="13">
        <f t="shared" si="0"/>
        <v>102</v>
      </c>
      <c r="D66" s="13">
        <v>1</v>
      </c>
      <c r="G66" s="15" t="s">
        <v>19</v>
      </c>
      <c r="H66" s="13" t="s">
        <v>3736</v>
      </c>
      <c r="I66" s="13">
        <v>331</v>
      </c>
      <c r="J66" s="13">
        <v>1111</v>
      </c>
      <c r="K66" s="13" t="s">
        <v>21</v>
      </c>
      <c r="L66" s="13">
        <v>1</v>
      </c>
      <c r="M66" s="21">
        <v>13000</v>
      </c>
      <c r="N66" s="21">
        <f t="shared" si="2"/>
        <v>13000</v>
      </c>
      <c r="O66" s="13" t="s">
        <v>22</v>
      </c>
    </row>
    <row r="67" spans="1:15" ht="15" customHeight="1" x14ac:dyDescent="0.2">
      <c r="A67" s="13" t="s">
        <v>368</v>
      </c>
      <c r="B67" s="14" t="s">
        <v>2356</v>
      </c>
      <c r="C67" s="13">
        <f t="shared" si="0"/>
        <v>103</v>
      </c>
      <c r="D67" s="13">
        <v>1</v>
      </c>
      <c r="G67" s="15" t="s">
        <v>19</v>
      </c>
      <c r="H67" s="13" t="s">
        <v>3737</v>
      </c>
      <c r="I67" s="13">
        <v>331</v>
      </c>
      <c r="J67" s="13">
        <v>1111</v>
      </c>
      <c r="K67" s="13" t="s">
        <v>21</v>
      </c>
      <c r="L67" s="13">
        <v>1</v>
      </c>
      <c r="M67" s="21">
        <v>84000</v>
      </c>
      <c r="N67" s="21">
        <f t="shared" si="2"/>
        <v>84000</v>
      </c>
      <c r="O67" s="13" t="s">
        <v>22</v>
      </c>
    </row>
    <row r="68" spans="1:15" ht="15" customHeight="1" x14ac:dyDescent="0.2">
      <c r="A68" s="13" t="s">
        <v>368</v>
      </c>
      <c r="B68" s="14" t="s">
        <v>2075</v>
      </c>
      <c r="C68" s="13">
        <f t="shared" si="0"/>
        <v>104</v>
      </c>
      <c r="D68" s="13">
        <v>1</v>
      </c>
      <c r="G68" s="15" t="s">
        <v>158</v>
      </c>
      <c r="H68" s="13" t="s">
        <v>3738</v>
      </c>
      <c r="I68" s="13">
        <v>331</v>
      </c>
      <c r="J68" s="13">
        <v>1111</v>
      </c>
      <c r="K68" s="13" t="s">
        <v>21</v>
      </c>
      <c r="L68" s="13">
        <v>1</v>
      </c>
      <c r="M68" s="21">
        <v>2700000</v>
      </c>
      <c r="N68" s="21">
        <f t="shared" si="2"/>
        <v>2700000</v>
      </c>
      <c r="O68" s="13" t="s">
        <v>22</v>
      </c>
    </row>
    <row r="69" spans="1:15" ht="15" customHeight="1" x14ac:dyDescent="0.2">
      <c r="A69" s="13" t="s">
        <v>368</v>
      </c>
      <c r="B69" s="14" t="s">
        <v>2121</v>
      </c>
      <c r="C69" s="13">
        <f t="shared" ref="C69:C117" si="3">C68+D69</f>
        <v>105</v>
      </c>
      <c r="D69" s="13">
        <v>1</v>
      </c>
      <c r="G69" s="15" t="s">
        <v>209</v>
      </c>
      <c r="H69" s="13" t="s">
        <v>3739</v>
      </c>
      <c r="I69" s="13">
        <v>331</v>
      </c>
      <c r="J69" s="13">
        <v>1111</v>
      </c>
      <c r="K69" s="13" t="s">
        <v>21</v>
      </c>
      <c r="L69" s="13">
        <v>1</v>
      </c>
      <c r="M69" s="21">
        <v>1015200</v>
      </c>
      <c r="N69" s="21">
        <f t="shared" si="2"/>
        <v>1015200</v>
      </c>
      <c r="O69" s="13" t="s">
        <v>22</v>
      </c>
    </row>
    <row r="70" spans="1:15" ht="15" customHeight="1" x14ac:dyDescent="0.2">
      <c r="A70" s="13" t="s">
        <v>368</v>
      </c>
      <c r="B70" s="14" t="s">
        <v>1417</v>
      </c>
      <c r="C70" s="13">
        <f t="shared" si="3"/>
        <v>106</v>
      </c>
      <c r="D70" s="13">
        <v>1</v>
      </c>
      <c r="G70" s="15" t="s">
        <v>209</v>
      </c>
      <c r="H70" s="13" t="s">
        <v>3740</v>
      </c>
      <c r="I70" s="13">
        <v>331</v>
      </c>
      <c r="J70" s="13">
        <v>1111</v>
      </c>
      <c r="K70" s="13" t="s">
        <v>21</v>
      </c>
      <c r="L70" s="13">
        <v>1</v>
      </c>
      <c r="M70" s="21">
        <v>4710800</v>
      </c>
      <c r="N70" s="21">
        <f t="shared" si="2"/>
        <v>4710800</v>
      </c>
      <c r="O70" s="13" t="s">
        <v>22</v>
      </c>
    </row>
    <row r="71" spans="1:15" ht="15" customHeight="1" x14ac:dyDescent="0.2">
      <c r="A71" s="13" t="s">
        <v>368</v>
      </c>
      <c r="B71" s="14" t="s">
        <v>2048</v>
      </c>
      <c r="C71" s="13">
        <f t="shared" si="3"/>
        <v>107</v>
      </c>
      <c r="D71" s="13">
        <v>1</v>
      </c>
      <c r="G71" s="15" t="s">
        <v>3243</v>
      </c>
      <c r="H71" s="13" t="s">
        <v>3741</v>
      </c>
      <c r="I71" s="13">
        <v>331</v>
      </c>
      <c r="J71" s="13">
        <v>1111</v>
      </c>
      <c r="K71" s="13" t="s">
        <v>21</v>
      </c>
      <c r="L71" s="13">
        <v>1</v>
      </c>
      <c r="M71" s="21">
        <v>1269000</v>
      </c>
      <c r="N71" s="21">
        <f t="shared" si="2"/>
        <v>1269000</v>
      </c>
      <c r="O71" s="13" t="s">
        <v>22</v>
      </c>
    </row>
    <row r="72" spans="1:15" ht="15" customHeight="1" x14ac:dyDescent="0.2">
      <c r="A72" s="13" t="s">
        <v>368</v>
      </c>
      <c r="B72" s="14" t="s">
        <v>1423</v>
      </c>
      <c r="C72" s="13">
        <f t="shared" si="3"/>
        <v>108</v>
      </c>
      <c r="D72" s="13">
        <v>1</v>
      </c>
      <c r="G72" s="15" t="s">
        <v>1688</v>
      </c>
      <c r="H72" s="13" t="s">
        <v>3742</v>
      </c>
      <c r="I72" s="13">
        <v>331</v>
      </c>
      <c r="J72" s="13">
        <v>1111</v>
      </c>
      <c r="K72" s="13" t="s">
        <v>21</v>
      </c>
      <c r="L72" s="13">
        <v>1</v>
      </c>
      <c r="M72" s="21">
        <v>961870</v>
      </c>
      <c r="N72" s="21">
        <f t="shared" si="2"/>
        <v>961870</v>
      </c>
      <c r="O72" s="13" t="s">
        <v>22</v>
      </c>
    </row>
    <row r="73" spans="1:15" ht="15" customHeight="1" x14ac:dyDescent="0.2">
      <c r="A73" s="13" t="s">
        <v>368</v>
      </c>
      <c r="B73" s="14" t="s">
        <v>1425</v>
      </c>
      <c r="C73" s="13">
        <f t="shared" si="3"/>
        <v>109</v>
      </c>
      <c r="D73" s="13">
        <v>1</v>
      </c>
      <c r="G73" s="15" t="s">
        <v>3244</v>
      </c>
      <c r="H73" s="13" t="s">
        <v>3743</v>
      </c>
      <c r="I73" s="13">
        <v>331</v>
      </c>
      <c r="J73" s="13">
        <v>1111</v>
      </c>
      <c r="K73" s="13" t="s">
        <v>21</v>
      </c>
      <c r="L73" s="13">
        <v>1</v>
      </c>
      <c r="M73" s="21">
        <v>2460000</v>
      </c>
      <c r="N73" s="21">
        <f t="shared" si="2"/>
        <v>2460000</v>
      </c>
      <c r="O73" s="13" t="s">
        <v>22</v>
      </c>
    </row>
    <row r="74" spans="1:15" ht="15" customHeight="1" x14ac:dyDescent="0.2">
      <c r="A74" s="13" t="s">
        <v>368</v>
      </c>
      <c r="B74" s="14" t="s">
        <v>1425</v>
      </c>
      <c r="C74" s="13">
        <f t="shared" si="3"/>
        <v>110</v>
      </c>
      <c r="D74" s="13">
        <v>1</v>
      </c>
      <c r="G74" s="15" t="s">
        <v>85</v>
      </c>
      <c r="H74" s="13" t="s">
        <v>3744</v>
      </c>
      <c r="I74" s="13">
        <v>331</v>
      </c>
      <c r="J74" s="13">
        <v>1111</v>
      </c>
      <c r="K74" s="13" t="s">
        <v>21</v>
      </c>
      <c r="L74" s="13">
        <v>1</v>
      </c>
      <c r="M74" s="21">
        <v>1995840</v>
      </c>
      <c r="N74" s="21">
        <f t="shared" si="2"/>
        <v>1995840</v>
      </c>
      <c r="O74" s="13" t="s">
        <v>22</v>
      </c>
    </row>
    <row r="75" spans="1:15" ht="15" customHeight="1" x14ac:dyDescent="0.2">
      <c r="A75" s="13" t="s">
        <v>368</v>
      </c>
      <c r="B75" s="14" t="s">
        <v>2485</v>
      </c>
      <c r="C75" s="13">
        <f t="shared" si="3"/>
        <v>111</v>
      </c>
      <c r="D75" s="13">
        <v>1</v>
      </c>
      <c r="G75" s="15" t="s">
        <v>209</v>
      </c>
      <c r="H75" s="13" t="s">
        <v>3745</v>
      </c>
      <c r="I75" s="13">
        <v>331</v>
      </c>
      <c r="J75" s="13">
        <v>1111</v>
      </c>
      <c r="K75" s="13" t="s">
        <v>21</v>
      </c>
      <c r="L75" s="13">
        <v>1</v>
      </c>
      <c r="M75" s="21">
        <v>4099140</v>
      </c>
      <c r="N75" s="21">
        <f t="shared" si="2"/>
        <v>4099140</v>
      </c>
      <c r="O75" s="13" t="s">
        <v>22</v>
      </c>
    </row>
    <row r="76" spans="1:15" ht="15" customHeight="1" x14ac:dyDescent="0.2">
      <c r="A76" s="13" t="s">
        <v>89</v>
      </c>
      <c r="B76" s="14">
        <v>45841</v>
      </c>
      <c r="C76" s="13">
        <f t="shared" si="3"/>
        <v>112</v>
      </c>
      <c r="D76" s="13">
        <v>1</v>
      </c>
      <c r="G76" s="15" t="s">
        <v>2936</v>
      </c>
      <c r="H76" s="13" t="s">
        <v>1008</v>
      </c>
      <c r="I76" s="13">
        <v>1111</v>
      </c>
      <c r="J76" s="13">
        <v>112111</v>
      </c>
      <c r="K76" s="13" t="s">
        <v>21</v>
      </c>
      <c r="L76" s="13">
        <v>1</v>
      </c>
      <c r="M76" s="21">
        <v>15000000</v>
      </c>
      <c r="N76" s="21">
        <f t="shared" si="2"/>
        <v>15000000</v>
      </c>
      <c r="O76" s="13" t="s">
        <v>22</v>
      </c>
    </row>
    <row r="77" spans="1:15" ht="15" customHeight="1" x14ac:dyDescent="0.2">
      <c r="A77" s="13" t="s">
        <v>89</v>
      </c>
      <c r="B77" s="14">
        <v>45842</v>
      </c>
      <c r="C77" s="13">
        <f t="shared" si="3"/>
        <v>113</v>
      </c>
      <c r="D77" s="13">
        <v>1</v>
      </c>
      <c r="G77" s="15" t="s">
        <v>2936</v>
      </c>
      <c r="H77" s="13" t="s">
        <v>1008</v>
      </c>
      <c r="I77" s="13">
        <v>1111</v>
      </c>
      <c r="J77" s="13">
        <v>112111</v>
      </c>
      <c r="K77" s="13" t="s">
        <v>21</v>
      </c>
      <c r="L77" s="13">
        <v>1</v>
      </c>
      <c r="M77" s="21">
        <v>240000</v>
      </c>
      <c r="N77" s="21">
        <f t="shared" si="2"/>
        <v>240000</v>
      </c>
      <c r="O77" s="13" t="s">
        <v>22</v>
      </c>
    </row>
    <row r="78" spans="1:15" ht="15" customHeight="1" x14ac:dyDescent="0.2">
      <c r="A78" s="13" t="s">
        <v>89</v>
      </c>
      <c r="B78" s="14">
        <v>45842</v>
      </c>
      <c r="C78" s="13">
        <f t="shared" si="3"/>
        <v>114</v>
      </c>
      <c r="D78" s="13">
        <v>1</v>
      </c>
      <c r="G78" s="15" t="s">
        <v>2936</v>
      </c>
      <c r="H78" s="13" t="s">
        <v>1008</v>
      </c>
      <c r="I78" s="13">
        <v>1111</v>
      </c>
      <c r="J78" s="13">
        <v>112111</v>
      </c>
      <c r="K78" s="13" t="s">
        <v>21</v>
      </c>
      <c r="L78" s="13">
        <v>1</v>
      </c>
      <c r="M78" s="21">
        <v>5000000</v>
      </c>
      <c r="N78" s="21">
        <f t="shared" si="2"/>
        <v>5000000</v>
      </c>
      <c r="O78" s="13" t="s">
        <v>22</v>
      </c>
    </row>
    <row r="79" spans="1:15" ht="15" customHeight="1" x14ac:dyDescent="0.2">
      <c r="A79" s="13" t="s">
        <v>89</v>
      </c>
      <c r="B79" s="14">
        <v>45847</v>
      </c>
      <c r="C79" s="13">
        <f t="shared" si="3"/>
        <v>115</v>
      </c>
      <c r="D79" s="13">
        <v>1</v>
      </c>
      <c r="G79" s="15" t="s">
        <v>2936</v>
      </c>
      <c r="H79" s="13" t="s">
        <v>1008</v>
      </c>
      <c r="I79" s="13">
        <v>1111</v>
      </c>
      <c r="J79" s="13">
        <v>112111</v>
      </c>
      <c r="K79" s="13" t="s">
        <v>21</v>
      </c>
      <c r="L79" s="13">
        <v>1</v>
      </c>
      <c r="M79" s="21">
        <v>30000000</v>
      </c>
      <c r="N79" s="21">
        <f t="shared" si="2"/>
        <v>30000000</v>
      </c>
      <c r="O79" s="13" t="s">
        <v>22</v>
      </c>
    </row>
    <row r="80" spans="1:15" ht="15" customHeight="1" x14ac:dyDescent="0.2">
      <c r="A80" s="13" t="s">
        <v>33</v>
      </c>
      <c r="B80" s="14">
        <v>45853</v>
      </c>
      <c r="C80" s="13">
        <f t="shared" si="3"/>
        <v>116</v>
      </c>
      <c r="D80" s="13">
        <v>1</v>
      </c>
      <c r="G80" s="15" t="s">
        <v>3223</v>
      </c>
      <c r="H80" s="13" t="s">
        <v>3815</v>
      </c>
      <c r="I80" s="13">
        <v>112111</v>
      </c>
      <c r="J80" s="13">
        <v>131</v>
      </c>
      <c r="K80" s="13" t="s">
        <v>21</v>
      </c>
      <c r="L80" s="13">
        <v>1</v>
      </c>
      <c r="M80" s="21">
        <v>93958423</v>
      </c>
      <c r="N80" s="21">
        <f t="shared" si="2"/>
        <v>93958423</v>
      </c>
      <c r="O80" s="13" t="s">
        <v>22</v>
      </c>
    </row>
    <row r="81" spans="1:15" ht="15" customHeight="1" x14ac:dyDescent="0.2">
      <c r="A81" s="13" t="s">
        <v>89</v>
      </c>
      <c r="B81" s="14">
        <v>45854</v>
      </c>
      <c r="C81" s="13">
        <f t="shared" si="3"/>
        <v>117</v>
      </c>
      <c r="D81" s="13">
        <v>1</v>
      </c>
      <c r="G81" s="15" t="s">
        <v>2936</v>
      </c>
      <c r="H81" s="13" t="s">
        <v>1008</v>
      </c>
      <c r="I81" s="13">
        <v>1111</v>
      </c>
      <c r="J81" s="13">
        <v>112111</v>
      </c>
      <c r="K81" s="13" t="s">
        <v>21</v>
      </c>
      <c r="L81" s="13">
        <v>1</v>
      </c>
      <c r="M81" s="21">
        <v>20000000</v>
      </c>
      <c r="N81" s="21">
        <f t="shared" si="2"/>
        <v>20000000</v>
      </c>
      <c r="O81" s="13" t="s">
        <v>22</v>
      </c>
    </row>
    <row r="82" spans="1:15" ht="15" customHeight="1" x14ac:dyDescent="0.2">
      <c r="A82" s="13" t="s">
        <v>33</v>
      </c>
      <c r="B82" s="14">
        <v>45857</v>
      </c>
      <c r="C82" s="13">
        <f t="shared" si="3"/>
        <v>118</v>
      </c>
      <c r="D82" s="13">
        <v>1</v>
      </c>
      <c r="G82" s="15" t="s">
        <v>1077</v>
      </c>
      <c r="H82" s="13" t="s">
        <v>3816</v>
      </c>
      <c r="I82" s="13">
        <v>112111</v>
      </c>
      <c r="J82" s="13">
        <v>131</v>
      </c>
      <c r="K82" s="13" t="s">
        <v>21</v>
      </c>
      <c r="L82" s="13">
        <v>1</v>
      </c>
      <c r="M82" s="21">
        <v>13978494</v>
      </c>
      <c r="N82" s="21">
        <f t="shared" si="2"/>
        <v>13978494</v>
      </c>
      <c r="O82" s="13" t="s">
        <v>22</v>
      </c>
    </row>
    <row r="83" spans="1:15" ht="15" customHeight="1" x14ac:dyDescent="0.2">
      <c r="A83" s="13" t="s">
        <v>89</v>
      </c>
      <c r="B83" s="14">
        <v>45863</v>
      </c>
      <c r="C83" s="13">
        <f t="shared" si="3"/>
        <v>119</v>
      </c>
      <c r="D83" s="13">
        <v>1</v>
      </c>
      <c r="G83" s="15" t="s">
        <v>2936</v>
      </c>
      <c r="H83" s="13" t="s">
        <v>1008</v>
      </c>
      <c r="I83" s="13">
        <v>1111</v>
      </c>
      <c r="J83" s="13">
        <v>112111</v>
      </c>
      <c r="K83" s="13" t="s">
        <v>21</v>
      </c>
      <c r="L83" s="13">
        <v>1</v>
      </c>
      <c r="M83" s="21">
        <v>20000000</v>
      </c>
      <c r="N83" s="21">
        <f t="shared" si="2"/>
        <v>20000000</v>
      </c>
      <c r="O83" s="13" t="s">
        <v>22</v>
      </c>
    </row>
    <row r="84" spans="1:15" ht="15" customHeight="1" x14ac:dyDescent="0.2">
      <c r="A84" s="13" t="s">
        <v>33</v>
      </c>
      <c r="B84" s="14">
        <v>45864</v>
      </c>
      <c r="C84" s="13">
        <f t="shared" si="3"/>
        <v>120</v>
      </c>
      <c r="D84" s="13">
        <v>1</v>
      </c>
      <c r="G84" s="15" t="s">
        <v>2384</v>
      </c>
      <c r="H84" s="13" t="s">
        <v>129</v>
      </c>
      <c r="I84" s="13">
        <v>112111</v>
      </c>
      <c r="J84" s="13">
        <v>5154</v>
      </c>
      <c r="K84" s="13" t="s">
        <v>21</v>
      </c>
      <c r="L84" s="13">
        <v>1</v>
      </c>
      <c r="M84" s="21">
        <v>2012</v>
      </c>
      <c r="N84" s="21">
        <f t="shared" si="2"/>
        <v>2012</v>
      </c>
      <c r="O84" s="13" t="s">
        <v>22</v>
      </c>
    </row>
    <row r="85" spans="1:15" ht="15" customHeight="1" x14ac:dyDescent="0.2">
      <c r="A85" s="13" t="s">
        <v>89</v>
      </c>
      <c r="B85" s="14">
        <v>45869</v>
      </c>
      <c r="C85" s="13">
        <f t="shared" si="3"/>
        <v>121</v>
      </c>
      <c r="D85" s="13">
        <v>1</v>
      </c>
      <c r="G85" s="15" t="s">
        <v>29</v>
      </c>
      <c r="H85" s="13" t="s">
        <v>3824</v>
      </c>
      <c r="I85" s="13">
        <v>333821</v>
      </c>
      <c r="J85" s="13">
        <v>112111</v>
      </c>
      <c r="K85" s="13" t="s">
        <v>21</v>
      </c>
      <c r="L85" s="13">
        <v>1</v>
      </c>
      <c r="M85" s="21">
        <v>4067138</v>
      </c>
      <c r="N85" s="21">
        <f t="shared" si="2"/>
        <v>4067138</v>
      </c>
      <c r="O85" s="13" t="s">
        <v>22</v>
      </c>
    </row>
    <row r="86" spans="1:15" ht="15" customHeight="1" x14ac:dyDescent="0.2">
      <c r="A86" s="13" t="s">
        <v>89</v>
      </c>
      <c r="B86" s="14">
        <v>45869</v>
      </c>
      <c r="C86" s="13">
        <f t="shared" si="3"/>
        <v>122</v>
      </c>
      <c r="D86" s="13">
        <v>1</v>
      </c>
      <c r="G86" s="15" t="s">
        <v>29</v>
      </c>
      <c r="H86" s="13" t="s">
        <v>3824</v>
      </c>
      <c r="I86" s="13">
        <v>333821</v>
      </c>
      <c r="J86" s="13">
        <v>112111</v>
      </c>
      <c r="K86" s="13" t="s">
        <v>21</v>
      </c>
      <c r="L86" s="13">
        <v>1</v>
      </c>
      <c r="M86" s="21">
        <v>10162946</v>
      </c>
      <c r="N86" s="21">
        <f t="shared" si="2"/>
        <v>10162946</v>
      </c>
      <c r="O86" s="13" t="s">
        <v>22</v>
      </c>
    </row>
    <row r="87" spans="1:15" ht="15" customHeight="1" x14ac:dyDescent="0.2">
      <c r="A87" s="13" t="s">
        <v>89</v>
      </c>
      <c r="B87" s="14">
        <v>45869</v>
      </c>
      <c r="C87" s="13">
        <f t="shared" si="3"/>
        <v>123</v>
      </c>
      <c r="D87" s="13">
        <v>1</v>
      </c>
      <c r="G87" s="37" t="s">
        <v>1235</v>
      </c>
      <c r="H87" s="13" t="s">
        <v>3814</v>
      </c>
      <c r="I87" s="13">
        <v>3383</v>
      </c>
      <c r="J87" s="13">
        <v>112111</v>
      </c>
      <c r="K87" s="13" t="s">
        <v>21</v>
      </c>
      <c r="L87" s="13">
        <v>1</v>
      </c>
      <c r="M87" s="21">
        <v>690300</v>
      </c>
      <c r="N87" s="21">
        <f t="shared" si="2"/>
        <v>690300</v>
      </c>
      <c r="O87" s="13" t="s">
        <v>22</v>
      </c>
    </row>
    <row r="88" spans="1:15" ht="15" customHeight="1" x14ac:dyDescent="0.2">
      <c r="A88" s="13" t="s">
        <v>33</v>
      </c>
      <c r="B88" s="14">
        <v>45877</v>
      </c>
      <c r="C88" s="13">
        <f t="shared" si="3"/>
        <v>124</v>
      </c>
      <c r="D88" s="13">
        <v>1</v>
      </c>
      <c r="G88" s="15" t="s">
        <v>3225</v>
      </c>
      <c r="H88" s="13" t="s">
        <v>3817</v>
      </c>
      <c r="I88" s="13">
        <v>112111</v>
      </c>
      <c r="J88" s="13">
        <v>131</v>
      </c>
      <c r="K88" s="13" t="s">
        <v>21</v>
      </c>
      <c r="L88" s="13">
        <v>1</v>
      </c>
      <c r="M88" s="21">
        <v>12903226</v>
      </c>
      <c r="N88" s="21">
        <f t="shared" si="2"/>
        <v>12903226</v>
      </c>
      <c r="O88" s="13" t="s">
        <v>22</v>
      </c>
    </row>
    <row r="89" spans="1:15" ht="15" customHeight="1" x14ac:dyDescent="0.2">
      <c r="A89" s="13" t="s">
        <v>89</v>
      </c>
      <c r="B89" s="14">
        <v>45877</v>
      </c>
      <c r="C89" s="13">
        <f t="shared" si="3"/>
        <v>125</v>
      </c>
      <c r="D89" s="13">
        <v>1</v>
      </c>
      <c r="G89" s="15" t="s">
        <v>2936</v>
      </c>
      <c r="H89" s="13" t="s">
        <v>1008</v>
      </c>
      <c r="I89" s="13">
        <v>1111</v>
      </c>
      <c r="J89" s="13">
        <v>112111</v>
      </c>
      <c r="K89" s="13" t="s">
        <v>21</v>
      </c>
      <c r="L89" s="13">
        <v>1</v>
      </c>
      <c r="M89" s="21">
        <v>10000000</v>
      </c>
      <c r="N89" s="21">
        <f t="shared" si="2"/>
        <v>10000000</v>
      </c>
      <c r="O89" s="13" t="s">
        <v>22</v>
      </c>
    </row>
    <row r="90" spans="1:15" ht="15" customHeight="1" x14ac:dyDescent="0.2">
      <c r="A90" s="13" t="s">
        <v>89</v>
      </c>
      <c r="B90" s="14">
        <v>45880</v>
      </c>
      <c r="C90" s="13">
        <f t="shared" si="3"/>
        <v>126</v>
      </c>
      <c r="D90" s="13">
        <v>1</v>
      </c>
      <c r="G90" s="15" t="s">
        <v>2936</v>
      </c>
      <c r="H90" s="13" t="s">
        <v>1008</v>
      </c>
      <c r="I90" s="13">
        <v>1111</v>
      </c>
      <c r="J90" s="13">
        <v>112111</v>
      </c>
      <c r="K90" s="13" t="s">
        <v>21</v>
      </c>
      <c r="L90" s="13">
        <v>1</v>
      </c>
      <c r="M90" s="21">
        <v>25000000</v>
      </c>
      <c r="N90" s="21">
        <f t="shared" si="2"/>
        <v>25000000</v>
      </c>
      <c r="O90" s="13" t="s">
        <v>22</v>
      </c>
    </row>
    <row r="91" spans="1:15" ht="15" customHeight="1" x14ac:dyDescent="0.2">
      <c r="A91" s="13" t="s">
        <v>89</v>
      </c>
      <c r="B91" s="14">
        <v>45880</v>
      </c>
      <c r="C91" s="13">
        <f t="shared" si="3"/>
        <v>127</v>
      </c>
      <c r="D91" s="13">
        <v>1</v>
      </c>
      <c r="G91" s="15" t="s">
        <v>2936</v>
      </c>
      <c r="H91" s="13" t="s">
        <v>1008</v>
      </c>
      <c r="I91" s="13">
        <v>1111</v>
      </c>
      <c r="J91" s="13">
        <v>112111</v>
      </c>
      <c r="K91" s="13" t="s">
        <v>21</v>
      </c>
      <c r="L91" s="13">
        <v>1</v>
      </c>
      <c r="M91" s="21">
        <v>15000000</v>
      </c>
      <c r="N91" s="21">
        <f t="shared" si="2"/>
        <v>15000000</v>
      </c>
      <c r="O91" s="13" t="s">
        <v>22</v>
      </c>
    </row>
    <row r="92" spans="1:15" ht="15" customHeight="1" x14ac:dyDescent="0.2">
      <c r="A92" s="13" t="s">
        <v>33</v>
      </c>
      <c r="B92" s="14">
        <v>45882</v>
      </c>
      <c r="C92" s="13">
        <f t="shared" si="3"/>
        <v>128</v>
      </c>
      <c r="D92" s="13">
        <v>1</v>
      </c>
      <c r="G92" s="15" t="s">
        <v>2936</v>
      </c>
      <c r="H92" s="13" t="s">
        <v>3827</v>
      </c>
      <c r="I92" s="13">
        <v>112111</v>
      </c>
      <c r="J92" s="13">
        <v>1111</v>
      </c>
      <c r="K92" s="13" t="s">
        <v>21</v>
      </c>
      <c r="L92" s="13">
        <v>1</v>
      </c>
      <c r="M92" s="21">
        <v>380000</v>
      </c>
      <c r="N92" s="21">
        <f t="shared" si="2"/>
        <v>380000</v>
      </c>
      <c r="O92" s="13" t="s">
        <v>22</v>
      </c>
    </row>
    <row r="93" spans="1:15" ht="15" customHeight="1" x14ac:dyDescent="0.2">
      <c r="A93" s="13" t="s">
        <v>33</v>
      </c>
      <c r="B93" s="14">
        <v>45891</v>
      </c>
      <c r="C93" s="13">
        <f t="shared" si="3"/>
        <v>129</v>
      </c>
      <c r="D93" s="13">
        <v>1</v>
      </c>
      <c r="G93" s="15" t="s">
        <v>3223</v>
      </c>
      <c r="H93" s="13" t="s">
        <v>3818</v>
      </c>
      <c r="I93" s="13">
        <v>112111</v>
      </c>
      <c r="J93" s="13">
        <v>131</v>
      </c>
      <c r="K93" s="13" t="s">
        <v>21</v>
      </c>
      <c r="L93" s="13">
        <v>1</v>
      </c>
      <c r="M93" s="21">
        <v>37449513</v>
      </c>
      <c r="N93" s="21">
        <f t="shared" si="2"/>
        <v>37449513</v>
      </c>
      <c r="O93" s="13" t="s">
        <v>22</v>
      </c>
    </row>
    <row r="94" spans="1:15" ht="15" customHeight="1" x14ac:dyDescent="0.2">
      <c r="A94" s="13" t="s">
        <v>33</v>
      </c>
      <c r="B94" s="14">
        <v>45894</v>
      </c>
      <c r="C94" s="13">
        <f t="shared" si="3"/>
        <v>130</v>
      </c>
      <c r="D94" s="13">
        <v>1</v>
      </c>
      <c r="G94" s="15" t="s">
        <v>2936</v>
      </c>
      <c r="H94" s="13" t="s">
        <v>3827</v>
      </c>
      <c r="I94" s="13">
        <v>112111</v>
      </c>
      <c r="J94" s="13">
        <v>1111</v>
      </c>
      <c r="K94" s="13" t="s">
        <v>21</v>
      </c>
      <c r="L94" s="13">
        <v>1</v>
      </c>
      <c r="M94" s="21">
        <v>3200000</v>
      </c>
      <c r="N94" s="21">
        <f t="shared" si="2"/>
        <v>3200000</v>
      </c>
      <c r="O94" s="13" t="s">
        <v>22</v>
      </c>
    </row>
    <row r="95" spans="1:15" ht="15" customHeight="1" x14ac:dyDescent="0.2">
      <c r="A95" s="13" t="s">
        <v>89</v>
      </c>
      <c r="B95" s="14">
        <v>45894</v>
      </c>
      <c r="C95" s="13">
        <f t="shared" si="3"/>
        <v>131</v>
      </c>
      <c r="D95" s="13">
        <v>1</v>
      </c>
      <c r="G95" s="15" t="s">
        <v>2936</v>
      </c>
      <c r="H95" s="13" t="s">
        <v>1008</v>
      </c>
      <c r="I95" s="13">
        <v>1111</v>
      </c>
      <c r="J95" s="13">
        <v>112111</v>
      </c>
      <c r="K95" s="13" t="s">
        <v>21</v>
      </c>
      <c r="L95" s="13">
        <v>1</v>
      </c>
      <c r="M95" s="21">
        <v>10000000</v>
      </c>
      <c r="N95" s="21">
        <f t="shared" si="2"/>
        <v>10000000</v>
      </c>
      <c r="O95" s="13" t="s">
        <v>22</v>
      </c>
    </row>
    <row r="96" spans="1:15" ht="15" customHeight="1" x14ac:dyDescent="0.2">
      <c r="A96" s="13" t="s">
        <v>33</v>
      </c>
      <c r="B96" s="14">
        <v>45894</v>
      </c>
      <c r="C96" s="13">
        <f t="shared" si="3"/>
        <v>132</v>
      </c>
      <c r="D96" s="13">
        <v>1</v>
      </c>
      <c r="G96" s="15" t="s">
        <v>3231</v>
      </c>
      <c r="H96" s="13" t="s">
        <v>3819</v>
      </c>
      <c r="I96" s="13">
        <v>112111</v>
      </c>
      <c r="J96" s="13">
        <v>131</v>
      </c>
      <c r="K96" s="13" t="s">
        <v>21</v>
      </c>
      <c r="L96" s="13">
        <v>1</v>
      </c>
      <c r="M96" s="21">
        <v>8516129</v>
      </c>
      <c r="N96" s="21">
        <f t="shared" si="2"/>
        <v>8516129</v>
      </c>
      <c r="O96" s="13" t="s">
        <v>22</v>
      </c>
    </row>
    <row r="97" spans="1:15" ht="15" customHeight="1" x14ac:dyDescent="0.2">
      <c r="A97" s="13" t="s">
        <v>89</v>
      </c>
      <c r="B97" s="14">
        <v>45895</v>
      </c>
      <c r="C97" s="13">
        <f t="shared" si="3"/>
        <v>133</v>
      </c>
      <c r="D97" s="13">
        <v>1</v>
      </c>
      <c r="G97" s="15" t="s">
        <v>2936</v>
      </c>
      <c r="H97" s="13" t="s">
        <v>1008</v>
      </c>
      <c r="I97" s="13">
        <v>1111</v>
      </c>
      <c r="J97" s="13">
        <v>112111</v>
      </c>
      <c r="K97" s="13" t="s">
        <v>21</v>
      </c>
      <c r="L97" s="13">
        <v>1</v>
      </c>
      <c r="M97" s="21">
        <v>9000000</v>
      </c>
      <c r="N97" s="21">
        <f t="shared" si="2"/>
        <v>9000000</v>
      </c>
      <c r="O97" s="13" t="s">
        <v>22</v>
      </c>
    </row>
    <row r="98" spans="1:15" ht="15" customHeight="1" x14ac:dyDescent="0.2">
      <c r="A98" s="13" t="s">
        <v>33</v>
      </c>
      <c r="B98" s="14">
        <v>45899</v>
      </c>
      <c r="C98" s="13">
        <f t="shared" si="3"/>
        <v>134</v>
      </c>
      <c r="D98" s="13">
        <v>1</v>
      </c>
      <c r="G98" s="15" t="s">
        <v>2384</v>
      </c>
      <c r="H98" s="13" t="s">
        <v>129</v>
      </c>
      <c r="I98" s="13">
        <v>112111</v>
      </c>
      <c r="J98" s="13">
        <v>5154</v>
      </c>
      <c r="K98" s="13" t="s">
        <v>21</v>
      </c>
      <c r="L98" s="13">
        <v>1</v>
      </c>
      <c r="M98" s="21">
        <v>2222</v>
      </c>
      <c r="N98" s="21">
        <f t="shared" ref="N98" si="4">L98*M98</f>
        <v>2222</v>
      </c>
      <c r="O98" s="13" t="s">
        <v>22</v>
      </c>
    </row>
    <row r="99" spans="1:15" ht="15" customHeight="1" x14ac:dyDescent="0.2">
      <c r="A99" s="13" t="s">
        <v>33</v>
      </c>
      <c r="B99" s="14">
        <v>45903</v>
      </c>
      <c r="C99" s="13">
        <f t="shared" si="3"/>
        <v>135</v>
      </c>
      <c r="D99" s="13">
        <v>1</v>
      </c>
      <c r="G99" s="15" t="s">
        <v>3225</v>
      </c>
      <c r="H99" s="13" t="s">
        <v>3820</v>
      </c>
      <c r="I99" s="13">
        <v>112111</v>
      </c>
      <c r="J99" s="13">
        <v>131</v>
      </c>
      <c r="K99" s="13" t="s">
        <v>21</v>
      </c>
      <c r="L99" s="13">
        <v>1</v>
      </c>
      <c r="M99" s="21">
        <v>10645161</v>
      </c>
      <c r="N99" s="21">
        <f t="shared" si="2"/>
        <v>10645161</v>
      </c>
      <c r="O99" s="13" t="s">
        <v>22</v>
      </c>
    </row>
    <row r="100" spans="1:15" ht="15" customHeight="1" x14ac:dyDescent="0.2">
      <c r="A100" s="13" t="s">
        <v>89</v>
      </c>
      <c r="B100" s="14">
        <v>45904</v>
      </c>
      <c r="C100" s="13">
        <f t="shared" si="3"/>
        <v>136</v>
      </c>
      <c r="D100" s="13">
        <v>1</v>
      </c>
      <c r="G100" s="15" t="s">
        <v>2936</v>
      </c>
      <c r="H100" s="13" t="s">
        <v>1008</v>
      </c>
      <c r="I100" s="13">
        <v>1111</v>
      </c>
      <c r="J100" s="13">
        <v>112111</v>
      </c>
      <c r="K100" s="13" t="s">
        <v>21</v>
      </c>
      <c r="L100" s="13">
        <v>1</v>
      </c>
      <c r="M100" s="21">
        <v>20000000</v>
      </c>
      <c r="N100" s="21">
        <f t="shared" si="2"/>
        <v>20000000</v>
      </c>
      <c r="O100" s="13" t="s">
        <v>22</v>
      </c>
    </row>
    <row r="101" spans="1:15" ht="15" customHeight="1" x14ac:dyDescent="0.2">
      <c r="A101" s="13" t="s">
        <v>89</v>
      </c>
      <c r="B101" s="14">
        <v>45912</v>
      </c>
      <c r="C101" s="13">
        <f t="shared" si="3"/>
        <v>137</v>
      </c>
      <c r="D101" s="13">
        <v>1</v>
      </c>
      <c r="G101" s="15" t="s">
        <v>2936</v>
      </c>
      <c r="H101" s="13" t="s">
        <v>1008</v>
      </c>
      <c r="I101" s="13">
        <v>1111</v>
      </c>
      <c r="J101" s="13">
        <v>112111</v>
      </c>
      <c r="K101" s="13" t="s">
        <v>21</v>
      </c>
      <c r="L101" s="13">
        <v>1</v>
      </c>
      <c r="M101" s="21">
        <v>10000000</v>
      </c>
      <c r="N101" s="21">
        <f t="shared" si="2"/>
        <v>10000000</v>
      </c>
      <c r="O101" s="13" t="s">
        <v>22</v>
      </c>
    </row>
    <row r="102" spans="1:15" ht="15" customHeight="1" x14ac:dyDescent="0.2">
      <c r="A102" s="13" t="s">
        <v>33</v>
      </c>
      <c r="B102" s="14">
        <v>45913</v>
      </c>
      <c r="C102" s="13">
        <f t="shared" si="3"/>
        <v>138</v>
      </c>
      <c r="D102" s="13">
        <v>1</v>
      </c>
      <c r="G102" s="15" t="s">
        <v>3223</v>
      </c>
      <c r="H102" s="13" t="s">
        <v>3821</v>
      </c>
      <c r="I102" s="13">
        <v>112111</v>
      </c>
      <c r="J102" s="13">
        <v>131</v>
      </c>
      <c r="K102" s="13" t="s">
        <v>21</v>
      </c>
      <c r="L102" s="13">
        <v>1</v>
      </c>
      <c r="M102" s="21">
        <v>45241935</v>
      </c>
      <c r="N102" s="21">
        <f t="shared" si="2"/>
        <v>45241935</v>
      </c>
      <c r="O102" s="13" t="s">
        <v>22</v>
      </c>
    </row>
    <row r="103" spans="1:15" ht="15" customHeight="1" x14ac:dyDescent="0.2">
      <c r="A103" s="13" t="s">
        <v>89</v>
      </c>
      <c r="B103" s="14">
        <v>45915</v>
      </c>
      <c r="C103" s="13">
        <f t="shared" si="3"/>
        <v>139</v>
      </c>
      <c r="D103" s="13">
        <v>1</v>
      </c>
      <c r="G103" s="15" t="s">
        <v>2936</v>
      </c>
      <c r="H103" s="13" t="s">
        <v>1008</v>
      </c>
      <c r="I103" s="13">
        <v>1111</v>
      </c>
      <c r="J103" s="13">
        <v>112111</v>
      </c>
      <c r="K103" s="13" t="s">
        <v>21</v>
      </c>
      <c r="L103" s="13">
        <v>1</v>
      </c>
      <c r="M103" s="21">
        <v>26000000</v>
      </c>
      <c r="N103" s="21">
        <f t="shared" si="2"/>
        <v>26000000</v>
      </c>
      <c r="O103" s="13" t="s">
        <v>22</v>
      </c>
    </row>
    <row r="104" spans="1:15" ht="15" customHeight="1" x14ac:dyDescent="0.2">
      <c r="A104" s="13" t="s">
        <v>33</v>
      </c>
      <c r="B104" s="14">
        <v>45919</v>
      </c>
      <c r="C104" s="13">
        <f t="shared" si="3"/>
        <v>140</v>
      </c>
      <c r="D104" s="13">
        <v>1</v>
      </c>
      <c r="G104" s="15" t="s">
        <v>756</v>
      </c>
      <c r="H104" s="13" t="s">
        <v>3823</v>
      </c>
      <c r="I104" s="13">
        <v>112111</v>
      </c>
      <c r="J104" s="13">
        <v>131</v>
      </c>
      <c r="K104" s="13" t="s">
        <v>21</v>
      </c>
      <c r="L104" s="13">
        <v>1</v>
      </c>
      <c r="M104" s="21">
        <v>6451613</v>
      </c>
      <c r="N104" s="21">
        <f t="shared" si="2"/>
        <v>6451613</v>
      </c>
      <c r="O104" s="13" t="s">
        <v>22</v>
      </c>
    </row>
    <row r="105" spans="1:15" ht="15" customHeight="1" x14ac:dyDescent="0.2">
      <c r="A105" s="13" t="s">
        <v>33</v>
      </c>
      <c r="B105" s="14">
        <v>45919</v>
      </c>
      <c r="C105" s="13">
        <f t="shared" si="3"/>
        <v>141</v>
      </c>
      <c r="D105" s="13">
        <v>1</v>
      </c>
      <c r="G105" s="15" t="s">
        <v>756</v>
      </c>
      <c r="H105" s="13" t="s">
        <v>3822</v>
      </c>
      <c r="I105" s="13">
        <v>112111</v>
      </c>
      <c r="J105" s="13">
        <v>131</v>
      </c>
      <c r="K105" s="13" t="s">
        <v>21</v>
      </c>
      <c r="L105" s="13">
        <v>1</v>
      </c>
      <c r="M105" s="21">
        <v>7451613</v>
      </c>
      <c r="N105" s="21">
        <f t="shared" si="2"/>
        <v>7451613</v>
      </c>
      <c r="O105" s="13" t="s">
        <v>22</v>
      </c>
    </row>
    <row r="106" spans="1:15" ht="15" customHeight="1" x14ac:dyDescent="0.2">
      <c r="A106" s="13" t="s">
        <v>89</v>
      </c>
      <c r="B106" s="14">
        <v>45919</v>
      </c>
      <c r="C106" s="13">
        <f t="shared" si="3"/>
        <v>142</v>
      </c>
      <c r="D106" s="13">
        <v>1</v>
      </c>
      <c r="G106" s="15" t="s">
        <v>2936</v>
      </c>
      <c r="H106" s="13" t="s">
        <v>1008</v>
      </c>
      <c r="I106" s="13">
        <v>1111</v>
      </c>
      <c r="J106" s="13">
        <v>112111</v>
      </c>
      <c r="K106" s="13" t="s">
        <v>21</v>
      </c>
      <c r="L106" s="13">
        <v>1</v>
      </c>
      <c r="M106" s="21">
        <v>30000000</v>
      </c>
      <c r="N106" s="21">
        <f t="shared" si="2"/>
        <v>30000000</v>
      </c>
      <c r="O106" s="13" t="s">
        <v>22</v>
      </c>
    </row>
    <row r="107" spans="1:15" ht="15" customHeight="1" x14ac:dyDescent="0.2">
      <c r="A107" s="13" t="s">
        <v>89</v>
      </c>
      <c r="B107" s="14">
        <v>45919</v>
      </c>
      <c r="C107" s="13">
        <f t="shared" si="3"/>
        <v>143</v>
      </c>
      <c r="D107" s="13">
        <v>1</v>
      </c>
      <c r="G107" s="15" t="s">
        <v>2936</v>
      </c>
      <c r="H107" s="13" t="s">
        <v>1008</v>
      </c>
      <c r="I107" s="13">
        <v>1111</v>
      </c>
      <c r="J107" s="13">
        <v>112111</v>
      </c>
      <c r="K107" s="13" t="s">
        <v>21</v>
      </c>
      <c r="L107" s="13">
        <v>1</v>
      </c>
      <c r="M107" s="21">
        <v>3900000</v>
      </c>
      <c r="N107" s="21">
        <f t="shared" si="2"/>
        <v>3900000</v>
      </c>
      <c r="O107" s="13" t="s">
        <v>22</v>
      </c>
    </row>
    <row r="108" spans="1:15" ht="15" customHeight="1" x14ac:dyDescent="0.2">
      <c r="A108" s="13" t="s">
        <v>33</v>
      </c>
      <c r="B108" s="14">
        <v>45926</v>
      </c>
      <c r="C108" s="13">
        <f t="shared" si="3"/>
        <v>144</v>
      </c>
      <c r="D108" s="13">
        <v>1</v>
      </c>
      <c r="G108" s="15" t="s">
        <v>2936</v>
      </c>
      <c r="H108" s="13" t="s">
        <v>3827</v>
      </c>
      <c r="I108" s="13">
        <v>112111</v>
      </c>
      <c r="J108" s="13">
        <v>1111</v>
      </c>
      <c r="K108" s="13" t="s">
        <v>21</v>
      </c>
      <c r="L108" s="13">
        <v>1</v>
      </c>
      <c r="M108" s="21">
        <v>145000</v>
      </c>
      <c r="N108" s="21">
        <f t="shared" si="2"/>
        <v>145000</v>
      </c>
      <c r="O108" s="13" t="s">
        <v>22</v>
      </c>
    </row>
    <row r="109" spans="1:15" ht="15" customHeight="1" x14ac:dyDescent="0.2">
      <c r="A109" s="13" t="s">
        <v>33</v>
      </c>
      <c r="B109" s="14">
        <v>45927</v>
      </c>
      <c r="C109" s="13">
        <f t="shared" si="3"/>
        <v>145</v>
      </c>
      <c r="D109" s="13">
        <v>1</v>
      </c>
      <c r="G109" s="15" t="s">
        <v>2384</v>
      </c>
      <c r="H109" s="13" t="s">
        <v>129</v>
      </c>
      <c r="I109" s="13">
        <v>112111</v>
      </c>
      <c r="J109" s="13">
        <v>5154</v>
      </c>
      <c r="K109" s="13" t="s">
        <v>21</v>
      </c>
      <c r="L109" s="13">
        <v>1</v>
      </c>
      <c r="M109" s="21">
        <v>1631</v>
      </c>
      <c r="N109" s="21">
        <f t="shared" si="2"/>
        <v>1631</v>
      </c>
      <c r="O109" s="13" t="s">
        <v>22</v>
      </c>
    </row>
    <row r="110" spans="1:15" ht="15" customHeight="1" x14ac:dyDescent="0.2">
      <c r="A110" s="13" t="s">
        <v>33</v>
      </c>
      <c r="B110" s="14">
        <v>45929</v>
      </c>
      <c r="C110" s="13">
        <f t="shared" si="3"/>
        <v>146</v>
      </c>
      <c r="D110" s="13">
        <v>1</v>
      </c>
      <c r="G110" s="15" t="s">
        <v>267</v>
      </c>
      <c r="H110" s="13" t="s">
        <v>3825</v>
      </c>
      <c r="I110" s="13">
        <v>112111</v>
      </c>
      <c r="J110" s="13">
        <v>7118</v>
      </c>
      <c r="K110" s="13" t="s">
        <v>21</v>
      </c>
      <c r="L110" s="13">
        <v>1</v>
      </c>
      <c r="M110" s="21">
        <v>456000</v>
      </c>
      <c r="N110" s="21">
        <f t="shared" si="2"/>
        <v>456000</v>
      </c>
      <c r="O110" s="13" t="s">
        <v>22</v>
      </c>
    </row>
    <row r="111" spans="1:15" ht="15" customHeight="1" x14ac:dyDescent="0.2">
      <c r="A111" s="13" t="s">
        <v>33</v>
      </c>
      <c r="B111" s="14">
        <v>45929</v>
      </c>
      <c r="C111" s="13">
        <f t="shared" si="3"/>
        <v>147</v>
      </c>
      <c r="D111" s="13">
        <v>1</v>
      </c>
      <c r="G111" s="15" t="s">
        <v>267</v>
      </c>
      <c r="H111" s="13" t="s">
        <v>3825</v>
      </c>
      <c r="I111" s="13">
        <v>112111</v>
      </c>
      <c r="J111" s="13">
        <v>7118</v>
      </c>
      <c r="K111" s="13" t="s">
        <v>21</v>
      </c>
      <c r="L111" s="13">
        <v>1</v>
      </c>
      <c r="M111" s="21">
        <v>456000</v>
      </c>
      <c r="N111" s="21">
        <f t="shared" si="2"/>
        <v>456000</v>
      </c>
      <c r="O111" s="13" t="s">
        <v>22</v>
      </c>
    </row>
    <row r="112" spans="1:15" ht="15" customHeight="1" x14ac:dyDescent="0.2">
      <c r="A112" s="13" t="s">
        <v>33</v>
      </c>
      <c r="B112" s="14">
        <v>45929</v>
      </c>
      <c r="C112" s="13">
        <f t="shared" si="3"/>
        <v>148</v>
      </c>
      <c r="D112" s="13">
        <v>1</v>
      </c>
      <c r="G112" s="15" t="s">
        <v>267</v>
      </c>
      <c r="H112" s="13" t="s">
        <v>3825</v>
      </c>
      <c r="I112" s="13">
        <v>112111</v>
      </c>
      <c r="J112" s="13">
        <v>7118</v>
      </c>
      <c r="K112" s="13" t="s">
        <v>21</v>
      </c>
      <c r="L112" s="13">
        <v>1</v>
      </c>
      <c r="M112" s="21">
        <v>456000</v>
      </c>
      <c r="N112" s="21">
        <f t="shared" si="2"/>
        <v>456000</v>
      </c>
      <c r="O112" s="13" t="s">
        <v>22</v>
      </c>
    </row>
    <row r="113" spans="1:15" ht="15" customHeight="1" x14ac:dyDescent="0.2">
      <c r="A113" s="13" t="s">
        <v>33</v>
      </c>
      <c r="B113" s="14">
        <v>45929</v>
      </c>
      <c r="C113" s="13">
        <f t="shared" si="3"/>
        <v>149</v>
      </c>
      <c r="D113" s="13">
        <v>1</v>
      </c>
      <c r="G113" s="15" t="s">
        <v>267</v>
      </c>
      <c r="H113" s="13" t="s">
        <v>3825</v>
      </c>
      <c r="I113" s="13">
        <v>112111</v>
      </c>
      <c r="J113" s="13">
        <v>7118</v>
      </c>
      <c r="K113" s="13" t="s">
        <v>21</v>
      </c>
      <c r="L113" s="13">
        <v>1</v>
      </c>
      <c r="M113" s="21">
        <v>456000</v>
      </c>
      <c r="N113" s="21">
        <f t="shared" ref="N113:N117" si="5">L113*M113</f>
        <v>456000</v>
      </c>
      <c r="O113" s="13" t="s">
        <v>22</v>
      </c>
    </row>
    <row r="114" spans="1:15" ht="15" customHeight="1" x14ac:dyDescent="0.2">
      <c r="A114" s="13" t="s">
        <v>33</v>
      </c>
      <c r="B114" s="14">
        <v>45929</v>
      </c>
      <c r="C114" s="13">
        <f t="shared" si="3"/>
        <v>150</v>
      </c>
      <c r="D114" s="13">
        <v>1</v>
      </c>
      <c r="G114" s="15" t="s">
        <v>267</v>
      </c>
      <c r="H114" s="13" t="s">
        <v>3825</v>
      </c>
      <c r="I114" s="13">
        <v>112111</v>
      </c>
      <c r="J114" s="13">
        <v>7118</v>
      </c>
      <c r="K114" s="13" t="s">
        <v>21</v>
      </c>
      <c r="L114" s="13">
        <v>1</v>
      </c>
      <c r="M114" s="21">
        <v>456000</v>
      </c>
      <c r="N114" s="21">
        <f t="shared" si="5"/>
        <v>456000</v>
      </c>
      <c r="O114" s="13" t="s">
        <v>22</v>
      </c>
    </row>
    <row r="115" spans="1:15" ht="15" customHeight="1" x14ac:dyDescent="0.2">
      <c r="A115" s="13" t="s">
        <v>33</v>
      </c>
      <c r="B115" s="14">
        <v>45929</v>
      </c>
      <c r="C115" s="13">
        <f t="shared" si="3"/>
        <v>151</v>
      </c>
      <c r="D115" s="13">
        <v>1</v>
      </c>
      <c r="G115" s="15" t="s">
        <v>267</v>
      </c>
      <c r="H115" s="13" t="s">
        <v>3825</v>
      </c>
      <c r="I115" s="13">
        <v>112111</v>
      </c>
      <c r="J115" s="13">
        <v>7118</v>
      </c>
      <c r="K115" s="13" t="s">
        <v>21</v>
      </c>
      <c r="L115" s="13">
        <v>1</v>
      </c>
      <c r="M115" s="21">
        <v>456000</v>
      </c>
      <c r="N115" s="21">
        <f t="shared" si="5"/>
        <v>456000</v>
      </c>
      <c r="O115" s="13" t="s">
        <v>22</v>
      </c>
    </row>
    <row r="116" spans="1:15" ht="15" customHeight="1" x14ac:dyDescent="0.2">
      <c r="A116" s="13" t="s">
        <v>33</v>
      </c>
      <c r="B116" s="14">
        <v>45929</v>
      </c>
      <c r="C116" s="13">
        <f t="shared" si="3"/>
        <v>152</v>
      </c>
      <c r="D116" s="13">
        <v>1</v>
      </c>
      <c r="G116" s="15" t="s">
        <v>267</v>
      </c>
      <c r="H116" s="13" t="s">
        <v>3825</v>
      </c>
      <c r="I116" s="13">
        <v>112111</v>
      </c>
      <c r="J116" s="13">
        <v>7118</v>
      </c>
      <c r="K116" s="13" t="s">
        <v>21</v>
      </c>
      <c r="L116" s="13">
        <v>1</v>
      </c>
      <c r="M116" s="21">
        <v>456000</v>
      </c>
      <c r="N116" s="21">
        <f t="shared" si="5"/>
        <v>456000</v>
      </c>
      <c r="O116" s="13" t="s">
        <v>22</v>
      </c>
    </row>
    <row r="117" spans="1:15" ht="15" customHeight="1" x14ac:dyDescent="0.2">
      <c r="A117" s="13" t="s">
        <v>89</v>
      </c>
      <c r="B117" s="14">
        <v>45929</v>
      </c>
      <c r="C117" s="13">
        <f t="shared" si="3"/>
        <v>153</v>
      </c>
      <c r="D117" s="13">
        <v>1</v>
      </c>
      <c r="G117" s="15" t="s">
        <v>2936</v>
      </c>
      <c r="H117" s="13" t="s">
        <v>1008</v>
      </c>
      <c r="I117" s="13">
        <v>1111</v>
      </c>
      <c r="J117" s="13">
        <v>112111</v>
      </c>
      <c r="K117" s="13" t="s">
        <v>21</v>
      </c>
      <c r="L117" s="13">
        <v>1</v>
      </c>
      <c r="M117" s="21">
        <v>10000000</v>
      </c>
      <c r="N117" s="21">
        <f t="shared" si="5"/>
        <v>10000000</v>
      </c>
      <c r="O117" s="13" t="s">
        <v>22</v>
      </c>
    </row>
  </sheetData>
  <autoFilter ref="A3:P117" xr:uid="{00000000-0009-0000-0000-000011000000}"/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98"/>
  <sheetViews>
    <sheetView topLeftCell="A70" workbookViewId="0">
      <selection activeCell="G84" sqref="G84:J84"/>
    </sheetView>
  </sheetViews>
  <sheetFormatPr defaultRowHeight="15" customHeight="1" x14ac:dyDescent="0.2"/>
  <cols>
    <col min="1" max="6" width="9.140625" style="13"/>
    <col min="7" max="7" width="9.140625" style="15"/>
    <col min="8" max="8" width="28.28515625" style="13" customWidth="1"/>
    <col min="9" max="12" width="9.140625" style="13"/>
    <col min="13" max="14" width="10.7109375" style="21" bestFit="1" customWidth="1"/>
    <col min="15" max="17" width="9.140625" style="13"/>
    <col min="18" max="18" width="10.85546875" style="13" bestFit="1" customWidth="1"/>
    <col min="19" max="20" width="9.5703125" style="13" bestFit="1" customWidth="1"/>
    <col min="21" max="25" width="9.140625" style="13"/>
    <col min="26" max="28" width="9.140625" style="15"/>
    <col min="29" max="16384" width="9.140625" style="13"/>
  </cols>
  <sheetData>
    <row r="1" spans="1:20" ht="15" customHeight="1" thickBot="1" x14ac:dyDescent="0.25">
      <c r="A1" s="164" t="s">
        <v>0</v>
      </c>
      <c r="B1" s="154" t="s">
        <v>1</v>
      </c>
      <c r="C1" s="164" t="s">
        <v>2</v>
      </c>
      <c r="D1" s="170" t="s">
        <v>3</v>
      </c>
      <c r="E1" s="170" t="s">
        <v>4</v>
      </c>
      <c r="F1" s="170" t="s">
        <v>5</v>
      </c>
      <c r="G1" s="158" t="s">
        <v>6</v>
      </c>
      <c r="H1" s="160" t="s">
        <v>7</v>
      </c>
      <c r="I1" s="162" t="s">
        <v>8</v>
      </c>
      <c r="J1" s="163"/>
      <c r="K1" s="164" t="s">
        <v>9</v>
      </c>
      <c r="L1" s="164" t="s">
        <v>10</v>
      </c>
      <c r="M1" s="194" t="s">
        <v>1287</v>
      </c>
      <c r="N1" s="194" t="s">
        <v>1288</v>
      </c>
      <c r="O1" s="55" t="s">
        <v>1289</v>
      </c>
      <c r="P1" s="46"/>
    </row>
    <row r="2" spans="1:20" ht="15" customHeight="1" thickBot="1" x14ac:dyDescent="0.25">
      <c r="A2" s="165"/>
      <c r="B2" s="155"/>
      <c r="C2" s="165"/>
      <c r="D2" s="171"/>
      <c r="E2" s="171"/>
      <c r="F2" s="172"/>
      <c r="G2" s="159"/>
      <c r="H2" s="161"/>
      <c r="I2" s="56" t="s">
        <v>13</v>
      </c>
      <c r="J2" s="57" t="s">
        <v>14</v>
      </c>
      <c r="K2" s="165"/>
      <c r="L2" s="165"/>
      <c r="M2" s="195"/>
      <c r="N2" s="195"/>
      <c r="O2" s="46" t="s">
        <v>1289</v>
      </c>
      <c r="P2" s="46"/>
    </row>
    <row r="3" spans="1:20" ht="15" customHeight="1" x14ac:dyDescent="0.2">
      <c r="A3" s="58"/>
      <c r="B3" s="107"/>
      <c r="C3" s="58"/>
      <c r="D3" s="60">
        <v>38</v>
      </c>
      <c r="E3" s="60"/>
      <c r="F3" s="60"/>
      <c r="G3" s="62" t="s">
        <v>15</v>
      </c>
      <c r="H3" s="63"/>
      <c r="I3" s="63"/>
      <c r="J3" s="63"/>
      <c r="K3" s="58"/>
      <c r="L3" s="58"/>
      <c r="M3" s="108"/>
      <c r="N3" s="108"/>
      <c r="O3" s="46" t="s">
        <v>16</v>
      </c>
      <c r="P3" s="46" t="s">
        <v>17</v>
      </c>
    </row>
    <row r="4" spans="1:20" ht="15" customHeight="1" x14ac:dyDescent="0.2">
      <c r="A4" s="13" t="s">
        <v>18</v>
      </c>
      <c r="B4" s="13" t="s">
        <v>2042</v>
      </c>
      <c r="C4" s="13" t="str">
        <f>TEXT(D4,"000")</f>
        <v>039</v>
      </c>
      <c r="D4" s="13">
        <v>39</v>
      </c>
      <c r="G4" s="15" t="s">
        <v>1539</v>
      </c>
      <c r="H4" s="13" t="s">
        <v>3245</v>
      </c>
      <c r="I4" s="13">
        <v>131</v>
      </c>
      <c r="J4" s="13">
        <v>5113</v>
      </c>
      <c r="K4" s="13" t="s">
        <v>21</v>
      </c>
      <c r="L4" s="13">
        <v>1</v>
      </c>
      <c r="M4" s="21">
        <v>16129032</v>
      </c>
      <c r="N4" s="21">
        <f>L4*M4</f>
        <v>16129032</v>
      </c>
      <c r="O4" s="13" t="s">
        <v>998</v>
      </c>
      <c r="R4" s="114">
        <v>2415302343</v>
      </c>
      <c r="S4" s="13">
        <v>1942280972</v>
      </c>
      <c r="T4" s="114">
        <f>R4-S4</f>
        <v>473021371</v>
      </c>
    </row>
    <row r="5" spans="1:20" ht="15" customHeight="1" x14ac:dyDescent="0.2">
      <c r="A5" s="13" t="s">
        <v>18</v>
      </c>
      <c r="B5" s="13" t="s">
        <v>2042</v>
      </c>
      <c r="C5" s="13" t="str">
        <f t="shared" ref="C5:C68" si="0">TEXT(D5,"000")</f>
        <v>040</v>
      </c>
      <c r="D5" s="13">
        <f>D4+1</f>
        <v>40</v>
      </c>
      <c r="G5" s="15" t="s">
        <v>1539</v>
      </c>
      <c r="H5" s="13" t="s">
        <v>3246</v>
      </c>
      <c r="I5" s="13">
        <v>333821</v>
      </c>
      <c r="J5" s="13">
        <v>131</v>
      </c>
      <c r="K5" s="13" t="s">
        <v>21</v>
      </c>
      <c r="L5" s="13">
        <v>1</v>
      </c>
      <c r="M5" s="21">
        <v>161290</v>
      </c>
      <c r="N5" s="21">
        <f t="shared" ref="N5:N43" si="1">L5*M5</f>
        <v>161290</v>
      </c>
      <c r="O5" s="13" t="s">
        <v>998</v>
      </c>
      <c r="R5" s="114">
        <v>940234813</v>
      </c>
      <c r="S5" s="13">
        <v>617213442</v>
      </c>
      <c r="T5" s="114">
        <f>R5-S5</f>
        <v>323021371</v>
      </c>
    </row>
    <row r="6" spans="1:20" ht="15" customHeight="1" x14ac:dyDescent="0.2">
      <c r="A6" s="13" t="s">
        <v>18</v>
      </c>
      <c r="B6" s="13" t="s">
        <v>2118</v>
      </c>
      <c r="C6" s="13" t="str">
        <f t="shared" si="0"/>
        <v>041</v>
      </c>
      <c r="D6" s="13">
        <f t="shared" ref="D6:D69" si="2">D5+1</f>
        <v>41</v>
      </c>
      <c r="G6" s="15" t="s">
        <v>1136</v>
      </c>
      <c r="H6" s="13" t="s">
        <v>3247</v>
      </c>
      <c r="I6" s="13">
        <v>131</v>
      </c>
      <c r="J6" s="13">
        <v>5113</v>
      </c>
      <c r="K6" s="13" t="s">
        <v>21</v>
      </c>
      <c r="L6" s="13">
        <v>1</v>
      </c>
      <c r="M6" s="21">
        <v>36902745</v>
      </c>
      <c r="N6" s="21">
        <f t="shared" si="1"/>
        <v>36902745</v>
      </c>
      <c r="O6" s="13" t="s">
        <v>998</v>
      </c>
      <c r="T6" s="114">
        <f>T4-T5</f>
        <v>150000000</v>
      </c>
    </row>
    <row r="7" spans="1:20" ht="15" customHeight="1" x14ac:dyDescent="0.2">
      <c r="A7" s="13" t="s">
        <v>18</v>
      </c>
      <c r="B7" s="13" t="s">
        <v>2118</v>
      </c>
      <c r="C7" s="13" t="str">
        <f t="shared" si="0"/>
        <v>042</v>
      </c>
      <c r="D7" s="13">
        <f t="shared" si="2"/>
        <v>42</v>
      </c>
      <c r="G7" s="15" t="s">
        <v>1136</v>
      </c>
      <c r="H7" s="13" t="s">
        <v>3248</v>
      </c>
      <c r="I7" s="13">
        <v>333821</v>
      </c>
      <c r="J7" s="13">
        <v>131</v>
      </c>
      <c r="K7" s="13" t="s">
        <v>21</v>
      </c>
      <c r="L7" s="13">
        <v>1</v>
      </c>
      <c r="M7" s="21">
        <v>369027</v>
      </c>
      <c r="N7" s="21">
        <f t="shared" si="1"/>
        <v>369027</v>
      </c>
      <c r="O7" s="13" t="s">
        <v>998</v>
      </c>
    </row>
    <row r="8" spans="1:20" ht="15" customHeight="1" x14ac:dyDescent="0.2">
      <c r="A8" s="13" t="s">
        <v>18</v>
      </c>
      <c r="B8" s="13" t="s">
        <v>2121</v>
      </c>
      <c r="C8" s="13" t="str">
        <f t="shared" si="0"/>
        <v>043</v>
      </c>
      <c r="D8" s="13">
        <f t="shared" si="2"/>
        <v>43</v>
      </c>
      <c r="G8" s="15" t="s">
        <v>627</v>
      </c>
      <c r="H8" s="13" t="s">
        <v>3249</v>
      </c>
      <c r="I8" s="13">
        <v>131</v>
      </c>
      <c r="J8" s="13">
        <v>5113</v>
      </c>
      <c r="K8" s="13" t="s">
        <v>21</v>
      </c>
      <c r="L8" s="13">
        <v>1</v>
      </c>
      <c r="M8" s="21">
        <v>10752688</v>
      </c>
      <c r="N8" s="21">
        <f t="shared" si="1"/>
        <v>10752688</v>
      </c>
      <c r="O8" s="13" t="s">
        <v>998</v>
      </c>
    </row>
    <row r="9" spans="1:20" ht="15" customHeight="1" x14ac:dyDescent="0.2">
      <c r="A9" s="13" t="s">
        <v>18</v>
      </c>
      <c r="B9" s="13" t="s">
        <v>2121</v>
      </c>
      <c r="C9" s="13" t="str">
        <f t="shared" si="0"/>
        <v>044</v>
      </c>
      <c r="D9" s="13">
        <f t="shared" si="2"/>
        <v>44</v>
      </c>
      <c r="G9" s="15" t="s">
        <v>627</v>
      </c>
      <c r="H9" s="13" t="s">
        <v>3250</v>
      </c>
      <c r="I9" s="13">
        <v>333821</v>
      </c>
      <c r="J9" s="13">
        <v>131</v>
      </c>
      <c r="K9" s="13" t="s">
        <v>21</v>
      </c>
      <c r="L9" s="13">
        <v>1</v>
      </c>
      <c r="M9" s="21">
        <v>107527</v>
      </c>
      <c r="N9" s="21">
        <f t="shared" si="1"/>
        <v>107527</v>
      </c>
      <c r="O9" s="13" t="s">
        <v>998</v>
      </c>
    </row>
    <row r="10" spans="1:20" ht="15" customHeight="1" x14ac:dyDescent="0.2">
      <c r="A10" s="13" t="s">
        <v>18</v>
      </c>
      <c r="B10" s="13" t="s">
        <v>1414</v>
      </c>
      <c r="C10" s="13" t="str">
        <f t="shared" si="0"/>
        <v>045</v>
      </c>
      <c r="D10" s="13">
        <f t="shared" si="2"/>
        <v>45</v>
      </c>
      <c r="G10" s="15" t="s">
        <v>3269</v>
      </c>
      <c r="H10" s="13" t="s">
        <v>3251</v>
      </c>
      <c r="I10" s="13">
        <v>131</v>
      </c>
      <c r="J10" s="13">
        <v>5113</v>
      </c>
      <c r="K10" s="13" t="s">
        <v>21</v>
      </c>
      <c r="L10" s="13">
        <v>1</v>
      </c>
      <c r="M10" s="21">
        <v>61290322</v>
      </c>
      <c r="N10" s="21">
        <f t="shared" si="1"/>
        <v>61290322</v>
      </c>
      <c r="O10" s="13" t="s">
        <v>998</v>
      </c>
    </row>
    <row r="11" spans="1:20" ht="15" customHeight="1" x14ac:dyDescent="0.2">
      <c r="A11" s="13" t="s">
        <v>18</v>
      </c>
      <c r="B11" s="13" t="s">
        <v>1414</v>
      </c>
      <c r="C11" s="13" t="str">
        <f t="shared" si="0"/>
        <v>046</v>
      </c>
      <c r="D11" s="13">
        <f t="shared" si="2"/>
        <v>46</v>
      </c>
      <c r="G11" s="15" t="s">
        <v>3269</v>
      </c>
      <c r="H11" s="13" t="s">
        <v>3252</v>
      </c>
      <c r="I11" s="13">
        <v>333821</v>
      </c>
      <c r="J11" s="13">
        <v>131</v>
      </c>
      <c r="K11" s="13" t="s">
        <v>21</v>
      </c>
      <c r="L11" s="13">
        <v>1</v>
      </c>
      <c r="M11" s="21">
        <v>612903</v>
      </c>
      <c r="N11" s="21">
        <f t="shared" si="1"/>
        <v>612903</v>
      </c>
      <c r="O11" s="13" t="s">
        <v>998</v>
      </c>
    </row>
    <row r="12" spans="1:20" ht="15" customHeight="1" x14ac:dyDescent="0.2">
      <c r="A12" s="13" t="s">
        <v>18</v>
      </c>
      <c r="B12" s="13" t="s">
        <v>1414</v>
      </c>
      <c r="C12" s="13" t="str">
        <f t="shared" si="0"/>
        <v>047</v>
      </c>
      <c r="D12" s="13">
        <f t="shared" si="2"/>
        <v>47</v>
      </c>
      <c r="G12" s="15" t="s">
        <v>1434</v>
      </c>
      <c r="H12" s="13" t="s">
        <v>3253</v>
      </c>
      <c r="I12" s="13">
        <v>131</v>
      </c>
      <c r="J12" s="13">
        <v>5113</v>
      </c>
      <c r="K12" s="13" t="s">
        <v>21</v>
      </c>
      <c r="L12" s="13">
        <v>1</v>
      </c>
      <c r="M12" s="21">
        <v>10808081</v>
      </c>
      <c r="N12" s="21">
        <f t="shared" si="1"/>
        <v>10808081</v>
      </c>
      <c r="O12" s="13" t="s">
        <v>998</v>
      </c>
    </row>
    <row r="13" spans="1:20" ht="15" customHeight="1" x14ac:dyDescent="0.2">
      <c r="A13" s="13" t="s">
        <v>18</v>
      </c>
      <c r="B13" s="13" t="s">
        <v>1414</v>
      </c>
      <c r="C13" s="13" t="str">
        <f t="shared" si="0"/>
        <v>048</v>
      </c>
      <c r="D13" s="13">
        <f t="shared" si="2"/>
        <v>48</v>
      </c>
      <c r="G13" s="15" t="s">
        <v>1434</v>
      </c>
      <c r="H13" s="13" t="s">
        <v>3254</v>
      </c>
      <c r="I13" s="13">
        <v>333821</v>
      </c>
      <c r="J13" s="13">
        <v>131</v>
      </c>
      <c r="K13" s="13" t="s">
        <v>21</v>
      </c>
      <c r="L13" s="13">
        <v>1</v>
      </c>
      <c r="M13" s="21">
        <v>108081</v>
      </c>
      <c r="N13" s="21">
        <f t="shared" si="1"/>
        <v>108081</v>
      </c>
      <c r="O13" s="13" t="s">
        <v>998</v>
      </c>
    </row>
    <row r="14" spans="1:20" ht="15" customHeight="1" x14ac:dyDescent="0.2">
      <c r="A14" s="13" t="s">
        <v>18</v>
      </c>
      <c r="B14" s="13" t="s">
        <v>1417</v>
      </c>
      <c r="C14" s="13" t="str">
        <f t="shared" si="0"/>
        <v>049</v>
      </c>
      <c r="D14" s="13">
        <f t="shared" si="2"/>
        <v>49</v>
      </c>
      <c r="G14" s="15" t="s">
        <v>1539</v>
      </c>
      <c r="H14" s="13" t="s">
        <v>3255</v>
      </c>
      <c r="I14" s="13">
        <v>131</v>
      </c>
      <c r="J14" s="13">
        <v>5113</v>
      </c>
      <c r="K14" s="13" t="s">
        <v>21</v>
      </c>
      <c r="L14" s="13">
        <v>1</v>
      </c>
      <c r="M14" s="21">
        <v>5431313</v>
      </c>
      <c r="N14" s="21">
        <f t="shared" si="1"/>
        <v>5431313</v>
      </c>
      <c r="O14" s="13" t="s">
        <v>998</v>
      </c>
    </row>
    <row r="15" spans="1:20" ht="15" customHeight="1" x14ac:dyDescent="0.2">
      <c r="A15" s="13" t="s">
        <v>18</v>
      </c>
      <c r="B15" s="13" t="s">
        <v>1417</v>
      </c>
      <c r="C15" s="13" t="str">
        <f t="shared" si="0"/>
        <v>050</v>
      </c>
      <c r="D15" s="13">
        <f t="shared" si="2"/>
        <v>50</v>
      </c>
      <c r="G15" s="15" t="s">
        <v>1539</v>
      </c>
      <c r="H15" s="13" t="s">
        <v>3256</v>
      </c>
      <c r="I15" s="13">
        <v>333821</v>
      </c>
      <c r="J15" s="13">
        <v>131</v>
      </c>
      <c r="K15" s="13" t="s">
        <v>21</v>
      </c>
      <c r="L15" s="13">
        <v>1</v>
      </c>
      <c r="M15" s="21">
        <v>54313</v>
      </c>
      <c r="N15" s="21">
        <f t="shared" si="1"/>
        <v>54313</v>
      </c>
      <c r="O15" s="13" t="s">
        <v>998</v>
      </c>
    </row>
    <row r="16" spans="1:20" ht="15" customHeight="1" x14ac:dyDescent="0.2">
      <c r="A16" s="13" t="s">
        <v>18</v>
      </c>
      <c r="B16" s="13" t="s">
        <v>1417</v>
      </c>
      <c r="C16" s="13" t="str">
        <f t="shared" si="0"/>
        <v>051</v>
      </c>
      <c r="D16" s="13">
        <f t="shared" si="2"/>
        <v>51</v>
      </c>
      <c r="G16" s="15" t="s">
        <v>1015</v>
      </c>
      <c r="H16" s="13" t="s">
        <v>3257</v>
      </c>
      <c r="I16" s="13">
        <v>131</v>
      </c>
      <c r="J16" s="13">
        <v>5113</v>
      </c>
      <c r="K16" s="13" t="s">
        <v>21</v>
      </c>
      <c r="L16" s="13">
        <v>1</v>
      </c>
      <c r="M16" s="21">
        <v>10752688</v>
      </c>
      <c r="N16" s="21">
        <f t="shared" si="1"/>
        <v>10752688</v>
      </c>
      <c r="O16" s="13" t="s">
        <v>998</v>
      </c>
    </row>
    <row r="17" spans="1:15" ht="15" customHeight="1" x14ac:dyDescent="0.2">
      <c r="A17" s="13" t="s">
        <v>18</v>
      </c>
      <c r="B17" s="13" t="s">
        <v>1417</v>
      </c>
      <c r="C17" s="13" t="str">
        <f t="shared" si="0"/>
        <v>052</v>
      </c>
      <c r="D17" s="13">
        <f t="shared" si="2"/>
        <v>52</v>
      </c>
      <c r="G17" s="15" t="s">
        <v>1015</v>
      </c>
      <c r="H17" s="13" t="s">
        <v>3258</v>
      </c>
      <c r="I17" s="13">
        <v>333821</v>
      </c>
      <c r="J17" s="13">
        <v>131</v>
      </c>
      <c r="K17" s="13" t="s">
        <v>21</v>
      </c>
      <c r="L17" s="13">
        <v>1</v>
      </c>
      <c r="M17" s="21">
        <v>107527</v>
      </c>
      <c r="N17" s="21">
        <f t="shared" si="1"/>
        <v>107527</v>
      </c>
      <c r="O17" s="13" t="s">
        <v>998</v>
      </c>
    </row>
    <row r="18" spans="1:15" ht="15" customHeight="1" x14ac:dyDescent="0.2">
      <c r="A18" s="13" t="s">
        <v>18</v>
      </c>
      <c r="B18" s="13" t="s">
        <v>1420</v>
      </c>
      <c r="C18" s="13" t="str">
        <f t="shared" si="0"/>
        <v>053</v>
      </c>
      <c r="D18" s="13">
        <f t="shared" si="2"/>
        <v>53</v>
      </c>
      <c r="G18" s="15" t="s">
        <v>1539</v>
      </c>
      <c r="H18" s="13" t="s">
        <v>3259</v>
      </c>
      <c r="I18" s="13">
        <v>131</v>
      </c>
      <c r="J18" s="13">
        <v>5113</v>
      </c>
      <c r="K18" s="13" t="s">
        <v>21</v>
      </c>
      <c r="L18" s="13">
        <v>1</v>
      </c>
      <c r="M18" s="21">
        <v>12903226</v>
      </c>
      <c r="N18" s="21">
        <f t="shared" si="1"/>
        <v>12903226</v>
      </c>
      <c r="O18" s="13" t="s">
        <v>22</v>
      </c>
    </row>
    <row r="19" spans="1:15" ht="15" customHeight="1" x14ac:dyDescent="0.2">
      <c r="A19" s="13" t="s">
        <v>18</v>
      </c>
      <c r="B19" s="13" t="s">
        <v>1420</v>
      </c>
      <c r="C19" s="13" t="str">
        <f t="shared" si="0"/>
        <v>054</v>
      </c>
      <c r="D19" s="13">
        <f t="shared" si="2"/>
        <v>54</v>
      </c>
      <c r="G19" s="15" t="s">
        <v>1539</v>
      </c>
      <c r="H19" s="13" t="s">
        <v>3260</v>
      </c>
      <c r="I19" s="13">
        <v>333821</v>
      </c>
      <c r="J19" s="13">
        <v>131</v>
      </c>
      <c r="K19" s="13" t="s">
        <v>21</v>
      </c>
      <c r="L19" s="13">
        <v>1</v>
      </c>
      <c r="M19" s="21">
        <v>129032</v>
      </c>
      <c r="N19" s="21">
        <f t="shared" si="1"/>
        <v>129032</v>
      </c>
      <c r="O19" s="13" t="s">
        <v>22</v>
      </c>
    </row>
    <row r="20" spans="1:15" ht="15" customHeight="1" x14ac:dyDescent="0.2">
      <c r="A20" s="13" t="s">
        <v>18</v>
      </c>
      <c r="B20" s="13" t="s">
        <v>1422</v>
      </c>
      <c r="C20" s="13" t="str">
        <f t="shared" si="0"/>
        <v>055</v>
      </c>
      <c r="D20" s="13">
        <f t="shared" si="2"/>
        <v>55</v>
      </c>
      <c r="G20" s="15" t="s">
        <v>1136</v>
      </c>
      <c r="H20" s="13" t="s">
        <v>3261</v>
      </c>
      <c r="I20" s="13">
        <v>131</v>
      </c>
      <c r="J20" s="13">
        <v>5113</v>
      </c>
      <c r="K20" s="13" t="s">
        <v>21</v>
      </c>
      <c r="L20" s="13">
        <v>1</v>
      </c>
      <c r="M20" s="21">
        <v>12903226</v>
      </c>
      <c r="N20" s="21">
        <f t="shared" si="1"/>
        <v>12903226</v>
      </c>
      <c r="O20" s="13" t="s">
        <v>22</v>
      </c>
    </row>
    <row r="21" spans="1:15" ht="15" customHeight="1" x14ac:dyDescent="0.2">
      <c r="A21" s="13" t="s">
        <v>18</v>
      </c>
      <c r="B21" s="13" t="s">
        <v>1422</v>
      </c>
      <c r="C21" s="13" t="str">
        <f t="shared" si="0"/>
        <v>056</v>
      </c>
      <c r="D21" s="13">
        <f t="shared" si="2"/>
        <v>56</v>
      </c>
      <c r="G21" s="15" t="s">
        <v>1136</v>
      </c>
      <c r="H21" s="13" t="s">
        <v>3262</v>
      </c>
      <c r="I21" s="13">
        <v>333821</v>
      </c>
      <c r="J21" s="13">
        <v>131</v>
      </c>
      <c r="K21" s="13" t="s">
        <v>21</v>
      </c>
      <c r="L21" s="13">
        <v>1</v>
      </c>
      <c r="M21" s="21">
        <v>129032</v>
      </c>
      <c r="N21" s="21">
        <f t="shared" si="1"/>
        <v>129032</v>
      </c>
      <c r="O21" s="13" t="s">
        <v>22</v>
      </c>
    </row>
    <row r="22" spans="1:15" ht="15" customHeight="1" x14ac:dyDescent="0.2">
      <c r="A22" s="13" t="s">
        <v>18</v>
      </c>
      <c r="B22" s="13" t="s">
        <v>1423</v>
      </c>
      <c r="C22" s="13" t="str">
        <f t="shared" si="0"/>
        <v>057</v>
      </c>
      <c r="D22" s="13">
        <f t="shared" si="2"/>
        <v>57</v>
      </c>
      <c r="G22" s="15" t="s">
        <v>771</v>
      </c>
      <c r="H22" s="13" t="s">
        <v>3263</v>
      </c>
      <c r="I22" s="13">
        <v>131</v>
      </c>
      <c r="J22" s="13">
        <v>5113</v>
      </c>
      <c r="K22" s="13" t="s">
        <v>21</v>
      </c>
      <c r="L22" s="13">
        <v>1</v>
      </c>
      <c r="M22" s="21">
        <v>16129032</v>
      </c>
      <c r="N22" s="21">
        <f t="shared" si="1"/>
        <v>16129032</v>
      </c>
      <c r="O22" s="13" t="s">
        <v>22</v>
      </c>
    </row>
    <row r="23" spans="1:15" ht="15" customHeight="1" x14ac:dyDescent="0.2">
      <c r="A23" s="13" t="s">
        <v>18</v>
      </c>
      <c r="B23" s="13" t="s">
        <v>1423</v>
      </c>
      <c r="C23" s="13" t="str">
        <f t="shared" si="0"/>
        <v>058</v>
      </c>
      <c r="D23" s="13">
        <f t="shared" si="2"/>
        <v>58</v>
      </c>
      <c r="G23" s="15" t="s">
        <v>771</v>
      </c>
      <c r="H23" s="13" t="s">
        <v>3264</v>
      </c>
      <c r="I23" s="13">
        <v>333821</v>
      </c>
      <c r="J23" s="13">
        <v>131</v>
      </c>
      <c r="K23" s="13" t="s">
        <v>21</v>
      </c>
      <c r="L23" s="13">
        <v>1</v>
      </c>
      <c r="M23" s="21">
        <v>161290</v>
      </c>
      <c r="N23" s="21">
        <f t="shared" si="1"/>
        <v>161290</v>
      </c>
      <c r="O23" s="13" t="s">
        <v>22</v>
      </c>
    </row>
    <row r="24" spans="1:15" ht="15" customHeight="1" x14ac:dyDescent="0.2">
      <c r="A24" s="13" t="s">
        <v>18</v>
      </c>
      <c r="B24" s="13" t="s">
        <v>1423</v>
      </c>
      <c r="C24" s="13" t="str">
        <f t="shared" si="0"/>
        <v>059</v>
      </c>
      <c r="D24" s="13">
        <f t="shared" si="2"/>
        <v>59</v>
      </c>
      <c r="G24" s="15" t="s">
        <v>627</v>
      </c>
      <c r="H24" s="13" t="s">
        <v>3265</v>
      </c>
      <c r="I24" s="13">
        <v>131</v>
      </c>
      <c r="J24" s="13">
        <v>5113</v>
      </c>
      <c r="K24" s="13" t="s">
        <v>21</v>
      </c>
      <c r="L24" s="13">
        <v>1</v>
      </c>
      <c r="M24" s="21">
        <v>10752688</v>
      </c>
      <c r="N24" s="21">
        <f t="shared" si="1"/>
        <v>10752688</v>
      </c>
      <c r="O24" s="13" t="s">
        <v>22</v>
      </c>
    </row>
    <row r="25" spans="1:15" ht="15" customHeight="1" x14ac:dyDescent="0.2">
      <c r="A25" s="13" t="s">
        <v>18</v>
      </c>
      <c r="B25" s="13" t="s">
        <v>1423</v>
      </c>
      <c r="C25" s="13" t="str">
        <f t="shared" si="0"/>
        <v>060</v>
      </c>
      <c r="D25" s="13">
        <f t="shared" si="2"/>
        <v>60</v>
      </c>
      <c r="G25" s="15" t="s">
        <v>627</v>
      </c>
      <c r="H25" s="13" t="s">
        <v>3266</v>
      </c>
      <c r="I25" s="13">
        <v>333821</v>
      </c>
      <c r="J25" s="13">
        <v>131</v>
      </c>
      <c r="K25" s="13" t="s">
        <v>21</v>
      </c>
      <c r="L25" s="13">
        <v>1</v>
      </c>
      <c r="M25" s="21">
        <v>107527</v>
      </c>
      <c r="N25" s="21">
        <f t="shared" si="1"/>
        <v>107527</v>
      </c>
      <c r="O25" s="13" t="s">
        <v>22</v>
      </c>
    </row>
    <row r="26" spans="1:15" ht="15" customHeight="1" x14ac:dyDescent="0.2">
      <c r="A26" s="13" t="s">
        <v>18</v>
      </c>
      <c r="B26" s="13" t="s">
        <v>2078</v>
      </c>
      <c r="C26" s="13" t="str">
        <f t="shared" si="0"/>
        <v>061</v>
      </c>
      <c r="D26" s="13">
        <f t="shared" si="2"/>
        <v>61</v>
      </c>
      <c r="G26" s="15" t="s">
        <v>1136</v>
      </c>
      <c r="H26" s="13" t="s">
        <v>3267</v>
      </c>
      <c r="I26" s="13">
        <v>131</v>
      </c>
      <c r="J26" s="13">
        <v>5113</v>
      </c>
      <c r="K26" s="13" t="s">
        <v>21</v>
      </c>
      <c r="L26" s="13">
        <v>1</v>
      </c>
      <c r="M26" s="21">
        <v>17129714</v>
      </c>
      <c r="N26" s="21">
        <f t="shared" si="1"/>
        <v>17129714</v>
      </c>
      <c r="O26" s="13" t="s">
        <v>22</v>
      </c>
    </row>
    <row r="27" spans="1:15" ht="15" customHeight="1" x14ac:dyDescent="0.2">
      <c r="A27" s="13" t="s">
        <v>18</v>
      </c>
      <c r="B27" s="13" t="s">
        <v>2078</v>
      </c>
      <c r="C27" s="13" t="str">
        <f t="shared" si="0"/>
        <v>062</v>
      </c>
      <c r="D27" s="13">
        <f t="shared" si="2"/>
        <v>62</v>
      </c>
      <c r="G27" s="15" t="s">
        <v>1136</v>
      </c>
      <c r="H27" s="13" t="s">
        <v>3268</v>
      </c>
      <c r="I27" s="13">
        <v>333821</v>
      </c>
      <c r="J27" s="13">
        <v>131</v>
      </c>
      <c r="K27" s="13" t="s">
        <v>21</v>
      </c>
      <c r="L27" s="13">
        <v>1</v>
      </c>
      <c r="M27" s="21">
        <v>171297</v>
      </c>
      <c r="N27" s="21">
        <f t="shared" si="1"/>
        <v>171297</v>
      </c>
      <c r="O27" s="13" t="s">
        <v>22</v>
      </c>
    </row>
    <row r="28" spans="1:15" ht="15" customHeight="1" x14ac:dyDescent="0.2">
      <c r="A28" s="13" t="s">
        <v>18</v>
      </c>
      <c r="B28" s="13" t="s">
        <v>2355</v>
      </c>
      <c r="C28" s="13" t="str">
        <f t="shared" si="0"/>
        <v>063</v>
      </c>
      <c r="D28" s="13">
        <f t="shared" si="2"/>
        <v>63</v>
      </c>
      <c r="G28" s="15" t="s">
        <v>158</v>
      </c>
      <c r="H28" s="13" t="s">
        <v>3270</v>
      </c>
      <c r="I28" s="13">
        <v>64277</v>
      </c>
      <c r="J28" s="13">
        <v>331</v>
      </c>
      <c r="K28" s="13" t="s">
        <v>21</v>
      </c>
      <c r="L28" s="13">
        <v>1</v>
      </c>
      <c r="M28" s="21">
        <v>3240000</v>
      </c>
      <c r="N28" s="21">
        <f t="shared" si="1"/>
        <v>3240000</v>
      </c>
      <c r="O28" s="13" t="s">
        <v>22</v>
      </c>
    </row>
    <row r="29" spans="1:15" ht="15" customHeight="1" x14ac:dyDescent="0.2">
      <c r="A29" s="13" t="s">
        <v>18</v>
      </c>
      <c r="B29" s="13" t="s">
        <v>2045</v>
      </c>
      <c r="C29" s="13" t="str">
        <f t="shared" si="0"/>
        <v>064</v>
      </c>
      <c r="D29" s="13">
        <f t="shared" si="2"/>
        <v>64</v>
      </c>
      <c r="G29" s="15" t="s">
        <v>3271</v>
      </c>
      <c r="H29" s="13" t="s">
        <v>3752</v>
      </c>
      <c r="I29" s="13">
        <v>64274</v>
      </c>
      <c r="J29" s="13">
        <v>331</v>
      </c>
      <c r="K29" s="13" t="s">
        <v>21</v>
      </c>
      <c r="L29" s="13">
        <v>1</v>
      </c>
      <c r="M29" s="21">
        <v>265600</v>
      </c>
      <c r="N29" s="21">
        <f t="shared" si="1"/>
        <v>265600</v>
      </c>
      <c r="O29" s="13" t="s">
        <v>22</v>
      </c>
    </row>
    <row r="30" spans="1:15" ht="15" customHeight="1" x14ac:dyDescent="0.2">
      <c r="A30" s="13" t="s">
        <v>18</v>
      </c>
      <c r="B30" s="13" t="s">
        <v>2355</v>
      </c>
      <c r="C30" s="13" t="str">
        <f t="shared" si="0"/>
        <v>065</v>
      </c>
      <c r="D30" s="13">
        <f t="shared" si="2"/>
        <v>65</v>
      </c>
      <c r="G30" s="15" t="s">
        <v>3272</v>
      </c>
      <c r="H30" s="13" t="s">
        <v>3746</v>
      </c>
      <c r="I30" s="13">
        <v>64277</v>
      </c>
      <c r="J30" s="13">
        <v>331</v>
      </c>
      <c r="K30" s="13" t="s">
        <v>21</v>
      </c>
      <c r="L30" s="13">
        <v>1</v>
      </c>
      <c r="M30" s="21">
        <v>632880</v>
      </c>
      <c r="N30" s="21">
        <f t="shared" si="1"/>
        <v>632880</v>
      </c>
      <c r="O30" s="13" t="s">
        <v>22</v>
      </c>
    </row>
    <row r="31" spans="1:15" ht="15" customHeight="1" x14ac:dyDescent="0.2">
      <c r="A31" s="13" t="s">
        <v>18</v>
      </c>
      <c r="B31" s="13" t="s">
        <v>2355</v>
      </c>
      <c r="C31" s="13" t="str">
        <f t="shared" si="0"/>
        <v>066</v>
      </c>
      <c r="D31" s="13">
        <f t="shared" si="2"/>
        <v>66</v>
      </c>
      <c r="G31" s="15" t="s">
        <v>35</v>
      </c>
      <c r="H31" s="13" t="s">
        <v>3749</v>
      </c>
      <c r="I31" s="13">
        <v>64277</v>
      </c>
      <c r="J31" s="13">
        <v>331</v>
      </c>
      <c r="K31" s="13" t="s">
        <v>21</v>
      </c>
      <c r="L31" s="13">
        <v>1</v>
      </c>
      <c r="M31" s="21">
        <v>36000</v>
      </c>
      <c r="N31" s="21">
        <f t="shared" si="1"/>
        <v>36000</v>
      </c>
      <c r="O31" s="13" t="s">
        <v>22</v>
      </c>
    </row>
    <row r="32" spans="1:15" ht="15" customHeight="1" x14ac:dyDescent="0.2">
      <c r="A32" s="13" t="s">
        <v>18</v>
      </c>
      <c r="B32" s="13" t="s">
        <v>2356</v>
      </c>
      <c r="C32" s="13" t="str">
        <f t="shared" si="0"/>
        <v>067</v>
      </c>
      <c r="D32" s="13">
        <f t="shared" si="2"/>
        <v>67</v>
      </c>
      <c r="G32" s="15" t="s">
        <v>35</v>
      </c>
      <c r="H32" s="13" t="s">
        <v>3750</v>
      </c>
      <c r="I32" s="13">
        <v>64277</v>
      </c>
      <c r="J32" s="13">
        <v>331</v>
      </c>
      <c r="K32" s="13" t="s">
        <v>21</v>
      </c>
      <c r="L32" s="13">
        <v>1</v>
      </c>
      <c r="M32" s="21">
        <v>20000</v>
      </c>
      <c r="N32" s="21">
        <f t="shared" si="1"/>
        <v>20000</v>
      </c>
      <c r="O32" s="13" t="s">
        <v>22</v>
      </c>
    </row>
    <row r="33" spans="1:15" ht="15" customHeight="1" x14ac:dyDescent="0.2">
      <c r="A33" s="13" t="s">
        <v>18</v>
      </c>
      <c r="B33" s="13" t="s">
        <v>1532</v>
      </c>
      <c r="C33" s="13" t="str">
        <f t="shared" si="0"/>
        <v>068</v>
      </c>
      <c r="D33" s="13">
        <f t="shared" si="2"/>
        <v>68</v>
      </c>
      <c r="G33" s="15" t="s">
        <v>35</v>
      </c>
      <c r="H33" s="13" t="s">
        <v>3751</v>
      </c>
      <c r="I33" s="13">
        <v>64277</v>
      </c>
      <c r="J33" s="13">
        <v>331</v>
      </c>
      <c r="K33" s="13" t="s">
        <v>21</v>
      </c>
      <c r="L33" s="13">
        <v>1</v>
      </c>
      <c r="M33" s="21">
        <v>45000</v>
      </c>
      <c r="N33" s="21">
        <f t="shared" si="1"/>
        <v>45000</v>
      </c>
      <c r="O33" s="13" t="s">
        <v>22</v>
      </c>
    </row>
    <row r="34" spans="1:15" ht="15" customHeight="1" x14ac:dyDescent="0.2">
      <c r="A34" s="13" t="s">
        <v>18</v>
      </c>
      <c r="B34" s="13" t="s">
        <v>1412</v>
      </c>
      <c r="C34" s="13" t="str">
        <f t="shared" si="0"/>
        <v>069</v>
      </c>
      <c r="D34" s="13">
        <f t="shared" si="2"/>
        <v>69</v>
      </c>
      <c r="G34" s="15" t="s">
        <v>158</v>
      </c>
      <c r="H34" s="13" t="s">
        <v>3273</v>
      </c>
      <c r="I34" s="13">
        <v>64277</v>
      </c>
      <c r="J34" s="13">
        <v>331</v>
      </c>
      <c r="K34" s="13" t="s">
        <v>21</v>
      </c>
      <c r="L34" s="13">
        <v>1</v>
      </c>
      <c r="M34" s="21">
        <v>3240000</v>
      </c>
      <c r="N34" s="21">
        <f t="shared" si="1"/>
        <v>3240000</v>
      </c>
      <c r="O34" s="13" t="s">
        <v>22</v>
      </c>
    </row>
    <row r="35" spans="1:15" ht="15" customHeight="1" x14ac:dyDescent="0.2">
      <c r="A35" s="13" t="s">
        <v>18</v>
      </c>
      <c r="B35" s="13" t="s">
        <v>2119</v>
      </c>
      <c r="C35" s="13" t="str">
        <f t="shared" si="0"/>
        <v>070</v>
      </c>
      <c r="D35" s="13">
        <f t="shared" si="2"/>
        <v>70</v>
      </c>
      <c r="G35" s="15" t="s">
        <v>3271</v>
      </c>
      <c r="H35" s="13" t="s">
        <v>3753</v>
      </c>
      <c r="I35" s="13">
        <v>64274</v>
      </c>
      <c r="J35" s="13">
        <v>331</v>
      </c>
      <c r="K35" s="13" t="s">
        <v>21</v>
      </c>
      <c r="L35" s="13">
        <v>1</v>
      </c>
      <c r="M35" s="21">
        <v>265600</v>
      </c>
      <c r="N35" s="21">
        <f t="shared" si="1"/>
        <v>265600</v>
      </c>
      <c r="O35" s="13" t="s">
        <v>22</v>
      </c>
    </row>
    <row r="36" spans="1:15" ht="15" customHeight="1" x14ac:dyDescent="0.2">
      <c r="A36" s="13" t="s">
        <v>18</v>
      </c>
      <c r="B36" s="13" t="s">
        <v>2123</v>
      </c>
      <c r="C36" s="13" t="str">
        <f t="shared" si="0"/>
        <v>071</v>
      </c>
      <c r="D36" s="13">
        <f t="shared" si="2"/>
        <v>71</v>
      </c>
      <c r="G36" s="15" t="s">
        <v>3274</v>
      </c>
      <c r="H36" s="13" t="s">
        <v>3747</v>
      </c>
      <c r="I36" s="13">
        <v>64277</v>
      </c>
      <c r="J36" s="13">
        <v>331</v>
      </c>
      <c r="K36" s="13" t="s">
        <v>21</v>
      </c>
      <c r="L36" s="13">
        <v>1</v>
      </c>
      <c r="M36" s="21">
        <v>2737800</v>
      </c>
      <c r="N36" s="21">
        <f t="shared" si="1"/>
        <v>2737800</v>
      </c>
      <c r="O36" s="13" t="s">
        <v>22</v>
      </c>
    </row>
    <row r="37" spans="1:15" ht="15" customHeight="1" x14ac:dyDescent="0.2">
      <c r="A37" s="13" t="s">
        <v>18</v>
      </c>
      <c r="B37" s="13" t="s">
        <v>2339</v>
      </c>
      <c r="C37" s="13" t="str">
        <f t="shared" si="0"/>
        <v>072</v>
      </c>
      <c r="D37" s="13">
        <f t="shared" si="2"/>
        <v>72</v>
      </c>
      <c r="G37" s="15" t="s">
        <v>1658</v>
      </c>
      <c r="H37" s="13" t="s">
        <v>3748</v>
      </c>
      <c r="I37" s="13">
        <v>64277</v>
      </c>
      <c r="J37" s="13">
        <v>331</v>
      </c>
      <c r="K37" s="13" t="s">
        <v>21</v>
      </c>
      <c r="L37" s="13">
        <v>1</v>
      </c>
      <c r="M37" s="21">
        <v>838080</v>
      </c>
      <c r="N37" s="21">
        <f t="shared" si="1"/>
        <v>838080</v>
      </c>
      <c r="O37" s="13" t="s">
        <v>22</v>
      </c>
    </row>
    <row r="38" spans="1:15" ht="15" customHeight="1" x14ac:dyDescent="0.2">
      <c r="A38" s="13" t="s">
        <v>18</v>
      </c>
      <c r="B38" s="13" t="s">
        <v>1479</v>
      </c>
      <c r="C38" s="13" t="str">
        <f t="shared" si="0"/>
        <v>073</v>
      </c>
      <c r="D38" s="13">
        <f t="shared" si="2"/>
        <v>73</v>
      </c>
      <c r="G38" s="15" t="s">
        <v>158</v>
      </c>
      <c r="H38" s="13" t="s">
        <v>3275</v>
      </c>
      <c r="I38" s="13">
        <v>64277</v>
      </c>
      <c r="J38" s="13">
        <v>331</v>
      </c>
      <c r="K38" s="13" t="s">
        <v>21</v>
      </c>
      <c r="L38" s="13">
        <v>1</v>
      </c>
      <c r="M38" s="21">
        <v>3240000</v>
      </c>
      <c r="N38" s="21">
        <f t="shared" si="1"/>
        <v>3240000</v>
      </c>
      <c r="O38" s="13" t="s">
        <v>22</v>
      </c>
    </row>
    <row r="39" spans="1:15" ht="15" customHeight="1" x14ac:dyDescent="0.2">
      <c r="A39" s="13" t="s">
        <v>18</v>
      </c>
      <c r="B39" s="13" t="s">
        <v>2048</v>
      </c>
      <c r="C39" s="13" t="str">
        <f t="shared" si="0"/>
        <v>074</v>
      </c>
      <c r="D39" s="13">
        <f t="shared" si="2"/>
        <v>74</v>
      </c>
      <c r="G39" s="15" t="s">
        <v>3276</v>
      </c>
      <c r="H39" s="13" t="s">
        <v>3277</v>
      </c>
      <c r="I39" s="13">
        <v>64277</v>
      </c>
      <c r="J39" s="13">
        <v>331</v>
      </c>
      <c r="K39" s="13" t="s">
        <v>21</v>
      </c>
      <c r="L39" s="13">
        <v>1</v>
      </c>
      <c r="M39" s="21">
        <v>4000000</v>
      </c>
      <c r="N39" s="21">
        <f t="shared" si="1"/>
        <v>4000000</v>
      </c>
      <c r="O39" s="13" t="s">
        <v>22</v>
      </c>
    </row>
    <row r="40" spans="1:15" ht="15" customHeight="1" x14ac:dyDescent="0.2">
      <c r="A40" s="13" t="s">
        <v>18</v>
      </c>
      <c r="B40" s="13" t="s">
        <v>2233</v>
      </c>
      <c r="C40" s="13" t="str">
        <f t="shared" si="0"/>
        <v>075</v>
      </c>
      <c r="D40" s="13">
        <f t="shared" si="2"/>
        <v>75</v>
      </c>
      <c r="G40" s="15" t="s">
        <v>3271</v>
      </c>
      <c r="H40" s="13" t="s">
        <v>3754</v>
      </c>
      <c r="I40" s="13">
        <v>64274</v>
      </c>
      <c r="J40" s="13">
        <v>331</v>
      </c>
      <c r="K40" s="13" t="s">
        <v>21</v>
      </c>
      <c r="L40" s="13">
        <v>1</v>
      </c>
      <c r="M40" s="21">
        <v>265600</v>
      </c>
      <c r="N40" s="21">
        <f t="shared" si="1"/>
        <v>265600</v>
      </c>
      <c r="O40" s="13" t="s">
        <v>22</v>
      </c>
    </row>
    <row r="41" spans="1:15" ht="15" customHeight="1" x14ac:dyDescent="0.2">
      <c r="A41" s="24" t="s">
        <v>18</v>
      </c>
      <c r="B41" s="36">
        <v>45869</v>
      </c>
      <c r="C41" s="13" t="str">
        <f t="shared" si="0"/>
        <v>076</v>
      </c>
      <c r="D41" s="13">
        <f t="shared" si="2"/>
        <v>76</v>
      </c>
      <c r="E41" s="24"/>
      <c r="F41" s="24"/>
      <c r="G41" s="37" t="s">
        <v>1235</v>
      </c>
      <c r="H41" s="24" t="s">
        <v>147</v>
      </c>
      <c r="I41" s="24">
        <v>64271</v>
      </c>
      <c r="J41" s="24">
        <v>3383</v>
      </c>
      <c r="K41" s="24" t="s">
        <v>21</v>
      </c>
      <c r="L41" s="24">
        <v>1</v>
      </c>
      <c r="M41" s="39">
        <v>690300</v>
      </c>
      <c r="N41" s="39">
        <f t="shared" si="1"/>
        <v>690300</v>
      </c>
      <c r="O41" s="24" t="s">
        <v>22</v>
      </c>
    </row>
    <row r="42" spans="1:15" ht="15" customHeight="1" x14ac:dyDescent="0.2">
      <c r="A42" s="24" t="s">
        <v>18</v>
      </c>
      <c r="B42" s="36">
        <v>45900</v>
      </c>
      <c r="C42" s="13" t="str">
        <f t="shared" si="0"/>
        <v>077</v>
      </c>
      <c r="D42" s="13">
        <f t="shared" si="2"/>
        <v>77</v>
      </c>
      <c r="E42" s="24"/>
      <c r="F42" s="24"/>
      <c r="G42" s="37" t="s">
        <v>1235</v>
      </c>
      <c r="H42" s="24" t="s">
        <v>280</v>
      </c>
      <c r="I42" s="24">
        <v>64271</v>
      </c>
      <c r="J42" s="24">
        <v>3383</v>
      </c>
      <c r="K42" s="24" t="s">
        <v>21</v>
      </c>
      <c r="L42" s="24">
        <v>1</v>
      </c>
      <c r="M42" s="39">
        <v>690300</v>
      </c>
      <c r="N42" s="39">
        <f t="shared" si="1"/>
        <v>690300</v>
      </c>
      <c r="O42" s="24" t="s">
        <v>22</v>
      </c>
    </row>
    <row r="43" spans="1:15" ht="15" customHeight="1" x14ac:dyDescent="0.2">
      <c r="A43" s="24" t="s">
        <v>18</v>
      </c>
      <c r="B43" s="36">
        <v>45930</v>
      </c>
      <c r="C43" s="13" t="str">
        <f t="shared" si="0"/>
        <v>078</v>
      </c>
      <c r="D43" s="13">
        <f t="shared" si="2"/>
        <v>78</v>
      </c>
      <c r="E43" s="24"/>
      <c r="F43" s="24"/>
      <c r="G43" s="37" t="s">
        <v>1235</v>
      </c>
      <c r="H43" s="24" t="s">
        <v>367</v>
      </c>
      <c r="I43" s="24">
        <v>64271</v>
      </c>
      <c r="J43" s="24">
        <v>3383</v>
      </c>
      <c r="K43" s="24" t="s">
        <v>21</v>
      </c>
      <c r="L43" s="24">
        <v>1</v>
      </c>
      <c r="M43" s="39">
        <v>690300</v>
      </c>
      <c r="N43" s="39">
        <f t="shared" si="1"/>
        <v>690300</v>
      </c>
      <c r="O43" s="24" t="s">
        <v>22</v>
      </c>
    </row>
    <row r="44" spans="1:15" ht="15" customHeight="1" x14ac:dyDescent="0.2">
      <c r="A44" s="13" t="s">
        <v>368</v>
      </c>
      <c r="B44" s="13" t="s">
        <v>2355</v>
      </c>
      <c r="C44" s="13" t="str">
        <f t="shared" si="0"/>
        <v>079</v>
      </c>
      <c r="D44" s="13">
        <f t="shared" si="2"/>
        <v>79</v>
      </c>
      <c r="G44" s="15" t="s">
        <v>158</v>
      </c>
      <c r="H44" s="13" t="s">
        <v>3776</v>
      </c>
      <c r="I44" s="13">
        <v>331</v>
      </c>
      <c r="J44" s="13">
        <v>1111</v>
      </c>
      <c r="K44" s="13" t="s">
        <v>21</v>
      </c>
      <c r="L44" s="13">
        <v>1</v>
      </c>
      <c r="M44" s="21">
        <v>3240000</v>
      </c>
      <c r="N44" s="21">
        <f t="shared" ref="N44:N87" si="3">L44*M44</f>
        <v>3240000</v>
      </c>
      <c r="O44" s="13" t="s">
        <v>22</v>
      </c>
    </row>
    <row r="45" spans="1:15" ht="15" customHeight="1" x14ac:dyDescent="0.2">
      <c r="A45" s="13" t="s">
        <v>368</v>
      </c>
      <c r="B45" s="13" t="s">
        <v>2045</v>
      </c>
      <c r="C45" s="13" t="str">
        <f t="shared" si="0"/>
        <v>080</v>
      </c>
      <c r="D45" s="13">
        <f t="shared" si="2"/>
        <v>80</v>
      </c>
      <c r="G45" s="15" t="s">
        <v>3271</v>
      </c>
      <c r="H45" s="13" t="s">
        <v>3777</v>
      </c>
      <c r="I45" s="13">
        <v>331</v>
      </c>
      <c r="J45" s="13">
        <v>1111</v>
      </c>
      <c r="K45" s="13" t="s">
        <v>21</v>
      </c>
      <c r="L45" s="13">
        <v>1</v>
      </c>
      <c r="M45" s="21">
        <v>265600</v>
      </c>
      <c r="N45" s="21">
        <f t="shared" si="3"/>
        <v>265600</v>
      </c>
      <c r="O45" s="13" t="s">
        <v>22</v>
      </c>
    </row>
    <row r="46" spans="1:15" ht="15" customHeight="1" x14ac:dyDescent="0.2">
      <c r="A46" s="13" t="s">
        <v>368</v>
      </c>
      <c r="B46" s="13" t="s">
        <v>2355</v>
      </c>
      <c r="C46" s="13" t="str">
        <f t="shared" si="0"/>
        <v>081</v>
      </c>
      <c r="D46" s="13">
        <f t="shared" si="2"/>
        <v>81</v>
      </c>
      <c r="G46" s="15" t="s">
        <v>3272</v>
      </c>
      <c r="H46" s="13" t="s">
        <v>3778</v>
      </c>
      <c r="I46" s="13">
        <v>331</v>
      </c>
      <c r="J46" s="13">
        <v>1111</v>
      </c>
      <c r="K46" s="13" t="s">
        <v>21</v>
      </c>
      <c r="L46" s="13">
        <v>1</v>
      </c>
      <c r="M46" s="21">
        <v>632880</v>
      </c>
      <c r="N46" s="21">
        <f t="shared" si="3"/>
        <v>632880</v>
      </c>
      <c r="O46" s="13" t="s">
        <v>22</v>
      </c>
    </row>
    <row r="47" spans="1:15" ht="15" customHeight="1" x14ac:dyDescent="0.2">
      <c r="A47" s="13" t="s">
        <v>368</v>
      </c>
      <c r="B47" s="13" t="s">
        <v>2355</v>
      </c>
      <c r="C47" s="13" t="str">
        <f t="shared" si="0"/>
        <v>082</v>
      </c>
      <c r="D47" s="13">
        <f t="shared" si="2"/>
        <v>82</v>
      </c>
      <c r="G47" s="15" t="s">
        <v>35</v>
      </c>
      <c r="H47" s="13" t="s">
        <v>3779</v>
      </c>
      <c r="I47" s="13">
        <v>331</v>
      </c>
      <c r="J47" s="13">
        <v>1111</v>
      </c>
      <c r="K47" s="13" t="s">
        <v>21</v>
      </c>
      <c r="L47" s="13">
        <v>1</v>
      </c>
      <c r="M47" s="21">
        <v>36000</v>
      </c>
      <c r="N47" s="21">
        <f t="shared" si="3"/>
        <v>36000</v>
      </c>
      <c r="O47" s="13" t="s">
        <v>22</v>
      </c>
    </row>
    <row r="48" spans="1:15" ht="15" customHeight="1" x14ac:dyDescent="0.2">
      <c r="A48" s="13" t="s">
        <v>368</v>
      </c>
      <c r="B48" s="13" t="s">
        <v>2356</v>
      </c>
      <c r="C48" s="13" t="str">
        <f t="shared" si="0"/>
        <v>083</v>
      </c>
      <c r="D48" s="13">
        <f t="shared" si="2"/>
        <v>83</v>
      </c>
      <c r="G48" s="15" t="s">
        <v>35</v>
      </c>
      <c r="H48" s="13" t="s">
        <v>3780</v>
      </c>
      <c r="I48" s="13">
        <v>331</v>
      </c>
      <c r="J48" s="13">
        <v>1111</v>
      </c>
      <c r="K48" s="13" t="s">
        <v>21</v>
      </c>
      <c r="L48" s="13">
        <v>1</v>
      </c>
      <c r="M48" s="21">
        <v>20000</v>
      </c>
      <c r="N48" s="21">
        <f t="shared" si="3"/>
        <v>20000</v>
      </c>
      <c r="O48" s="13" t="s">
        <v>22</v>
      </c>
    </row>
    <row r="49" spans="1:15" ht="15" customHeight="1" x14ac:dyDescent="0.2">
      <c r="A49" s="13" t="s">
        <v>368</v>
      </c>
      <c r="B49" s="13" t="s">
        <v>1532</v>
      </c>
      <c r="C49" s="13" t="str">
        <f t="shared" si="0"/>
        <v>084</v>
      </c>
      <c r="D49" s="13">
        <f t="shared" si="2"/>
        <v>84</v>
      </c>
      <c r="G49" s="15" t="s">
        <v>35</v>
      </c>
      <c r="H49" s="13" t="s">
        <v>3781</v>
      </c>
      <c r="I49" s="13">
        <v>331</v>
      </c>
      <c r="J49" s="13">
        <v>1111</v>
      </c>
      <c r="K49" s="13" t="s">
        <v>21</v>
      </c>
      <c r="L49" s="13">
        <v>1</v>
      </c>
      <c r="M49" s="21">
        <v>45000</v>
      </c>
      <c r="N49" s="21">
        <f t="shared" si="3"/>
        <v>45000</v>
      </c>
      <c r="O49" s="13" t="s">
        <v>22</v>
      </c>
    </row>
    <row r="50" spans="1:15" ht="15" customHeight="1" x14ac:dyDescent="0.2">
      <c r="A50" s="13" t="s">
        <v>368</v>
      </c>
      <c r="B50" s="13" t="s">
        <v>1412</v>
      </c>
      <c r="C50" s="13" t="str">
        <f t="shared" si="0"/>
        <v>085</v>
      </c>
      <c r="D50" s="13">
        <f t="shared" si="2"/>
        <v>85</v>
      </c>
      <c r="G50" s="15" t="s">
        <v>158</v>
      </c>
      <c r="H50" s="13" t="s">
        <v>3782</v>
      </c>
      <c r="I50" s="13">
        <v>331</v>
      </c>
      <c r="J50" s="13">
        <v>1111</v>
      </c>
      <c r="K50" s="13" t="s">
        <v>21</v>
      </c>
      <c r="L50" s="13">
        <v>1</v>
      </c>
      <c r="M50" s="21">
        <v>3240000</v>
      </c>
      <c r="N50" s="21">
        <f t="shared" si="3"/>
        <v>3240000</v>
      </c>
      <c r="O50" s="13" t="s">
        <v>22</v>
      </c>
    </row>
    <row r="51" spans="1:15" ht="15" customHeight="1" x14ac:dyDescent="0.2">
      <c r="A51" s="13" t="s">
        <v>368</v>
      </c>
      <c r="B51" s="13" t="s">
        <v>2119</v>
      </c>
      <c r="C51" s="13" t="str">
        <f t="shared" si="0"/>
        <v>086</v>
      </c>
      <c r="D51" s="13">
        <f t="shared" si="2"/>
        <v>86</v>
      </c>
      <c r="G51" s="15" t="s">
        <v>3271</v>
      </c>
      <c r="H51" s="13" t="s">
        <v>3783</v>
      </c>
      <c r="I51" s="13">
        <v>331</v>
      </c>
      <c r="J51" s="13">
        <v>1111</v>
      </c>
      <c r="K51" s="13" t="s">
        <v>21</v>
      </c>
      <c r="L51" s="13">
        <v>1</v>
      </c>
      <c r="M51" s="21">
        <v>265600</v>
      </c>
      <c r="N51" s="21">
        <f t="shared" si="3"/>
        <v>265600</v>
      </c>
      <c r="O51" s="13" t="s">
        <v>22</v>
      </c>
    </row>
    <row r="52" spans="1:15" ht="15" customHeight="1" x14ac:dyDescent="0.2">
      <c r="A52" s="13" t="s">
        <v>368</v>
      </c>
      <c r="B52" s="13" t="s">
        <v>2123</v>
      </c>
      <c r="C52" s="13" t="str">
        <f t="shared" si="0"/>
        <v>087</v>
      </c>
      <c r="D52" s="13">
        <f t="shared" si="2"/>
        <v>87</v>
      </c>
      <c r="G52" s="15" t="s">
        <v>3274</v>
      </c>
      <c r="H52" s="13" t="s">
        <v>3784</v>
      </c>
      <c r="I52" s="13">
        <v>331</v>
      </c>
      <c r="J52" s="13">
        <v>1111</v>
      </c>
      <c r="K52" s="13" t="s">
        <v>21</v>
      </c>
      <c r="L52" s="13">
        <v>1</v>
      </c>
      <c r="M52" s="21">
        <v>2737800</v>
      </c>
      <c r="N52" s="21">
        <f t="shared" si="3"/>
        <v>2737800</v>
      </c>
      <c r="O52" s="13" t="s">
        <v>22</v>
      </c>
    </row>
    <row r="53" spans="1:15" ht="15" customHeight="1" x14ac:dyDescent="0.2">
      <c r="A53" s="13" t="s">
        <v>368</v>
      </c>
      <c r="B53" s="13" t="s">
        <v>2339</v>
      </c>
      <c r="C53" s="13" t="str">
        <f t="shared" si="0"/>
        <v>088</v>
      </c>
      <c r="D53" s="13">
        <f t="shared" si="2"/>
        <v>88</v>
      </c>
      <c r="G53" s="15" t="s">
        <v>1658</v>
      </c>
      <c r="H53" s="13" t="s">
        <v>3785</v>
      </c>
      <c r="I53" s="13">
        <v>331</v>
      </c>
      <c r="J53" s="13">
        <v>1111</v>
      </c>
      <c r="K53" s="13" t="s">
        <v>21</v>
      </c>
      <c r="L53" s="13">
        <v>1</v>
      </c>
      <c r="M53" s="21">
        <v>838080</v>
      </c>
      <c r="N53" s="21">
        <f t="shared" si="3"/>
        <v>838080</v>
      </c>
      <c r="O53" s="13" t="s">
        <v>22</v>
      </c>
    </row>
    <row r="54" spans="1:15" ht="15" customHeight="1" x14ac:dyDescent="0.2">
      <c r="A54" s="13" t="s">
        <v>368</v>
      </c>
      <c r="B54" s="13" t="s">
        <v>1479</v>
      </c>
      <c r="C54" s="13" t="str">
        <f t="shared" si="0"/>
        <v>089</v>
      </c>
      <c r="D54" s="13">
        <f t="shared" si="2"/>
        <v>89</v>
      </c>
      <c r="G54" s="15" t="s">
        <v>158</v>
      </c>
      <c r="H54" s="13" t="s">
        <v>3786</v>
      </c>
      <c r="I54" s="13">
        <v>331</v>
      </c>
      <c r="J54" s="13">
        <v>1111</v>
      </c>
      <c r="K54" s="13" t="s">
        <v>21</v>
      </c>
      <c r="L54" s="13">
        <v>1</v>
      </c>
      <c r="M54" s="21">
        <v>3240000</v>
      </c>
      <c r="N54" s="21">
        <f t="shared" si="3"/>
        <v>3240000</v>
      </c>
      <c r="O54" s="13" t="s">
        <v>22</v>
      </c>
    </row>
    <row r="55" spans="1:15" ht="15" customHeight="1" x14ac:dyDescent="0.2">
      <c r="A55" s="13" t="s">
        <v>368</v>
      </c>
      <c r="B55" s="13" t="s">
        <v>2048</v>
      </c>
      <c r="C55" s="13" t="str">
        <f t="shared" si="0"/>
        <v>090</v>
      </c>
      <c r="D55" s="13">
        <f t="shared" si="2"/>
        <v>90</v>
      </c>
      <c r="G55" s="15" t="s">
        <v>3276</v>
      </c>
      <c r="H55" s="13" t="s">
        <v>3787</v>
      </c>
      <c r="I55" s="13">
        <v>331</v>
      </c>
      <c r="J55" s="13">
        <v>1111</v>
      </c>
      <c r="K55" s="13" t="s">
        <v>21</v>
      </c>
      <c r="L55" s="13">
        <v>1</v>
      </c>
      <c r="M55" s="21">
        <v>4000000</v>
      </c>
      <c r="N55" s="21">
        <f t="shared" si="3"/>
        <v>4000000</v>
      </c>
      <c r="O55" s="13" t="s">
        <v>22</v>
      </c>
    </row>
    <row r="56" spans="1:15" ht="15" customHeight="1" x14ac:dyDescent="0.2">
      <c r="A56" s="13" t="s">
        <v>368</v>
      </c>
      <c r="B56" s="13" t="s">
        <v>2233</v>
      </c>
      <c r="C56" s="13" t="str">
        <f t="shared" si="0"/>
        <v>091</v>
      </c>
      <c r="D56" s="13">
        <f t="shared" si="2"/>
        <v>91</v>
      </c>
      <c r="G56" s="15" t="s">
        <v>3271</v>
      </c>
      <c r="H56" s="13" t="s">
        <v>3788</v>
      </c>
      <c r="I56" s="13">
        <v>331</v>
      </c>
      <c r="J56" s="13">
        <v>1111</v>
      </c>
      <c r="K56" s="13" t="s">
        <v>21</v>
      </c>
      <c r="L56" s="13">
        <v>1</v>
      </c>
      <c r="M56" s="21">
        <v>265600</v>
      </c>
      <c r="N56" s="21">
        <f t="shared" si="3"/>
        <v>265600</v>
      </c>
      <c r="O56" s="13" t="s">
        <v>22</v>
      </c>
    </row>
    <row r="57" spans="1:15" ht="15" customHeight="1" x14ac:dyDescent="0.2">
      <c r="A57" s="13" t="s">
        <v>89</v>
      </c>
      <c r="B57" s="14">
        <v>45884</v>
      </c>
      <c r="C57" s="13" t="str">
        <f t="shared" si="0"/>
        <v>092</v>
      </c>
      <c r="D57" s="13">
        <f t="shared" si="2"/>
        <v>92</v>
      </c>
      <c r="G57" s="15" t="s">
        <v>2968</v>
      </c>
      <c r="H57" s="13" t="s">
        <v>1008</v>
      </c>
      <c r="I57" s="13">
        <v>1111</v>
      </c>
      <c r="J57" s="13">
        <v>112111</v>
      </c>
      <c r="K57" s="13" t="s">
        <v>21</v>
      </c>
      <c r="L57" s="13">
        <v>1</v>
      </c>
      <c r="M57" s="21">
        <v>80000000</v>
      </c>
      <c r="N57" s="21">
        <f t="shared" si="3"/>
        <v>80000000</v>
      </c>
      <c r="O57" s="13" t="s">
        <v>22</v>
      </c>
    </row>
    <row r="58" spans="1:15" ht="15" customHeight="1" x14ac:dyDescent="0.2">
      <c r="A58" s="13" t="s">
        <v>89</v>
      </c>
      <c r="B58" s="14">
        <v>45885</v>
      </c>
      <c r="C58" s="13" t="str">
        <f t="shared" si="0"/>
        <v>093</v>
      </c>
      <c r="D58" s="13">
        <f t="shared" si="2"/>
        <v>93</v>
      </c>
      <c r="G58" s="15" t="s">
        <v>2968</v>
      </c>
      <c r="H58" s="13" t="s">
        <v>1008</v>
      </c>
      <c r="I58" s="13">
        <v>1111</v>
      </c>
      <c r="J58" s="13">
        <v>112111</v>
      </c>
      <c r="K58" s="13" t="s">
        <v>21</v>
      </c>
      <c r="L58" s="13">
        <v>1</v>
      </c>
      <c r="M58" s="21">
        <v>100000000</v>
      </c>
      <c r="N58" s="21">
        <f t="shared" si="3"/>
        <v>100000000</v>
      </c>
      <c r="O58" s="13" t="s">
        <v>22</v>
      </c>
    </row>
    <row r="59" spans="1:15" ht="15" customHeight="1" x14ac:dyDescent="0.2">
      <c r="A59" s="13" t="s">
        <v>89</v>
      </c>
      <c r="B59" s="14">
        <v>45889</v>
      </c>
      <c r="C59" s="13" t="str">
        <f t="shared" si="0"/>
        <v>094</v>
      </c>
      <c r="D59" s="13">
        <f t="shared" si="2"/>
        <v>94</v>
      </c>
      <c r="G59" s="15" t="s">
        <v>2968</v>
      </c>
      <c r="H59" s="13" t="s">
        <v>1008</v>
      </c>
      <c r="I59" s="13">
        <v>1111</v>
      </c>
      <c r="J59" s="13">
        <v>112111</v>
      </c>
      <c r="K59" s="13" t="s">
        <v>21</v>
      </c>
      <c r="L59" s="13">
        <v>1</v>
      </c>
      <c r="M59" s="21">
        <v>105000000</v>
      </c>
      <c r="N59" s="21">
        <f t="shared" si="3"/>
        <v>105000000</v>
      </c>
      <c r="O59" s="13" t="s">
        <v>22</v>
      </c>
    </row>
    <row r="60" spans="1:15" ht="15" customHeight="1" x14ac:dyDescent="0.2">
      <c r="A60" s="13" t="s">
        <v>33</v>
      </c>
      <c r="B60" s="14">
        <v>45880</v>
      </c>
      <c r="C60" s="13" t="str">
        <f t="shared" si="0"/>
        <v>095</v>
      </c>
      <c r="D60" s="13">
        <f t="shared" si="2"/>
        <v>95</v>
      </c>
      <c r="G60" s="15" t="s">
        <v>1136</v>
      </c>
      <c r="H60" s="13" t="s">
        <v>3828</v>
      </c>
      <c r="I60" s="13">
        <v>112111</v>
      </c>
      <c r="J60" s="13">
        <v>131</v>
      </c>
      <c r="K60" s="13" t="s">
        <v>21</v>
      </c>
      <c r="L60" s="13">
        <v>1</v>
      </c>
      <c r="M60" s="21">
        <v>36533718</v>
      </c>
      <c r="N60" s="21">
        <f t="shared" si="3"/>
        <v>36533718</v>
      </c>
      <c r="O60" s="13" t="s">
        <v>22</v>
      </c>
    </row>
    <row r="61" spans="1:15" ht="15" customHeight="1" x14ac:dyDescent="0.2">
      <c r="A61" s="13" t="s">
        <v>18</v>
      </c>
      <c r="B61" s="14">
        <v>45884</v>
      </c>
      <c r="C61" s="13" t="str">
        <f t="shared" si="0"/>
        <v>096</v>
      </c>
      <c r="D61" s="13">
        <f t="shared" si="2"/>
        <v>96</v>
      </c>
      <c r="G61" s="15" t="s">
        <v>31</v>
      </c>
      <c r="H61" s="13" t="s">
        <v>1578</v>
      </c>
      <c r="I61" s="13">
        <v>131</v>
      </c>
      <c r="J61" s="13">
        <v>5118</v>
      </c>
      <c r="K61" s="13" t="s">
        <v>21</v>
      </c>
      <c r="L61" s="13">
        <v>1</v>
      </c>
      <c r="M61" s="21">
        <v>450000000</v>
      </c>
      <c r="N61" s="21">
        <f t="shared" si="3"/>
        <v>450000000</v>
      </c>
      <c r="O61" s="13" t="s">
        <v>998</v>
      </c>
    </row>
    <row r="62" spans="1:15" ht="15" customHeight="1" x14ac:dyDescent="0.2">
      <c r="A62" s="13" t="s">
        <v>33</v>
      </c>
      <c r="B62" s="14">
        <v>45884</v>
      </c>
      <c r="C62" s="13" t="str">
        <f t="shared" si="0"/>
        <v>097</v>
      </c>
      <c r="D62" s="13">
        <f t="shared" si="2"/>
        <v>97</v>
      </c>
      <c r="G62" s="15" t="s">
        <v>31</v>
      </c>
      <c r="H62" s="13" t="s">
        <v>1579</v>
      </c>
      <c r="I62" s="13">
        <v>112111</v>
      </c>
      <c r="J62" s="13">
        <v>131</v>
      </c>
      <c r="K62" s="13" t="s">
        <v>21</v>
      </c>
      <c r="L62" s="13">
        <v>1</v>
      </c>
      <c r="M62" s="21">
        <v>445046435</v>
      </c>
      <c r="N62" s="21">
        <f t="shared" si="3"/>
        <v>445046435</v>
      </c>
      <c r="O62" s="13" t="s">
        <v>998</v>
      </c>
    </row>
    <row r="63" spans="1:15" ht="15" customHeight="1" x14ac:dyDescent="0.2">
      <c r="A63" s="13" t="s">
        <v>33</v>
      </c>
      <c r="B63" s="14">
        <v>45884</v>
      </c>
      <c r="C63" s="13" t="str">
        <f t="shared" si="0"/>
        <v>098</v>
      </c>
      <c r="D63" s="13">
        <f t="shared" si="2"/>
        <v>98</v>
      </c>
      <c r="G63" s="15" t="s">
        <v>31</v>
      </c>
      <c r="H63" s="13" t="s">
        <v>34</v>
      </c>
      <c r="I63" s="13">
        <v>64277</v>
      </c>
      <c r="J63" s="13">
        <v>131</v>
      </c>
      <c r="K63" s="13" t="s">
        <v>21</v>
      </c>
      <c r="L63" s="13">
        <v>1</v>
      </c>
      <c r="M63" s="21">
        <v>4953565</v>
      </c>
      <c r="N63" s="21">
        <f t="shared" si="3"/>
        <v>4953565</v>
      </c>
      <c r="O63" s="13" t="s">
        <v>998</v>
      </c>
    </row>
    <row r="64" spans="1:15" ht="15" customHeight="1" x14ac:dyDescent="0.2">
      <c r="A64" s="13" t="s">
        <v>18</v>
      </c>
      <c r="B64" s="14">
        <v>45884</v>
      </c>
      <c r="C64" s="13" t="str">
        <f t="shared" si="0"/>
        <v>099</v>
      </c>
      <c r="D64" s="13">
        <f t="shared" si="2"/>
        <v>99</v>
      </c>
      <c r="G64" s="15" t="s">
        <v>31</v>
      </c>
      <c r="H64" s="13" t="s">
        <v>1578</v>
      </c>
      <c r="I64" s="13">
        <v>131</v>
      </c>
      <c r="J64" s="13">
        <v>5118</v>
      </c>
      <c r="K64" s="13" t="s">
        <v>21</v>
      </c>
      <c r="L64" s="13">
        <v>1</v>
      </c>
      <c r="M64" s="21">
        <v>194587999</v>
      </c>
      <c r="N64" s="21">
        <f t="shared" ref="N64:N68" si="4">L64*M64</f>
        <v>194587999</v>
      </c>
      <c r="O64" s="13" t="s">
        <v>998</v>
      </c>
    </row>
    <row r="65" spans="1:15" ht="15" customHeight="1" x14ac:dyDescent="0.2">
      <c r="A65" s="13" t="s">
        <v>33</v>
      </c>
      <c r="B65" s="14">
        <v>45884</v>
      </c>
      <c r="C65" s="13" t="str">
        <f t="shared" si="0"/>
        <v>100</v>
      </c>
      <c r="D65" s="13">
        <f t="shared" si="2"/>
        <v>100</v>
      </c>
      <c r="G65" s="15" t="s">
        <v>31</v>
      </c>
      <c r="H65" s="13" t="s">
        <v>1579</v>
      </c>
      <c r="I65" s="13">
        <v>112111</v>
      </c>
      <c r="J65" s="13">
        <v>131</v>
      </c>
      <c r="K65" s="13" t="s">
        <v>21</v>
      </c>
      <c r="L65" s="13">
        <v>1</v>
      </c>
      <c r="M65" s="21">
        <v>192443966</v>
      </c>
      <c r="N65" s="21">
        <f t="shared" si="4"/>
        <v>192443966</v>
      </c>
      <c r="O65" s="13" t="s">
        <v>998</v>
      </c>
    </row>
    <row r="66" spans="1:15" ht="15" customHeight="1" x14ac:dyDescent="0.2">
      <c r="A66" s="13" t="s">
        <v>33</v>
      </c>
      <c r="B66" s="14">
        <v>45884</v>
      </c>
      <c r="C66" s="13" t="str">
        <f t="shared" si="0"/>
        <v>101</v>
      </c>
      <c r="D66" s="13">
        <f t="shared" si="2"/>
        <v>101</v>
      </c>
      <c r="G66" s="15" t="s">
        <v>31</v>
      </c>
      <c r="H66" s="13" t="s">
        <v>1579</v>
      </c>
      <c r="I66" s="13">
        <v>64277</v>
      </c>
      <c r="J66" s="13">
        <v>131</v>
      </c>
      <c r="K66" s="13" t="s">
        <v>21</v>
      </c>
      <c r="L66" s="13">
        <v>1</v>
      </c>
      <c r="M66" s="21">
        <v>2144033</v>
      </c>
      <c r="N66" s="21">
        <f t="shared" si="4"/>
        <v>2144033</v>
      </c>
      <c r="O66" s="13" t="s">
        <v>998</v>
      </c>
    </row>
    <row r="67" spans="1:15" ht="15" customHeight="1" x14ac:dyDescent="0.2">
      <c r="A67" s="13" t="s">
        <v>18</v>
      </c>
      <c r="B67" s="14">
        <v>45924</v>
      </c>
      <c r="C67" s="13" t="str">
        <f t="shared" si="0"/>
        <v>102</v>
      </c>
      <c r="D67" s="13">
        <f t="shared" si="2"/>
        <v>102</v>
      </c>
      <c r="G67" s="15" t="s">
        <v>31</v>
      </c>
      <c r="H67" s="13" t="s">
        <v>1578</v>
      </c>
      <c r="I67" s="13">
        <v>131</v>
      </c>
      <c r="J67" s="13">
        <v>5118</v>
      </c>
      <c r="K67" s="13" t="s">
        <v>21</v>
      </c>
      <c r="L67" s="13">
        <v>1</v>
      </c>
      <c r="M67" s="21">
        <v>445046415</v>
      </c>
      <c r="N67" s="21">
        <f t="shared" si="4"/>
        <v>445046415</v>
      </c>
      <c r="O67" s="13" t="s">
        <v>22</v>
      </c>
    </row>
    <row r="68" spans="1:15" ht="15" customHeight="1" x14ac:dyDescent="0.2">
      <c r="A68" s="13" t="s">
        <v>33</v>
      </c>
      <c r="B68" s="14">
        <v>45924</v>
      </c>
      <c r="C68" s="13" t="str">
        <f t="shared" si="0"/>
        <v>103</v>
      </c>
      <c r="D68" s="13">
        <f t="shared" si="2"/>
        <v>103</v>
      </c>
      <c r="G68" s="15" t="s">
        <v>31</v>
      </c>
      <c r="H68" s="13" t="s">
        <v>1579</v>
      </c>
      <c r="I68" s="13">
        <v>112111</v>
      </c>
      <c r="J68" s="13">
        <v>131</v>
      </c>
      <c r="K68" s="13" t="s">
        <v>21</v>
      </c>
      <c r="L68" s="13">
        <v>1</v>
      </c>
      <c r="M68" s="21">
        <v>445046415</v>
      </c>
      <c r="N68" s="21">
        <f t="shared" si="4"/>
        <v>445046415</v>
      </c>
      <c r="O68" s="13" t="s">
        <v>22</v>
      </c>
    </row>
    <row r="69" spans="1:15" ht="15" customHeight="1" x14ac:dyDescent="0.2">
      <c r="A69" s="13" t="s">
        <v>18</v>
      </c>
      <c r="B69" s="14">
        <v>45924</v>
      </c>
      <c r="C69" s="13" t="str">
        <f t="shared" ref="C69:C98" si="5">TEXT(D69,"000")</f>
        <v>104</v>
      </c>
      <c r="D69" s="13">
        <f t="shared" si="2"/>
        <v>104</v>
      </c>
      <c r="G69" s="15" t="s">
        <v>31</v>
      </c>
      <c r="H69" s="13" t="s">
        <v>1578</v>
      </c>
      <c r="I69" s="13">
        <v>131</v>
      </c>
      <c r="J69" s="13">
        <v>5118</v>
      </c>
      <c r="K69" s="13" t="s">
        <v>21</v>
      </c>
      <c r="L69" s="13">
        <v>1</v>
      </c>
      <c r="M69" s="21">
        <v>285052473</v>
      </c>
      <c r="N69" s="21">
        <f t="shared" ref="N69:N70" si="6">L69*M69</f>
        <v>285052473</v>
      </c>
      <c r="O69" s="13" t="s">
        <v>22</v>
      </c>
    </row>
    <row r="70" spans="1:15" ht="15" customHeight="1" x14ac:dyDescent="0.2">
      <c r="A70" s="13" t="s">
        <v>33</v>
      </c>
      <c r="B70" s="14">
        <v>45924</v>
      </c>
      <c r="C70" s="13" t="str">
        <f t="shared" si="5"/>
        <v>105</v>
      </c>
      <c r="D70" s="13">
        <f t="shared" ref="D70:D91" si="7">D69+1</f>
        <v>105</v>
      </c>
      <c r="G70" s="15" t="s">
        <v>31</v>
      </c>
      <c r="H70" s="13" t="s">
        <v>1579</v>
      </c>
      <c r="I70" s="13">
        <v>112111</v>
      </c>
      <c r="J70" s="13">
        <v>131</v>
      </c>
      <c r="K70" s="13" t="s">
        <v>21</v>
      </c>
      <c r="L70" s="13">
        <v>1</v>
      </c>
      <c r="M70" s="21">
        <v>285052473</v>
      </c>
      <c r="N70" s="21">
        <f t="shared" si="6"/>
        <v>285052473</v>
      </c>
      <c r="O70" s="13" t="s">
        <v>22</v>
      </c>
    </row>
    <row r="71" spans="1:15" ht="15" customHeight="1" x14ac:dyDescent="0.2">
      <c r="A71" s="13" t="s">
        <v>89</v>
      </c>
      <c r="B71" s="14">
        <v>45893</v>
      </c>
      <c r="C71" s="13" t="str">
        <f t="shared" si="5"/>
        <v>106</v>
      </c>
      <c r="D71" s="13">
        <f t="shared" si="7"/>
        <v>106</v>
      </c>
      <c r="G71" s="15" t="s">
        <v>2968</v>
      </c>
      <c r="H71" s="13" t="s">
        <v>1008</v>
      </c>
      <c r="I71" s="13">
        <v>1111</v>
      </c>
      <c r="J71" s="13">
        <v>112111</v>
      </c>
      <c r="K71" s="13" t="s">
        <v>21</v>
      </c>
      <c r="L71" s="13">
        <v>1</v>
      </c>
      <c r="M71" s="21">
        <v>5000000</v>
      </c>
      <c r="N71" s="21">
        <f t="shared" si="3"/>
        <v>5000000</v>
      </c>
      <c r="O71" s="13" t="s">
        <v>22</v>
      </c>
    </row>
    <row r="72" spans="1:15" ht="15" customHeight="1" x14ac:dyDescent="0.2">
      <c r="A72" s="13" t="s">
        <v>33</v>
      </c>
      <c r="B72" s="14">
        <v>45925</v>
      </c>
      <c r="C72" s="13" t="str">
        <f t="shared" si="5"/>
        <v>107</v>
      </c>
      <c r="D72" s="13">
        <f t="shared" si="7"/>
        <v>107</v>
      </c>
      <c r="G72" s="15" t="s">
        <v>3269</v>
      </c>
      <c r="H72" s="13" t="s">
        <v>3830</v>
      </c>
      <c r="I72" s="13">
        <v>112111</v>
      </c>
      <c r="J72" s="13">
        <v>131</v>
      </c>
      <c r="K72" s="13" t="s">
        <v>21</v>
      </c>
      <c r="L72" s="13">
        <v>1</v>
      </c>
      <c r="M72" s="21">
        <v>60677419</v>
      </c>
      <c r="N72" s="21">
        <f t="shared" si="3"/>
        <v>60677419</v>
      </c>
      <c r="O72" s="13" t="s">
        <v>22</v>
      </c>
    </row>
    <row r="73" spans="1:15" ht="15" customHeight="1" x14ac:dyDescent="0.2">
      <c r="A73" s="13" t="s">
        <v>33</v>
      </c>
      <c r="B73" s="14">
        <v>45895</v>
      </c>
      <c r="C73" s="13" t="str">
        <f t="shared" si="5"/>
        <v>108</v>
      </c>
      <c r="D73" s="13">
        <f t="shared" si="7"/>
        <v>108</v>
      </c>
      <c r="G73" s="15" t="s">
        <v>1015</v>
      </c>
      <c r="H73" s="13" t="s">
        <v>3829</v>
      </c>
      <c r="I73" s="13">
        <v>112111</v>
      </c>
      <c r="J73" s="13">
        <v>131</v>
      </c>
      <c r="K73" s="13" t="s">
        <v>21</v>
      </c>
      <c r="L73" s="13">
        <v>1</v>
      </c>
      <c r="M73" s="21">
        <v>10645161</v>
      </c>
      <c r="N73" s="21">
        <f t="shared" si="3"/>
        <v>10645161</v>
      </c>
      <c r="O73" s="13" t="s">
        <v>22</v>
      </c>
    </row>
    <row r="74" spans="1:15" ht="15" customHeight="1" x14ac:dyDescent="0.2">
      <c r="A74" s="13" t="s">
        <v>89</v>
      </c>
      <c r="B74" s="14">
        <v>45896</v>
      </c>
      <c r="C74" s="13" t="str">
        <f t="shared" si="5"/>
        <v>109</v>
      </c>
      <c r="D74" s="13">
        <f t="shared" si="7"/>
        <v>109</v>
      </c>
      <c r="G74" s="15" t="s">
        <v>1235</v>
      </c>
      <c r="H74" s="13" t="s">
        <v>3826</v>
      </c>
      <c r="I74" s="13">
        <v>3383</v>
      </c>
      <c r="J74" s="13">
        <v>112111</v>
      </c>
      <c r="K74" s="13" t="s">
        <v>21</v>
      </c>
      <c r="L74" s="13">
        <v>1</v>
      </c>
      <c r="M74" s="21">
        <v>7195600</v>
      </c>
      <c r="N74" s="21">
        <f t="shared" si="3"/>
        <v>7195600</v>
      </c>
      <c r="O74" s="13" t="s">
        <v>22</v>
      </c>
    </row>
    <row r="75" spans="1:15" ht="15" customHeight="1" x14ac:dyDescent="0.2">
      <c r="A75" s="13" t="s">
        <v>33</v>
      </c>
      <c r="B75" s="14">
        <v>45926</v>
      </c>
      <c r="C75" s="13" t="str">
        <f t="shared" si="5"/>
        <v>110</v>
      </c>
      <c r="D75" s="13">
        <f t="shared" si="7"/>
        <v>110</v>
      </c>
      <c r="G75" s="15" t="s">
        <v>1136</v>
      </c>
      <c r="H75" s="13" t="s">
        <v>3831</v>
      </c>
      <c r="I75" s="13">
        <v>112111</v>
      </c>
      <c r="J75" s="13">
        <v>131</v>
      </c>
      <c r="K75" s="13" t="s">
        <v>21</v>
      </c>
      <c r="L75" s="13">
        <v>1</v>
      </c>
      <c r="M75" s="21">
        <v>12774194</v>
      </c>
      <c r="N75" s="21">
        <f t="shared" si="3"/>
        <v>12774194</v>
      </c>
      <c r="O75" s="13" t="s">
        <v>22</v>
      </c>
    </row>
    <row r="76" spans="1:15" ht="15" customHeight="1" x14ac:dyDescent="0.2">
      <c r="A76" s="13" t="s">
        <v>33</v>
      </c>
      <c r="B76" s="14">
        <v>45925</v>
      </c>
      <c r="C76" s="13" t="str">
        <f t="shared" si="5"/>
        <v>111</v>
      </c>
      <c r="D76" s="13">
        <f t="shared" si="7"/>
        <v>111</v>
      </c>
      <c r="G76" s="15" t="s">
        <v>627</v>
      </c>
      <c r="H76" s="13" t="s">
        <v>3832</v>
      </c>
      <c r="I76" s="13">
        <v>112111</v>
      </c>
      <c r="J76" s="13">
        <v>131</v>
      </c>
      <c r="K76" s="13" t="s">
        <v>21</v>
      </c>
      <c r="L76" s="13">
        <v>1</v>
      </c>
      <c r="M76" s="21">
        <v>10645161</v>
      </c>
      <c r="N76" s="21">
        <f t="shared" si="3"/>
        <v>10645161</v>
      </c>
      <c r="O76" s="13" t="s">
        <v>22</v>
      </c>
    </row>
    <row r="77" spans="1:15" ht="15" customHeight="1" x14ac:dyDescent="0.2">
      <c r="A77" s="13" t="s">
        <v>33</v>
      </c>
      <c r="B77" s="14">
        <v>45925</v>
      </c>
      <c r="C77" s="13" t="str">
        <f t="shared" si="5"/>
        <v>112</v>
      </c>
      <c r="D77" s="13">
        <f t="shared" si="7"/>
        <v>112</v>
      </c>
      <c r="G77" s="15" t="s">
        <v>627</v>
      </c>
      <c r="H77" s="13" t="s">
        <v>3833</v>
      </c>
      <c r="I77" s="13">
        <v>112111</v>
      </c>
      <c r="J77" s="13">
        <v>131</v>
      </c>
      <c r="K77" s="13" t="s">
        <v>21</v>
      </c>
      <c r="L77" s="13">
        <v>1</v>
      </c>
      <c r="M77" s="21">
        <v>10645161</v>
      </c>
      <c r="N77" s="21">
        <f t="shared" si="3"/>
        <v>10645161</v>
      </c>
      <c r="O77" s="13" t="s">
        <v>22</v>
      </c>
    </row>
    <row r="78" spans="1:15" ht="15" customHeight="1" x14ac:dyDescent="0.2">
      <c r="A78" s="13" t="s">
        <v>33</v>
      </c>
      <c r="B78" s="14">
        <v>45926</v>
      </c>
      <c r="C78" s="13" t="str">
        <f t="shared" si="5"/>
        <v>113</v>
      </c>
      <c r="D78" s="13">
        <f t="shared" si="7"/>
        <v>113</v>
      </c>
      <c r="G78" s="15" t="s">
        <v>1136</v>
      </c>
      <c r="H78" s="13" t="s">
        <v>3834</v>
      </c>
      <c r="I78" s="13">
        <v>112111</v>
      </c>
      <c r="J78" s="13">
        <v>131</v>
      </c>
      <c r="K78" s="13" t="s">
        <v>21</v>
      </c>
      <c r="L78" s="13">
        <v>1</v>
      </c>
      <c r="M78" s="21">
        <v>16958417</v>
      </c>
      <c r="N78" s="21">
        <f t="shared" si="3"/>
        <v>16958417</v>
      </c>
      <c r="O78" s="13" t="s">
        <v>22</v>
      </c>
    </row>
    <row r="79" spans="1:15" ht="15" customHeight="1" x14ac:dyDescent="0.2">
      <c r="A79" s="13" t="s">
        <v>33</v>
      </c>
      <c r="B79" s="14">
        <v>45889</v>
      </c>
      <c r="C79" s="13" t="str">
        <f t="shared" si="5"/>
        <v>114</v>
      </c>
      <c r="D79" s="13">
        <f t="shared" si="7"/>
        <v>114</v>
      </c>
      <c r="G79" s="15" t="s">
        <v>1539</v>
      </c>
      <c r="H79" s="13" t="s">
        <v>3835</v>
      </c>
      <c r="I79" s="13">
        <v>112111</v>
      </c>
      <c r="J79" s="13">
        <v>131</v>
      </c>
      <c r="K79" s="13" t="s">
        <v>21</v>
      </c>
      <c r="L79" s="13">
        <v>1</v>
      </c>
      <c r="M79" s="21">
        <v>15967742</v>
      </c>
      <c r="N79" s="21">
        <f t="shared" si="3"/>
        <v>15967742</v>
      </c>
      <c r="O79" s="13" t="s">
        <v>22</v>
      </c>
    </row>
    <row r="80" spans="1:15" ht="15" customHeight="1" x14ac:dyDescent="0.2">
      <c r="A80" s="13" t="s">
        <v>33</v>
      </c>
      <c r="B80" s="14">
        <v>45891</v>
      </c>
      <c r="C80" s="13" t="str">
        <f t="shared" si="5"/>
        <v>115</v>
      </c>
      <c r="D80" s="13">
        <f t="shared" si="7"/>
        <v>115</v>
      </c>
      <c r="G80" s="15" t="s">
        <v>1434</v>
      </c>
      <c r="H80" s="13" t="s">
        <v>3836</v>
      </c>
      <c r="I80" s="13">
        <v>112111</v>
      </c>
      <c r="J80" s="13">
        <v>131</v>
      </c>
      <c r="K80" s="13" t="s">
        <v>21</v>
      </c>
      <c r="L80" s="13">
        <v>1</v>
      </c>
      <c r="M80" s="21">
        <v>10700000</v>
      </c>
      <c r="N80" s="21">
        <f t="shared" si="3"/>
        <v>10700000</v>
      </c>
      <c r="O80" s="13" t="s">
        <v>22</v>
      </c>
    </row>
    <row r="81" spans="1:15" ht="15" customHeight="1" x14ac:dyDescent="0.2">
      <c r="A81" s="13" t="s">
        <v>18</v>
      </c>
      <c r="B81" s="14">
        <v>45893</v>
      </c>
      <c r="C81" s="13" t="str">
        <f t="shared" si="5"/>
        <v>116</v>
      </c>
      <c r="D81" s="13">
        <f t="shared" si="7"/>
        <v>116</v>
      </c>
      <c r="G81" s="15" t="s">
        <v>31</v>
      </c>
      <c r="H81" s="13" t="s">
        <v>1578</v>
      </c>
      <c r="I81" s="13">
        <v>131</v>
      </c>
      <c r="J81" s="13">
        <v>5118</v>
      </c>
      <c r="K81" s="13" t="s">
        <v>21</v>
      </c>
      <c r="L81" s="13">
        <v>1</v>
      </c>
      <c r="M81" s="21">
        <v>285853798</v>
      </c>
      <c r="N81" s="21">
        <f t="shared" si="3"/>
        <v>285853798</v>
      </c>
      <c r="O81" s="13" t="s">
        <v>998</v>
      </c>
    </row>
    <row r="82" spans="1:15" ht="15" customHeight="1" x14ac:dyDescent="0.2">
      <c r="A82" s="13" t="s">
        <v>33</v>
      </c>
      <c r="B82" s="14">
        <v>45893</v>
      </c>
      <c r="C82" s="13" t="str">
        <f t="shared" si="5"/>
        <v>117</v>
      </c>
      <c r="D82" s="13">
        <f t="shared" si="7"/>
        <v>117</v>
      </c>
      <c r="G82" s="15" t="s">
        <v>31</v>
      </c>
      <c r="H82" s="13" t="s">
        <v>1579</v>
      </c>
      <c r="I82" s="13">
        <v>112111</v>
      </c>
      <c r="J82" s="13">
        <v>131</v>
      </c>
      <c r="K82" s="13" t="s">
        <v>21</v>
      </c>
      <c r="L82" s="13">
        <v>1</v>
      </c>
      <c r="M82" s="21">
        <v>282705826</v>
      </c>
      <c r="N82" s="21">
        <f t="shared" si="3"/>
        <v>282705826</v>
      </c>
      <c r="O82" s="13" t="s">
        <v>998</v>
      </c>
    </row>
    <row r="83" spans="1:15" ht="15" customHeight="1" x14ac:dyDescent="0.2">
      <c r="A83" s="13" t="s">
        <v>33</v>
      </c>
      <c r="B83" s="14">
        <v>45893</v>
      </c>
      <c r="C83" s="13" t="str">
        <f t="shared" si="5"/>
        <v>118</v>
      </c>
      <c r="D83" s="13">
        <f t="shared" si="7"/>
        <v>118</v>
      </c>
      <c r="G83" s="15" t="s">
        <v>31</v>
      </c>
      <c r="H83" s="13" t="s">
        <v>1579</v>
      </c>
      <c r="I83" s="13">
        <v>64277</v>
      </c>
      <c r="J83" s="13">
        <v>131</v>
      </c>
      <c r="K83" s="13" t="s">
        <v>21</v>
      </c>
      <c r="L83" s="13">
        <v>1</v>
      </c>
      <c r="M83" s="21">
        <v>3147972</v>
      </c>
      <c r="N83" s="21">
        <f t="shared" ref="N83" si="8">L83*M83</f>
        <v>3147972</v>
      </c>
      <c r="O83" s="13" t="s">
        <v>998</v>
      </c>
    </row>
    <row r="84" spans="1:15" ht="15" customHeight="1" x14ac:dyDescent="0.2">
      <c r="A84" s="13" t="s">
        <v>89</v>
      </c>
      <c r="B84" s="14">
        <v>45900</v>
      </c>
      <c r="C84" s="13" t="str">
        <f t="shared" si="5"/>
        <v>119</v>
      </c>
      <c r="D84" s="13">
        <f t="shared" si="7"/>
        <v>119</v>
      </c>
      <c r="G84" s="15" t="s">
        <v>2968</v>
      </c>
      <c r="H84" s="13" t="s">
        <v>1008</v>
      </c>
      <c r="I84" s="13">
        <v>1111</v>
      </c>
      <c r="J84" s="13">
        <v>112111</v>
      </c>
      <c r="K84" s="13" t="s">
        <v>21</v>
      </c>
      <c r="L84" s="13">
        <v>1</v>
      </c>
      <c r="M84" s="21">
        <v>181000000</v>
      </c>
      <c r="N84" s="21">
        <f t="shared" si="3"/>
        <v>181000000</v>
      </c>
      <c r="O84" s="13" t="s">
        <v>22</v>
      </c>
    </row>
    <row r="85" spans="1:15" ht="15" customHeight="1" x14ac:dyDescent="0.2">
      <c r="A85" s="13" t="s">
        <v>33</v>
      </c>
      <c r="B85" s="14">
        <v>45900</v>
      </c>
      <c r="C85" s="13" t="str">
        <f t="shared" si="5"/>
        <v>120</v>
      </c>
      <c r="D85" s="13">
        <f t="shared" si="7"/>
        <v>120</v>
      </c>
      <c r="G85" s="15" t="s">
        <v>2384</v>
      </c>
      <c r="H85" s="13" t="s">
        <v>129</v>
      </c>
      <c r="I85" s="13">
        <v>112111</v>
      </c>
      <c r="J85" s="13">
        <v>5154</v>
      </c>
      <c r="K85" s="13" t="s">
        <v>21</v>
      </c>
      <c r="L85" s="13">
        <v>1</v>
      </c>
      <c r="M85" s="21">
        <v>77131</v>
      </c>
      <c r="N85" s="21">
        <f t="shared" si="3"/>
        <v>77131</v>
      </c>
      <c r="O85" s="13" t="s">
        <v>998</v>
      </c>
    </row>
    <row r="86" spans="1:15" ht="15" customHeight="1" x14ac:dyDescent="0.2">
      <c r="A86" s="13" t="s">
        <v>18</v>
      </c>
      <c r="B86" s="14">
        <v>45899</v>
      </c>
      <c r="C86" s="13" t="str">
        <f t="shared" si="5"/>
        <v>121</v>
      </c>
      <c r="D86" s="13">
        <f t="shared" si="7"/>
        <v>121</v>
      </c>
      <c r="G86" s="15" t="s">
        <v>31</v>
      </c>
      <c r="H86" s="13" t="s">
        <v>1578</v>
      </c>
      <c r="I86" s="13">
        <v>131</v>
      </c>
      <c r="J86" s="13">
        <v>5118</v>
      </c>
      <c r="K86" s="13" t="s">
        <v>21</v>
      </c>
      <c r="L86" s="13">
        <v>1</v>
      </c>
      <c r="M86" s="21">
        <v>155592722</v>
      </c>
      <c r="N86" s="21">
        <f t="shared" si="3"/>
        <v>155592722</v>
      </c>
      <c r="O86" s="13" t="s">
        <v>998</v>
      </c>
    </row>
    <row r="87" spans="1:15" ht="15" customHeight="1" x14ac:dyDescent="0.2">
      <c r="A87" s="13" t="s">
        <v>33</v>
      </c>
      <c r="B87" s="14">
        <v>45899</v>
      </c>
      <c r="C87" s="13" t="str">
        <f t="shared" si="5"/>
        <v>122</v>
      </c>
      <c r="D87" s="13">
        <f t="shared" si="7"/>
        <v>122</v>
      </c>
      <c r="G87" s="15" t="s">
        <v>31</v>
      </c>
      <c r="H87" s="13" t="s">
        <v>1579</v>
      </c>
      <c r="I87" s="13">
        <v>112111</v>
      </c>
      <c r="J87" s="13">
        <v>131</v>
      </c>
      <c r="K87" s="13" t="s">
        <v>21</v>
      </c>
      <c r="L87" s="13">
        <v>1</v>
      </c>
      <c r="M87" s="21">
        <v>153877629</v>
      </c>
      <c r="N87" s="21">
        <f t="shared" si="3"/>
        <v>153877629</v>
      </c>
      <c r="O87" s="13" t="s">
        <v>998</v>
      </c>
    </row>
    <row r="88" spans="1:15" ht="15" customHeight="1" x14ac:dyDescent="0.2">
      <c r="A88" s="13" t="s">
        <v>33</v>
      </c>
      <c r="B88" s="14">
        <v>45899</v>
      </c>
      <c r="C88" s="13" t="str">
        <f t="shared" si="5"/>
        <v>123</v>
      </c>
      <c r="D88" s="13">
        <f t="shared" si="7"/>
        <v>123</v>
      </c>
      <c r="G88" s="15" t="s">
        <v>31</v>
      </c>
      <c r="H88" s="13" t="s">
        <v>1579</v>
      </c>
      <c r="I88" s="13">
        <v>64277</v>
      </c>
      <c r="J88" s="13">
        <v>131</v>
      </c>
      <c r="K88" s="13" t="s">
        <v>21</v>
      </c>
      <c r="L88" s="13">
        <v>1</v>
      </c>
      <c r="M88" s="21">
        <v>1715093</v>
      </c>
      <c r="N88" s="21">
        <f t="shared" ref="N88:N98" si="9">L88*M88</f>
        <v>1715093</v>
      </c>
      <c r="O88" s="13" t="s">
        <v>998</v>
      </c>
    </row>
    <row r="89" spans="1:15" ht="15" customHeight="1" x14ac:dyDescent="0.2">
      <c r="A89" s="13" t="s">
        <v>18</v>
      </c>
      <c r="B89" s="14">
        <v>45869</v>
      </c>
      <c r="C89" s="13" t="str">
        <f t="shared" si="5"/>
        <v>124</v>
      </c>
      <c r="D89" s="13">
        <f t="shared" si="7"/>
        <v>124</v>
      </c>
      <c r="G89" s="15" t="s">
        <v>2968</v>
      </c>
      <c r="H89" s="13" t="s">
        <v>3837</v>
      </c>
      <c r="I89" s="13">
        <v>64271</v>
      </c>
      <c r="J89" s="13">
        <v>334</v>
      </c>
      <c r="K89" s="13" t="s">
        <v>21</v>
      </c>
      <c r="L89" s="13">
        <v>1</v>
      </c>
      <c r="M89" s="21">
        <v>38000000</v>
      </c>
      <c r="N89" s="21">
        <f t="shared" si="9"/>
        <v>38000000</v>
      </c>
      <c r="O89" s="13" t="s">
        <v>22</v>
      </c>
    </row>
    <row r="90" spans="1:15" ht="15" customHeight="1" x14ac:dyDescent="0.2">
      <c r="A90" s="13" t="s">
        <v>18</v>
      </c>
      <c r="B90" s="14">
        <v>45900</v>
      </c>
      <c r="C90" s="13" t="str">
        <f t="shared" si="5"/>
        <v>125</v>
      </c>
      <c r="D90" s="13">
        <f t="shared" si="7"/>
        <v>125</v>
      </c>
      <c r="G90" s="15" t="s">
        <v>2968</v>
      </c>
      <c r="H90" s="13" t="s">
        <v>3838</v>
      </c>
      <c r="I90" s="13">
        <v>64271</v>
      </c>
      <c r="J90" s="13">
        <v>334</v>
      </c>
      <c r="K90" s="13" t="s">
        <v>21</v>
      </c>
      <c r="L90" s="13">
        <v>1</v>
      </c>
      <c r="M90" s="21">
        <v>38000000</v>
      </c>
      <c r="N90" s="21">
        <f t="shared" si="9"/>
        <v>38000000</v>
      </c>
      <c r="O90" s="13" t="s">
        <v>22</v>
      </c>
    </row>
    <row r="91" spans="1:15" ht="15" customHeight="1" x14ac:dyDescent="0.2">
      <c r="A91" s="13" t="s">
        <v>18</v>
      </c>
      <c r="B91" s="14">
        <v>45930</v>
      </c>
      <c r="C91" s="13" t="str">
        <f t="shared" si="5"/>
        <v>126</v>
      </c>
      <c r="D91" s="13">
        <f t="shared" si="7"/>
        <v>126</v>
      </c>
      <c r="G91" s="15" t="s">
        <v>2968</v>
      </c>
      <c r="H91" s="13" t="s">
        <v>3839</v>
      </c>
      <c r="I91" s="13">
        <v>64271</v>
      </c>
      <c r="J91" s="13">
        <v>334</v>
      </c>
      <c r="K91" s="13" t="s">
        <v>21</v>
      </c>
      <c r="L91" s="13">
        <v>1</v>
      </c>
      <c r="M91" s="21">
        <v>38000000</v>
      </c>
      <c r="N91" s="21">
        <f t="shared" si="9"/>
        <v>38000000</v>
      </c>
      <c r="O91" s="13" t="s">
        <v>22</v>
      </c>
    </row>
    <row r="92" spans="1:15" ht="15" customHeight="1" x14ac:dyDescent="0.2">
      <c r="A92" s="13" t="s">
        <v>18</v>
      </c>
      <c r="B92" s="14">
        <v>45869</v>
      </c>
      <c r="C92" s="13" t="str">
        <f t="shared" si="5"/>
        <v>127</v>
      </c>
      <c r="D92" s="13">
        <f t="shared" ref="D92:D98" si="10">D91+1</f>
        <v>127</v>
      </c>
      <c r="G92" s="15" t="s">
        <v>2968</v>
      </c>
      <c r="H92" s="13" t="s">
        <v>3840</v>
      </c>
      <c r="I92" s="13">
        <v>334</v>
      </c>
      <c r="J92" s="13">
        <v>1111</v>
      </c>
      <c r="K92" s="13" t="s">
        <v>21</v>
      </c>
      <c r="L92" s="13">
        <v>1</v>
      </c>
      <c r="M92" s="21">
        <v>38000000</v>
      </c>
      <c r="N92" s="21">
        <f t="shared" ref="N92:N94" si="11">L92*M92</f>
        <v>38000000</v>
      </c>
      <c r="O92" s="13" t="s">
        <v>22</v>
      </c>
    </row>
    <row r="93" spans="1:15" ht="15" customHeight="1" x14ac:dyDescent="0.2">
      <c r="A93" s="13" t="s">
        <v>18</v>
      </c>
      <c r="B93" s="14">
        <v>45900</v>
      </c>
      <c r="C93" s="13" t="str">
        <f t="shared" si="5"/>
        <v>128</v>
      </c>
      <c r="D93" s="13">
        <f t="shared" si="10"/>
        <v>128</v>
      </c>
      <c r="G93" s="15" t="s">
        <v>2968</v>
      </c>
      <c r="H93" s="13" t="s">
        <v>3841</v>
      </c>
      <c r="I93" s="13">
        <v>334</v>
      </c>
      <c r="J93" s="13">
        <v>1111</v>
      </c>
      <c r="K93" s="13" t="s">
        <v>21</v>
      </c>
      <c r="L93" s="13">
        <v>1</v>
      </c>
      <c r="M93" s="21">
        <v>38000000</v>
      </c>
      <c r="N93" s="21">
        <f t="shared" si="11"/>
        <v>38000000</v>
      </c>
      <c r="O93" s="13" t="s">
        <v>22</v>
      </c>
    </row>
    <row r="94" spans="1:15" ht="15" customHeight="1" x14ac:dyDescent="0.2">
      <c r="A94" s="13" t="s">
        <v>18</v>
      </c>
      <c r="B94" s="14">
        <v>45930</v>
      </c>
      <c r="C94" s="13" t="str">
        <f t="shared" si="5"/>
        <v>129</v>
      </c>
      <c r="D94" s="13">
        <f t="shared" si="10"/>
        <v>129</v>
      </c>
      <c r="G94" s="15" t="s">
        <v>2968</v>
      </c>
      <c r="H94" s="13" t="s">
        <v>3842</v>
      </c>
      <c r="I94" s="13">
        <v>334</v>
      </c>
      <c r="J94" s="13">
        <v>1111</v>
      </c>
      <c r="K94" s="13" t="s">
        <v>21</v>
      </c>
      <c r="L94" s="13">
        <v>1</v>
      </c>
      <c r="M94" s="21">
        <v>38000000</v>
      </c>
      <c r="N94" s="21">
        <f t="shared" si="11"/>
        <v>38000000</v>
      </c>
      <c r="O94" s="13" t="s">
        <v>22</v>
      </c>
    </row>
    <row r="95" spans="1:15" ht="15" customHeight="1" x14ac:dyDescent="0.2">
      <c r="A95" s="13" t="s">
        <v>18</v>
      </c>
      <c r="B95" s="14">
        <v>45869</v>
      </c>
      <c r="C95" s="13" t="str">
        <f t="shared" si="5"/>
        <v>130</v>
      </c>
      <c r="D95" s="13">
        <f t="shared" si="10"/>
        <v>130</v>
      </c>
      <c r="G95" s="15" t="s">
        <v>1235</v>
      </c>
      <c r="H95" s="13" t="s">
        <v>147</v>
      </c>
      <c r="I95" s="13">
        <v>64271</v>
      </c>
      <c r="J95" s="13">
        <v>3383</v>
      </c>
      <c r="K95" s="13" t="s">
        <v>21</v>
      </c>
      <c r="L95" s="13">
        <v>1</v>
      </c>
      <c r="M95" s="21">
        <v>7090300</v>
      </c>
      <c r="N95" s="21">
        <f t="shared" si="9"/>
        <v>7090300</v>
      </c>
      <c r="O95" s="13" t="s">
        <v>22</v>
      </c>
    </row>
    <row r="96" spans="1:15" ht="15" customHeight="1" x14ac:dyDescent="0.2">
      <c r="A96" s="13" t="s">
        <v>18</v>
      </c>
      <c r="B96" s="14">
        <v>45900</v>
      </c>
      <c r="C96" s="13" t="str">
        <f t="shared" si="5"/>
        <v>131</v>
      </c>
      <c r="D96" s="13">
        <f t="shared" si="10"/>
        <v>131</v>
      </c>
      <c r="G96" s="15" t="s">
        <v>1235</v>
      </c>
      <c r="H96" s="13" t="s">
        <v>280</v>
      </c>
      <c r="I96" s="13">
        <v>64271</v>
      </c>
      <c r="J96" s="13">
        <v>3383</v>
      </c>
      <c r="K96" s="13" t="s">
        <v>21</v>
      </c>
      <c r="L96" s="13">
        <v>1</v>
      </c>
      <c r="M96" s="21">
        <v>7090300</v>
      </c>
      <c r="N96" s="21">
        <f t="shared" si="9"/>
        <v>7090300</v>
      </c>
      <c r="O96" s="13" t="s">
        <v>22</v>
      </c>
    </row>
    <row r="97" spans="1:15" ht="15" customHeight="1" x14ac:dyDescent="0.2">
      <c r="A97" s="13" t="s">
        <v>18</v>
      </c>
      <c r="B97" s="14">
        <v>45930</v>
      </c>
      <c r="C97" s="13" t="str">
        <f t="shared" si="5"/>
        <v>132</v>
      </c>
      <c r="D97" s="13">
        <f t="shared" si="10"/>
        <v>132</v>
      </c>
      <c r="G97" s="15" t="s">
        <v>1235</v>
      </c>
      <c r="H97" s="13" t="s">
        <v>367</v>
      </c>
      <c r="I97" s="13">
        <v>64271</v>
      </c>
      <c r="J97" s="13">
        <v>3383</v>
      </c>
      <c r="K97" s="13" t="s">
        <v>21</v>
      </c>
      <c r="L97" s="13">
        <v>1</v>
      </c>
      <c r="M97" s="21">
        <v>7090300</v>
      </c>
      <c r="N97" s="21">
        <f t="shared" si="9"/>
        <v>7090300</v>
      </c>
      <c r="O97" s="13" t="s">
        <v>22</v>
      </c>
    </row>
    <row r="98" spans="1:15" ht="15" customHeight="1" x14ac:dyDescent="0.2">
      <c r="A98" s="13" t="s">
        <v>33</v>
      </c>
      <c r="B98" s="14">
        <v>45900</v>
      </c>
      <c r="C98" s="13" t="str">
        <f t="shared" si="5"/>
        <v>133</v>
      </c>
      <c r="D98" s="13">
        <f t="shared" si="10"/>
        <v>133</v>
      </c>
      <c r="G98" s="15" t="s">
        <v>2384</v>
      </c>
      <c r="H98" s="13" t="s">
        <v>129</v>
      </c>
      <c r="I98" s="13">
        <v>112111</v>
      </c>
      <c r="J98" s="13">
        <v>5154</v>
      </c>
      <c r="K98" s="13" t="s">
        <v>21</v>
      </c>
      <c r="L98" s="13">
        <v>1</v>
      </c>
      <c r="M98" s="21">
        <v>104723</v>
      </c>
      <c r="N98" s="21">
        <f t="shared" si="9"/>
        <v>104723</v>
      </c>
      <c r="O98" s="13" t="s">
        <v>22</v>
      </c>
    </row>
  </sheetData>
  <autoFilter ref="A3:P88" xr:uid="{00000000-0009-0000-0000-000013000000}"/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30"/>
  <sheetViews>
    <sheetView workbookViewId="0">
      <selection sqref="A1:A2"/>
    </sheetView>
  </sheetViews>
  <sheetFormatPr defaultRowHeight="15" customHeight="1" x14ac:dyDescent="0.2"/>
  <cols>
    <col min="1" max="7" width="9.140625" style="13"/>
    <col min="8" max="8" width="28.28515625" style="13" customWidth="1"/>
    <col min="9" max="12" width="9.140625" style="13"/>
    <col min="13" max="13" width="12" style="21" bestFit="1" customWidth="1"/>
    <col min="14" max="14" width="10.7109375" style="21" bestFit="1" customWidth="1"/>
    <col min="15" max="17" width="9.140625" style="13"/>
    <col min="18" max="28" width="9.140625" style="15"/>
    <col min="29" max="16384" width="9.140625" style="13"/>
  </cols>
  <sheetData>
    <row r="1" spans="1:16" ht="15" customHeight="1" thickBot="1" x14ac:dyDescent="0.25">
      <c r="A1" s="164" t="s">
        <v>0</v>
      </c>
      <c r="B1" s="154" t="s">
        <v>1</v>
      </c>
      <c r="C1" s="164" t="s">
        <v>2</v>
      </c>
      <c r="D1" s="170" t="s">
        <v>3</v>
      </c>
      <c r="E1" s="170" t="s">
        <v>4</v>
      </c>
      <c r="F1" s="170" t="s">
        <v>5</v>
      </c>
      <c r="G1" s="158" t="s">
        <v>6</v>
      </c>
      <c r="H1" s="160" t="s">
        <v>7</v>
      </c>
      <c r="I1" s="162" t="s">
        <v>8</v>
      </c>
      <c r="J1" s="163"/>
      <c r="K1" s="164" t="s">
        <v>9</v>
      </c>
      <c r="L1" s="164" t="s">
        <v>10</v>
      </c>
      <c r="M1" s="194" t="s">
        <v>1287</v>
      </c>
      <c r="N1" s="194" t="s">
        <v>1288</v>
      </c>
      <c r="O1" s="55" t="s">
        <v>1289</v>
      </c>
      <c r="P1" s="46"/>
    </row>
    <row r="2" spans="1:16" ht="15" customHeight="1" thickBot="1" x14ac:dyDescent="0.25">
      <c r="A2" s="165"/>
      <c r="B2" s="155"/>
      <c r="C2" s="165"/>
      <c r="D2" s="171"/>
      <c r="E2" s="171"/>
      <c r="F2" s="172"/>
      <c r="G2" s="159"/>
      <c r="H2" s="161"/>
      <c r="I2" s="56" t="s">
        <v>13</v>
      </c>
      <c r="J2" s="57" t="s">
        <v>14</v>
      </c>
      <c r="K2" s="165"/>
      <c r="L2" s="165"/>
      <c r="M2" s="195"/>
      <c r="N2" s="195"/>
      <c r="O2" s="46" t="s">
        <v>1289</v>
      </c>
      <c r="P2" s="46"/>
    </row>
    <row r="3" spans="1:16" ht="15" customHeight="1" x14ac:dyDescent="0.2">
      <c r="A3" s="58"/>
      <c r="B3" s="107"/>
      <c r="C3" s="58">
        <v>1</v>
      </c>
      <c r="D3" s="60"/>
      <c r="E3" s="60"/>
      <c r="F3" s="60"/>
      <c r="G3" s="62" t="s">
        <v>15</v>
      </c>
      <c r="H3" s="63"/>
      <c r="I3" s="63"/>
      <c r="J3" s="63"/>
      <c r="K3" s="58"/>
      <c r="L3" s="58"/>
      <c r="M3" s="108"/>
      <c r="N3" s="108"/>
      <c r="O3" s="46" t="s">
        <v>16</v>
      </c>
      <c r="P3" s="46" t="s">
        <v>17</v>
      </c>
    </row>
    <row r="4" spans="1:16" ht="15" customHeight="1" x14ac:dyDescent="0.2">
      <c r="A4" s="13" t="s">
        <v>18</v>
      </c>
      <c r="B4" s="13" t="s">
        <v>1424</v>
      </c>
      <c r="C4" s="13" t="str">
        <f>TEXT(D4,"000")</f>
        <v>002</v>
      </c>
      <c r="D4" s="13">
        <v>2</v>
      </c>
      <c r="G4" s="13" t="s">
        <v>1136</v>
      </c>
      <c r="H4" s="13" t="s">
        <v>3302</v>
      </c>
      <c r="I4" s="13">
        <v>131</v>
      </c>
      <c r="J4" s="13">
        <v>5113</v>
      </c>
      <c r="K4" s="13" t="s">
        <v>21</v>
      </c>
      <c r="L4" s="13">
        <v>1</v>
      </c>
      <c r="M4" s="21">
        <v>32258065</v>
      </c>
      <c r="N4" s="21">
        <f>L4*M4</f>
        <v>32258065</v>
      </c>
      <c r="O4" s="13" t="s">
        <v>22</v>
      </c>
    </row>
    <row r="5" spans="1:16" ht="15" customHeight="1" x14ac:dyDescent="0.2">
      <c r="A5" s="13" t="s">
        <v>18</v>
      </c>
      <c r="B5" s="13" t="s">
        <v>1424</v>
      </c>
      <c r="C5" s="13" t="str">
        <f t="shared" ref="C5:C30" si="0">TEXT(D5,"000")</f>
        <v>003</v>
      </c>
      <c r="D5" s="13">
        <v>3</v>
      </c>
      <c r="G5" s="13" t="s">
        <v>1136</v>
      </c>
      <c r="H5" s="13" t="s">
        <v>3303</v>
      </c>
      <c r="I5" s="13">
        <v>333821</v>
      </c>
      <c r="J5" s="13">
        <v>131</v>
      </c>
      <c r="K5" s="13" t="s">
        <v>21</v>
      </c>
      <c r="L5" s="13">
        <v>1</v>
      </c>
      <c r="M5" s="21">
        <v>322581</v>
      </c>
      <c r="N5" s="21">
        <f>L5*M5</f>
        <v>322581</v>
      </c>
      <c r="O5" s="13" t="s">
        <v>22</v>
      </c>
    </row>
    <row r="6" spans="1:16" ht="15" customHeight="1" x14ac:dyDescent="0.2">
      <c r="A6" s="13" t="s">
        <v>18</v>
      </c>
      <c r="B6" s="13" t="s">
        <v>2232</v>
      </c>
      <c r="C6" s="13" t="str">
        <f t="shared" si="0"/>
        <v>004</v>
      </c>
      <c r="D6" s="13">
        <v>4</v>
      </c>
      <c r="G6" s="13" t="s">
        <v>3304</v>
      </c>
      <c r="H6" s="13" t="s">
        <v>3305</v>
      </c>
      <c r="I6" s="13">
        <v>64277</v>
      </c>
      <c r="J6" s="13">
        <v>331</v>
      </c>
      <c r="K6" s="13" t="s">
        <v>21</v>
      </c>
      <c r="L6" s="13">
        <v>1</v>
      </c>
      <c r="M6" s="21">
        <v>238000877</v>
      </c>
      <c r="N6" s="21">
        <f t="shared" ref="N6:N17" si="1">L6*M6</f>
        <v>238000877</v>
      </c>
      <c r="O6" s="13" t="s">
        <v>3843</v>
      </c>
    </row>
    <row r="7" spans="1:16" ht="15" customHeight="1" x14ac:dyDescent="0.2">
      <c r="A7" s="13" t="s">
        <v>18</v>
      </c>
      <c r="B7" s="13" t="s">
        <v>1476</v>
      </c>
      <c r="C7" s="13" t="str">
        <f t="shared" si="0"/>
        <v>005</v>
      </c>
      <c r="D7" s="13">
        <v>5</v>
      </c>
      <c r="G7" s="13" t="s">
        <v>3304</v>
      </c>
      <c r="H7" s="13" t="s">
        <v>3306</v>
      </c>
      <c r="I7" s="13">
        <v>64277</v>
      </c>
      <c r="J7" s="13">
        <v>331</v>
      </c>
      <c r="K7" s="13" t="s">
        <v>21</v>
      </c>
      <c r="L7" s="13">
        <v>1</v>
      </c>
      <c r="M7" s="21">
        <v>238000877</v>
      </c>
      <c r="N7" s="21">
        <f t="shared" si="1"/>
        <v>238000877</v>
      </c>
      <c r="O7" s="13" t="s">
        <v>3843</v>
      </c>
    </row>
    <row r="8" spans="1:16" ht="15" customHeight="1" x14ac:dyDescent="0.2">
      <c r="A8" s="13" t="s">
        <v>18</v>
      </c>
      <c r="B8" s="13" t="s">
        <v>2077</v>
      </c>
      <c r="C8" s="13" t="str">
        <f t="shared" si="0"/>
        <v>006</v>
      </c>
      <c r="D8" s="13">
        <v>6</v>
      </c>
      <c r="G8" s="13" t="s">
        <v>695</v>
      </c>
      <c r="H8" s="13" t="s">
        <v>3307</v>
      </c>
      <c r="I8" s="13">
        <v>64277</v>
      </c>
      <c r="J8" s="13">
        <v>331</v>
      </c>
      <c r="K8" s="13" t="s">
        <v>21</v>
      </c>
      <c r="L8" s="13">
        <v>1</v>
      </c>
      <c r="M8" s="21">
        <v>99000</v>
      </c>
      <c r="N8" s="21">
        <f t="shared" si="1"/>
        <v>99000</v>
      </c>
      <c r="O8" s="13" t="s">
        <v>22</v>
      </c>
    </row>
    <row r="9" spans="1:16" ht="15" customHeight="1" x14ac:dyDescent="0.2">
      <c r="A9" s="13" t="s">
        <v>18</v>
      </c>
      <c r="B9" s="13" t="s">
        <v>1480</v>
      </c>
      <c r="C9" s="13" t="str">
        <f t="shared" si="0"/>
        <v>007</v>
      </c>
      <c r="D9" s="13">
        <v>7</v>
      </c>
      <c r="G9" s="13" t="s">
        <v>3308</v>
      </c>
      <c r="H9" s="13" t="s">
        <v>3309</v>
      </c>
      <c r="I9" s="13">
        <v>64275</v>
      </c>
      <c r="J9" s="13">
        <v>331</v>
      </c>
      <c r="K9" s="13" t="s">
        <v>21</v>
      </c>
      <c r="L9" s="13">
        <v>1</v>
      </c>
      <c r="M9" s="21">
        <v>6600000</v>
      </c>
      <c r="N9" s="21">
        <f t="shared" si="1"/>
        <v>6600000</v>
      </c>
      <c r="O9" s="13" t="s">
        <v>22</v>
      </c>
    </row>
    <row r="10" spans="1:16" ht="15" customHeight="1" x14ac:dyDescent="0.2">
      <c r="A10" s="13" t="s">
        <v>18</v>
      </c>
      <c r="B10" s="13" t="s">
        <v>1419</v>
      </c>
      <c r="C10" s="13" t="str">
        <f t="shared" si="0"/>
        <v>008</v>
      </c>
      <c r="D10" s="13">
        <v>8</v>
      </c>
      <c r="G10" s="13" t="s">
        <v>695</v>
      </c>
      <c r="H10" s="13" t="s">
        <v>3310</v>
      </c>
      <c r="I10" s="13">
        <v>64277</v>
      </c>
      <c r="J10" s="13">
        <v>331</v>
      </c>
      <c r="K10" s="13" t="s">
        <v>21</v>
      </c>
      <c r="L10" s="13">
        <v>1</v>
      </c>
      <c r="M10" s="21">
        <v>1662120</v>
      </c>
      <c r="N10" s="21">
        <f t="shared" si="1"/>
        <v>1662120</v>
      </c>
      <c r="O10" s="13" t="s">
        <v>22</v>
      </c>
    </row>
    <row r="11" spans="1:16" ht="15" customHeight="1" x14ac:dyDescent="0.2">
      <c r="A11" s="13" t="s">
        <v>18</v>
      </c>
      <c r="B11" s="13" t="s">
        <v>1536</v>
      </c>
      <c r="C11" s="13" t="str">
        <f t="shared" si="0"/>
        <v>009</v>
      </c>
      <c r="D11" s="13">
        <v>9</v>
      </c>
      <c r="G11" s="13" t="s">
        <v>3311</v>
      </c>
      <c r="H11" s="13" t="s">
        <v>3792</v>
      </c>
      <c r="I11" s="13">
        <v>64276</v>
      </c>
      <c r="J11" s="13">
        <v>331</v>
      </c>
      <c r="K11" s="13" t="s">
        <v>21</v>
      </c>
      <c r="L11" s="13">
        <v>1</v>
      </c>
      <c r="M11" s="21">
        <v>10770000</v>
      </c>
      <c r="N11" s="21">
        <f t="shared" si="1"/>
        <v>10770000</v>
      </c>
      <c r="O11" s="13" t="s">
        <v>22</v>
      </c>
    </row>
    <row r="12" spans="1:16" ht="15" customHeight="1" x14ac:dyDescent="0.2">
      <c r="A12" s="13" t="s">
        <v>18</v>
      </c>
      <c r="B12" s="13" t="s">
        <v>2444</v>
      </c>
      <c r="C12" s="13" t="str">
        <f t="shared" si="0"/>
        <v>010</v>
      </c>
      <c r="D12" s="13">
        <v>10</v>
      </c>
      <c r="G12" s="13" t="s">
        <v>3312</v>
      </c>
      <c r="H12" s="13" t="s">
        <v>3793</v>
      </c>
      <c r="I12" s="13">
        <v>64277</v>
      </c>
      <c r="J12" s="13">
        <v>331</v>
      </c>
      <c r="K12" s="13" t="s">
        <v>21</v>
      </c>
      <c r="L12" s="13">
        <v>1</v>
      </c>
      <c r="M12" s="21">
        <v>170000</v>
      </c>
      <c r="N12" s="21">
        <f t="shared" si="1"/>
        <v>170000</v>
      </c>
      <c r="O12" s="13" t="s">
        <v>22</v>
      </c>
    </row>
    <row r="13" spans="1:16" ht="15" customHeight="1" x14ac:dyDescent="0.2">
      <c r="A13" s="13" t="s">
        <v>18</v>
      </c>
      <c r="B13" s="13" t="s">
        <v>1481</v>
      </c>
      <c r="C13" s="13" t="str">
        <f t="shared" si="0"/>
        <v>011</v>
      </c>
      <c r="D13" s="13">
        <v>11</v>
      </c>
      <c r="G13" s="13" t="s">
        <v>46</v>
      </c>
      <c r="H13" s="13" t="s">
        <v>3794</v>
      </c>
      <c r="I13" s="13">
        <v>64277</v>
      </c>
      <c r="J13" s="13">
        <v>331</v>
      </c>
      <c r="K13" s="13" t="s">
        <v>21</v>
      </c>
      <c r="L13" s="13">
        <v>1</v>
      </c>
      <c r="M13" s="21">
        <v>1259280</v>
      </c>
      <c r="N13" s="21">
        <f t="shared" si="1"/>
        <v>1259280</v>
      </c>
      <c r="O13" s="13" t="s">
        <v>22</v>
      </c>
    </row>
    <row r="14" spans="1:16" ht="15" customHeight="1" x14ac:dyDescent="0.2">
      <c r="A14" s="13" t="s">
        <v>18</v>
      </c>
      <c r="B14" s="13" t="s">
        <v>2050</v>
      </c>
      <c r="C14" s="13" t="str">
        <f t="shared" si="0"/>
        <v>012</v>
      </c>
      <c r="D14" s="13">
        <v>12</v>
      </c>
      <c r="G14" s="13" t="s">
        <v>1308</v>
      </c>
      <c r="H14" s="13" t="s">
        <v>3795</v>
      </c>
      <c r="I14" s="13">
        <v>64277</v>
      </c>
      <c r="J14" s="13">
        <v>331</v>
      </c>
      <c r="K14" s="13" t="s">
        <v>21</v>
      </c>
      <c r="L14" s="13">
        <v>1</v>
      </c>
      <c r="M14" s="21">
        <v>1798200</v>
      </c>
      <c r="N14" s="21">
        <f t="shared" si="1"/>
        <v>1798200</v>
      </c>
      <c r="O14" s="13" t="s">
        <v>22</v>
      </c>
    </row>
    <row r="15" spans="1:16" ht="15" customHeight="1" x14ac:dyDescent="0.2">
      <c r="A15" s="13" t="s">
        <v>18</v>
      </c>
      <c r="B15" s="13" t="s">
        <v>2078</v>
      </c>
      <c r="C15" s="13" t="str">
        <f t="shared" si="0"/>
        <v>013</v>
      </c>
      <c r="D15" s="13">
        <v>13</v>
      </c>
      <c r="G15" s="13" t="s">
        <v>3313</v>
      </c>
      <c r="H15" s="13" t="s">
        <v>3796</v>
      </c>
      <c r="I15" s="13">
        <v>64277</v>
      </c>
      <c r="J15" s="13">
        <v>331</v>
      </c>
      <c r="K15" s="13" t="s">
        <v>21</v>
      </c>
      <c r="L15" s="13">
        <v>1</v>
      </c>
      <c r="M15" s="21">
        <v>1367100</v>
      </c>
      <c r="N15" s="21">
        <f t="shared" si="1"/>
        <v>1367100</v>
      </c>
      <c r="O15" s="13" t="s">
        <v>22</v>
      </c>
    </row>
    <row r="16" spans="1:16" ht="15" customHeight="1" x14ac:dyDescent="0.2">
      <c r="A16" s="13" t="s">
        <v>18</v>
      </c>
      <c r="B16" s="13" t="s">
        <v>2445</v>
      </c>
      <c r="C16" s="13" t="str">
        <f t="shared" si="0"/>
        <v>014</v>
      </c>
      <c r="D16" s="13">
        <v>14</v>
      </c>
      <c r="G16" s="13" t="s">
        <v>1830</v>
      </c>
      <c r="H16" s="13" t="s">
        <v>3797</v>
      </c>
      <c r="I16" s="13">
        <v>64276</v>
      </c>
      <c r="J16" s="13">
        <v>331</v>
      </c>
      <c r="K16" s="13" t="s">
        <v>21</v>
      </c>
      <c r="L16" s="13">
        <v>1</v>
      </c>
      <c r="M16" s="21">
        <v>47383000</v>
      </c>
      <c r="N16" s="21">
        <f t="shared" si="1"/>
        <v>47383000</v>
      </c>
      <c r="O16" s="13" t="s">
        <v>22</v>
      </c>
    </row>
    <row r="17" spans="1:15" ht="15" customHeight="1" x14ac:dyDescent="0.2">
      <c r="A17" s="13" t="s">
        <v>18</v>
      </c>
      <c r="B17" s="13" t="s">
        <v>1425</v>
      </c>
      <c r="C17" s="13" t="str">
        <f t="shared" si="0"/>
        <v>015</v>
      </c>
      <c r="D17" s="13">
        <v>15</v>
      </c>
      <c r="G17" s="13" t="s">
        <v>1485</v>
      </c>
      <c r="H17" s="13" t="s">
        <v>3798</v>
      </c>
      <c r="I17" s="13">
        <v>64277</v>
      </c>
      <c r="J17" s="13">
        <v>331</v>
      </c>
      <c r="K17" s="13" t="s">
        <v>21</v>
      </c>
      <c r="L17" s="13">
        <v>1</v>
      </c>
      <c r="M17" s="21">
        <v>533520</v>
      </c>
      <c r="N17" s="21">
        <f t="shared" si="1"/>
        <v>533520</v>
      </c>
      <c r="O17" s="13" t="s">
        <v>22</v>
      </c>
    </row>
    <row r="18" spans="1:15" ht="15" customHeight="1" x14ac:dyDescent="0.2">
      <c r="A18" s="13" t="s">
        <v>368</v>
      </c>
      <c r="B18" s="13" t="s">
        <v>2232</v>
      </c>
      <c r="C18" s="13" t="str">
        <f t="shared" si="0"/>
        <v>016</v>
      </c>
      <c r="D18" s="13">
        <v>16</v>
      </c>
      <c r="G18" s="13" t="s">
        <v>3304</v>
      </c>
      <c r="H18" s="13" t="s">
        <v>3305</v>
      </c>
      <c r="I18" s="13">
        <v>331</v>
      </c>
      <c r="J18" s="13">
        <v>1111</v>
      </c>
      <c r="K18" s="13" t="s">
        <v>21</v>
      </c>
      <c r="L18" s="13">
        <v>1</v>
      </c>
      <c r="M18" s="21">
        <v>238000877</v>
      </c>
      <c r="N18" s="21">
        <f t="shared" ref="N18:N30" si="2">L18*M18</f>
        <v>238000877</v>
      </c>
      <c r="O18" s="13" t="s">
        <v>3843</v>
      </c>
    </row>
    <row r="19" spans="1:15" ht="15" customHeight="1" x14ac:dyDescent="0.2">
      <c r="A19" s="13" t="s">
        <v>368</v>
      </c>
      <c r="B19" s="13" t="s">
        <v>1476</v>
      </c>
      <c r="C19" s="13" t="str">
        <f t="shared" si="0"/>
        <v>017</v>
      </c>
      <c r="D19" s="13">
        <v>17</v>
      </c>
      <c r="G19" s="13" t="s">
        <v>3304</v>
      </c>
      <c r="H19" s="13" t="s">
        <v>3306</v>
      </c>
      <c r="I19" s="13">
        <v>331</v>
      </c>
      <c r="J19" s="13">
        <v>1111</v>
      </c>
      <c r="K19" s="13" t="s">
        <v>21</v>
      </c>
      <c r="L19" s="13">
        <v>1</v>
      </c>
      <c r="M19" s="21">
        <v>238000877</v>
      </c>
      <c r="N19" s="21">
        <f t="shared" si="2"/>
        <v>238000877</v>
      </c>
      <c r="O19" s="13" t="s">
        <v>3843</v>
      </c>
    </row>
    <row r="20" spans="1:15" ht="15" customHeight="1" x14ac:dyDescent="0.2">
      <c r="A20" s="13" t="s">
        <v>368</v>
      </c>
      <c r="B20" s="13" t="s">
        <v>2077</v>
      </c>
      <c r="C20" s="13" t="str">
        <f t="shared" si="0"/>
        <v>018</v>
      </c>
      <c r="D20" s="13">
        <v>18</v>
      </c>
      <c r="G20" s="13" t="s">
        <v>695</v>
      </c>
      <c r="H20" s="13" t="s">
        <v>3799</v>
      </c>
      <c r="I20" s="13">
        <v>331</v>
      </c>
      <c r="J20" s="13">
        <v>1111</v>
      </c>
      <c r="K20" s="13" t="s">
        <v>21</v>
      </c>
      <c r="L20" s="13">
        <v>1</v>
      </c>
      <c r="M20" s="21">
        <v>99000</v>
      </c>
      <c r="N20" s="21">
        <f t="shared" si="2"/>
        <v>99000</v>
      </c>
      <c r="O20" s="13" t="s">
        <v>22</v>
      </c>
    </row>
    <row r="21" spans="1:15" ht="15" customHeight="1" x14ac:dyDescent="0.2">
      <c r="A21" s="13" t="s">
        <v>368</v>
      </c>
      <c r="B21" s="13" t="s">
        <v>1480</v>
      </c>
      <c r="C21" s="13" t="str">
        <f t="shared" si="0"/>
        <v>019</v>
      </c>
      <c r="D21" s="13">
        <v>19</v>
      </c>
      <c r="G21" s="13" t="s">
        <v>3308</v>
      </c>
      <c r="H21" s="13" t="s">
        <v>3800</v>
      </c>
      <c r="I21" s="13">
        <v>331</v>
      </c>
      <c r="J21" s="13">
        <v>1111</v>
      </c>
      <c r="K21" s="13" t="s">
        <v>21</v>
      </c>
      <c r="L21" s="13">
        <v>1</v>
      </c>
      <c r="M21" s="21">
        <v>6600000</v>
      </c>
      <c r="N21" s="21">
        <f t="shared" si="2"/>
        <v>6600000</v>
      </c>
      <c r="O21" s="13" t="s">
        <v>22</v>
      </c>
    </row>
    <row r="22" spans="1:15" ht="15" customHeight="1" x14ac:dyDescent="0.2">
      <c r="A22" s="13" t="s">
        <v>368</v>
      </c>
      <c r="B22" s="13" t="s">
        <v>1419</v>
      </c>
      <c r="C22" s="13" t="str">
        <f t="shared" si="0"/>
        <v>020</v>
      </c>
      <c r="D22" s="13">
        <v>20</v>
      </c>
      <c r="G22" s="13" t="s">
        <v>695</v>
      </c>
      <c r="H22" s="13" t="s">
        <v>3801</v>
      </c>
      <c r="I22" s="13">
        <v>331</v>
      </c>
      <c r="J22" s="13">
        <v>1111</v>
      </c>
      <c r="K22" s="13" t="s">
        <v>21</v>
      </c>
      <c r="L22" s="13">
        <v>1</v>
      </c>
      <c r="M22" s="21">
        <v>1662120</v>
      </c>
      <c r="N22" s="21">
        <f t="shared" si="2"/>
        <v>1662120</v>
      </c>
      <c r="O22" s="13" t="s">
        <v>22</v>
      </c>
    </row>
    <row r="23" spans="1:15" ht="15" customHeight="1" x14ac:dyDescent="0.2">
      <c r="A23" s="13" t="s">
        <v>368</v>
      </c>
      <c r="B23" s="13" t="s">
        <v>1536</v>
      </c>
      <c r="C23" s="13" t="str">
        <f t="shared" si="0"/>
        <v>021</v>
      </c>
      <c r="D23" s="13">
        <v>21</v>
      </c>
      <c r="G23" s="13" t="s">
        <v>3311</v>
      </c>
      <c r="H23" s="13" t="s">
        <v>3802</v>
      </c>
      <c r="I23" s="13">
        <v>331</v>
      </c>
      <c r="J23" s="13">
        <v>1111</v>
      </c>
      <c r="K23" s="13" t="s">
        <v>21</v>
      </c>
      <c r="L23" s="13">
        <v>1</v>
      </c>
      <c r="M23" s="21">
        <v>10770000</v>
      </c>
      <c r="N23" s="21">
        <f t="shared" si="2"/>
        <v>10770000</v>
      </c>
      <c r="O23" s="13" t="s">
        <v>22</v>
      </c>
    </row>
    <row r="24" spans="1:15" ht="15" customHeight="1" x14ac:dyDescent="0.2">
      <c r="A24" s="13" t="s">
        <v>368</v>
      </c>
      <c r="B24" s="13" t="s">
        <v>2444</v>
      </c>
      <c r="C24" s="13" t="str">
        <f t="shared" si="0"/>
        <v>022</v>
      </c>
      <c r="D24" s="13">
        <v>22</v>
      </c>
      <c r="G24" s="13" t="s">
        <v>3312</v>
      </c>
      <c r="H24" s="13" t="s">
        <v>3803</v>
      </c>
      <c r="I24" s="13">
        <v>331</v>
      </c>
      <c r="J24" s="13">
        <v>1111</v>
      </c>
      <c r="K24" s="13" t="s">
        <v>21</v>
      </c>
      <c r="L24" s="13">
        <v>1</v>
      </c>
      <c r="M24" s="21">
        <v>170000</v>
      </c>
      <c r="N24" s="21">
        <f t="shared" si="2"/>
        <v>170000</v>
      </c>
      <c r="O24" s="13" t="s">
        <v>22</v>
      </c>
    </row>
    <row r="25" spans="1:15" ht="15" customHeight="1" x14ac:dyDescent="0.2">
      <c r="A25" s="13" t="s">
        <v>368</v>
      </c>
      <c r="B25" s="13" t="s">
        <v>1481</v>
      </c>
      <c r="C25" s="13" t="str">
        <f t="shared" si="0"/>
        <v>023</v>
      </c>
      <c r="D25" s="13">
        <v>23</v>
      </c>
      <c r="G25" s="13" t="s">
        <v>46</v>
      </c>
      <c r="H25" s="13" t="s">
        <v>3804</v>
      </c>
      <c r="I25" s="13">
        <v>331</v>
      </c>
      <c r="J25" s="13">
        <v>1111</v>
      </c>
      <c r="K25" s="13" t="s">
        <v>21</v>
      </c>
      <c r="L25" s="13">
        <v>1</v>
      </c>
      <c r="M25" s="21">
        <v>1259280</v>
      </c>
      <c r="N25" s="21">
        <f t="shared" si="2"/>
        <v>1259280</v>
      </c>
      <c r="O25" s="13" t="s">
        <v>22</v>
      </c>
    </row>
    <row r="26" spans="1:15" ht="15" customHeight="1" x14ac:dyDescent="0.2">
      <c r="A26" s="13" t="s">
        <v>368</v>
      </c>
      <c r="B26" s="13" t="s">
        <v>2050</v>
      </c>
      <c r="C26" s="13" t="str">
        <f t="shared" si="0"/>
        <v>024</v>
      </c>
      <c r="D26" s="13">
        <v>24</v>
      </c>
      <c r="G26" s="13" t="s">
        <v>1308</v>
      </c>
      <c r="H26" s="13" t="s">
        <v>3805</v>
      </c>
      <c r="I26" s="13">
        <v>331</v>
      </c>
      <c r="J26" s="13">
        <v>1111</v>
      </c>
      <c r="K26" s="13" t="s">
        <v>21</v>
      </c>
      <c r="L26" s="13">
        <v>1</v>
      </c>
      <c r="M26" s="21">
        <v>1798200</v>
      </c>
      <c r="N26" s="21">
        <f t="shared" si="2"/>
        <v>1798200</v>
      </c>
      <c r="O26" s="13" t="s">
        <v>22</v>
      </c>
    </row>
    <row r="27" spans="1:15" ht="15" customHeight="1" x14ac:dyDescent="0.2">
      <c r="A27" s="13" t="s">
        <v>368</v>
      </c>
      <c r="B27" s="13" t="s">
        <v>2078</v>
      </c>
      <c r="C27" s="13" t="str">
        <f t="shared" si="0"/>
        <v>025</v>
      </c>
      <c r="D27" s="13">
        <v>25</v>
      </c>
      <c r="G27" s="13" t="s">
        <v>3313</v>
      </c>
      <c r="H27" s="13" t="s">
        <v>3806</v>
      </c>
      <c r="I27" s="13">
        <v>331</v>
      </c>
      <c r="J27" s="13">
        <v>1111</v>
      </c>
      <c r="K27" s="13" t="s">
        <v>21</v>
      </c>
      <c r="L27" s="13">
        <v>1</v>
      </c>
      <c r="M27" s="21">
        <v>1367100</v>
      </c>
      <c r="N27" s="21">
        <f t="shared" si="2"/>
        <v>1367100</v>
      </c>
      <c r="O27" s="13" t="s">
        <v>22</v>
      </c>
    </row>
    <row r="28" spans="1:15" ht="15" customHeight="1" x14ac:dyDescent="0.2">
      <c r="A28" s="13" t="s">
        <v>368</v>
      </c>
      <c r="B28" s="13" t="s">
        <v>2445</v>
      </c>
      <c r="C28" s="13" t="str">
        <f t="shared" si="0"/>
        <v>026</v>
      </c>
      <c r="D28" s="13">
        <v>26</v>
      </c>
      <c r="G28" s="13" t="s">
        <v>1830</v>
      </c>
      <c r="H28" s="13" t="s">
        <v>3807</v>
      </c>
      <c r="I28" s="13">
        <v>331</v>
      </c>
      <c r="J28" s="13">
        <v>1111</v>
      </c>
      <c r="K28" s="13" t="s">
        <v>21</v>
      </c>
      <c r="L28" s="13">
        <v>1</v>
      </c>
      <c r="M28" s="21">
        <v>47383000</v>
      </c>
      <c r="N28" s="21">
        <f t="shared" si="2"/>
        <v>47383000</v>
      </c>
      <c r="O28" s="13" t="s">
        <v>22</v>
      </c>
    </row>
    <row r="29" spans="1:15" ht="15" customHeight="1" x14ac:dyDescent="0.2">
      <c r="A29" s="13" t="s">
        <v>368</v>
      </c>
      <c r="B29" s="13" t="s">
        <v>1425</v>
      </c>
      <c r="C29" s="13" t="str">
        <f t="shared" si="0"/>
        <v>027</v>
      </c>
      <c r="D29" s="13">
        <v>27</v>
      </c>
      <c r="G29" s="13" t="s">
        <v>1485</v>
      </c>
      <c r="H29" s="13" t="s">
        <v>3808</v>
      </c>
      <c r="I29" s="13">
        <v>331</v>
      </c>
      <c r="J29" s="13">
        <v>1111</v>
      </c>
      <c r="K29" s="13" t="s">
        <v>21</v>
      </c>
      <c r="L29" s="13">
        <v>1</v>
      </c>
      <c r="M29" s="21">
        <v>533520</v>
      </c>
      <c r="N29" s="21">
        <f t="shared" si="2"/>
        <v>533520</v>
      </c>
      <c r="O29" s="13" t="s">
        <v>22</v>
      </c>
    </row>
    <row r="30" spans="1:15" ht="15" customHeight="1" x14ac:dyDescent="0.2">
      <c r="A30" s="24" t="s">
        <v>18</v>
      </c>
      <c r="B30" s="36">
        <v>45930</v>
      </c>
      <c r="C30" s="13" t="str">
        <f t="shared" si="0"/>
        <v>028</v>
      </c>
      <c r="D30" s="24">
        <v>28</v>
      </c>
      <c r="E30" s="24"/>
      <c r="F30" s="24"/>
      <c r="G30" s="24" t="s">
        <v>1235</v>
      </c>
      <c r="H30" s="24" t="s">
        <v>367</v>
      </c>
      <c r="I30" s="24">
        <v>64271</v>
      </c>
      <c r="J30" s="24">
        <v>3383</v>
      </c>
      <c r="K30" s="24" t="s">
        <v>21</v>
      </c>
      <c r="L30" s="24">
        <v>1</v>
      </c>
      <c r="M30" s="39">
        <v>690300</v>
      </c>
      <c r="N30" s="39">
        <f t="shared" si="2"/>
        <v>690300</v>
      </c>
      <c r="O30" s="24" t="s">
        <v>22</v>
      </c>
    </row>
  </sheetData>
  <autoFilter ref="A3:P30" xr:uid="{00000000-0009-0000-0000-000017000000}"/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8"/>
  <sheetViews>
    <sheetView topLeftCell="A55" workbookViewId="0">
      <selection activeCell="G96" sqref="G96:J96"/>
    </sheetView>
  </sheetViews>
  <sheetFormatPr defaultRowHeight="15" x14ac:dyDescent="0.25"/>
  <cols>
    <col min="2" max="2" width="10.7109375" style="115" bestFit="1" customWidth="1"/>
    <col min="7" max="7" width="9.5703125" style="80" bestFit="1" customWidth="1"/>
    <col min="8" max="8" width="44" customWidth="1"/>
    <col min="13" max="14" width="13.28515625" style="106" bestFit="1" customWidth="1"/>
    <col min="18" max="18" width="9.140625" style="80"/>
    <col min="19" max="19" width="14.85546875" style="80" bestFit="1" customWidth="1"/>
    <col min="20" max="20" width="12.7109375" style="80" bestFit="1" customWidth="1"/>
    <col min="21" max="21" width="14.28515625" style="80" bestFit="1" customWidth="1"/>
    <col min="22" max="22" width="11.5703125" style="80" bestFit="1" customWidth="1"/>
    <col min="23" max="27" width="9.140625" style="80"/>
  </cols>
  <sheetData>
    <row r="1" spans="1:22" ht="15" customHeight="1" thickBot="1" x14ac:dyDescent="0.3">
      <c r="A1" s="177" t="s">
        <v>0</v>
      </c>
      <c r="B1" s="192" t="s">
        <v>1</v>
      </c>
      <c r="C1" s="177" t="s">
        <v>2</v>
      </c>
      <c r="D1" s="175" t="s">
        <v>3</v>
      </c>
      <c r="E1" s="175" t="s">
        <v>4</v>
      </c>
      <c r="F1" s="175" t="s">
        <v>5</v>
      </c>
      <c r="G1" s="180" t="s">
        <v>6</v>
      </c>
      <c r="H1" s="182" t="s">
        <v>7</v>
      </c>
      <c r="I1" s="184" t="s">
        <v>8</v>
      </c>
      <c r="J1" s="185"/>
      <c r="K1" s="177" t="s">
        <v>9</v>
      </c>
      <c r="L1" s="177" t="s">
        <v>10</v>
      </c>
      <c r="M1" s="190" t="s">
        <v>1287</v>
      </c>
      <c r="N1" s="190" t="s">
        <v>1288</v>
      </c>
      <c r="O1" s="49" t="s">
        <v>1289</v>
      </c>
      <c r="P1" s="42"/>
    </row>
    <row r="2" spans="1:22" ht="15" customHeight="1" thickBot="1" x14ac:dyDescent="0.3">
      <c r="A2" s="178"/>
      <c r="B2" s="193"/>
      <c r="C2" s="178"/>
      <c r="D2" s="179"/>
      <c r="E2" s="179"/>
      <c r="F2" s="176"/>
      <c r="G2" s="181"/>
      <c r="H2" s="183"/>
      <c r="I2" s="50" t="s">
        <v>13</v>
      </c>
      <c r="J2" s="51" t="s">
        <v>14</v>
      </c>
      <c r="K2" s="178"/>
      <c r="L2" s="178"/>
      <c r="M2" s="191"/>
      <c r="N2" s="191"/>
      <c r="O2" s="42" t="s">
        <v>1289</v>
      </c>
      <c r="P2" s="42"/>
    </row>
    <row r="3" spans="1:22" ht="15" customHeight="1" x14ac:dyDescent="0.25">
      <c r="A3" s="52"/>
      <c r="B3" s="92"/>
      <c r="C3" s="52"/>
      <c r="D3" s="52">
        <v>28</v>
      </c>
      <c r="E3" s="53"/>
      <c r="F3" s="53"/>
      <c r="G3" s="78" t="s">
        <v>15</v>
      </c>
      <c r="H3" s="54"/>
      <c r="I3" s="54"/>
      <c r="J3" s="54"/>
      <c r="K3" s="52"/>
      <c r="L3" s="52"/>
      <c r="M3" s="89"/>
      <c r="N3" s="89"/>
      <c r="O3" s="42" t="s">
        <v>16</v>
      </c>
      <c r="P3" s="42" t="s">
        <v>17</v>
      </c>
      <c r="T3" s="116"/>
      <c r="U3" s="116"/>
    </row>
    <row r="4" spans="1:22" ht="15" customHeight="1" x14ac:dyDescent="0.25">
      <c r="A4" s="24" t="s">
        <v>18</v>
      </c>
      <c r="B4" s="83" t="s">
        <v>2042</v>
      </c>
      <c r="C4" s="24" t="str">
        <f>TEXT(D4,"000")</f>
        <v>029</v>
      </c>
      <c r="D4" s="24">
        <f>D3+1</f>
        <v>29</v>
      </c>
      <c r="E4" s="24"/>
      <c r="F4" s="24"/>
      <c r="G4" s="37" t="s">
        <v>3190</v>
      </c>
      <c r="H4" s="24" t="s">
        <v>3161</v>
      </c>
      <c r="I4" s="24">
        <v>131</v>
      </c>
      <c r="J4" s="24">
        <v>5113</v>
      </c>
      <c r="K4" s="24" t="s">
        <v>21</v>
      </c>
      <c r="L4" s="24">
        <v>1</v>
      </c>
      <c r="M4" s="39">
        <v>11000000</v>
      </c>
      <c r="N4" s="39">
        <f>L4*M4</f>
        <v>11000000</v>
      </c>
      <c r="O4" s="24" t="s">
        <v>998</v>
      </c>
      <c r="P4" s="24"/>
      <c r="T4" s="116"/>
      <c r="U4" s="116"/>
      <c r="V4" s="116"/>
    </row>
    <row r="5" spans="1:22" ht="15" customHeight="1" x14ac:dyDescent="0.25">
      <c r="A5" s="24" t="s">
        <v>18</v>
      </c>
      <c r="B5" s="83" t="s">
        <v>2480</v>
      </c>
      <c r="C5" s="24" t="str">
        <f t="shared" ref="C5:C68" si="0">TEXT(D5,"000")</f>
        <v>030</v>
      </c>
      <c r="D5" s="24">
        <f t="shared" ref="D5:D68" si="1">D4+1</f>
        <v>30</v>
      </c>
      <c r="E5" s="24"/>
      <c r="F5" s="24"/>
      <c r="G5" s="37" t="s">
        <v>3085</v>
      </c>
      <c r="H5" s="24" t="s">
        <v>3162</v>
      </c>
      <c r="I5" s="24">
        <v>131</v>
      </c>
      <c r="J5" s="24">
        <v>5113</v>
      </c>
      <c r="K5" s="24" t="s">
        <v>21</v>
      </c>
      <c r="L5" s="24">
        <v>1</v>
      </c>
      <c r="M5" s="39">
        <v>10752688</v>
      </c>
      <c r="N5" s="39">
        <f t="shared" ref="N5:N68" si="2">L5*M5</f>
        <v>10752688</v>
      </c>
      <c r="O5" s="24" t="s">
        <v>998</v>
      </c>
      <c r="P5" s="24"/>
      <c r="T5" s="116"/>
      <c r="U5" s="116"/>
      <c r="V5" s="116"/>
    </row>
    <row r="6" spans="1:22" ht="15" customHeight="1" x14ac:dyDescent="0.25">
      <c r="A6" s="24" t="s">
        <v>18</v>
      </c>
      <c r="B6" s="83" t="s">
        <v>2480</v>
      </c>
      <c r="C6" s="24" t="str">
        <f t="shared" si="0"/>
        <v>031</v>
      </c>
      <c r="D6" s="24">
        <f t="shared" si="1"/>
        <v>31</v>
      </c>
      <c r="E6" s="24"/>
      <c r="F6" s="24"/>
      <c r="G6" s="37" t="s">
        <v>3191</v>
      </c>
      <c r="H6" s="24" t="s">
        <v>3163</v>
      </c>
      <c r="I6" s="24">
        <v>131</v>
      </c>
      <c r="J6" s="24">
        <v>5113</v>
      </c>
      <c r="K6" s="24" t="s">
        <v>21</v>
      </c>
      <c r="L6" s="24">
        <v>1</v>
      </c>
      <c r="M6" s="39">
        <v>25917000</v>
      </c>
      <c r="N6" s="39">
        <f t="shared" si="2"/>
        <v>25917000</v>
      </c>
      <c r="O6" s="24" t="s">
        <v>998</v>
      </c>
      <c r="P6" s="24"/>
      <c r="T6" s="116"/>
      <c r="U6" s="116"/>
      <c r="V6" s="116"/>
    </row>
    <row r="7" spans="1:22" ht="15" customHeight="1" x14ac:dyDescent="0.25">
      <c r="A7" s="24" t="s">
        <v>18</v>
      </c>
      <c r="B7" s="83" t="s">
        <v>2043</v>
      </c>
      <c r="C7" s="24" t="str">
        <f t="shared" si="0"/>
        <v>032</v>
      </c>
      <c r="D7" s="24">
        <f t="shared" si="1"/>
        <v>32</v>
      </c>
      <c r="E7" s="24"/>
      <c r="F7" s="24"/>
      <c r="G7" s="37" t="s">
        <v>287</v>
      </c>
      <c r="H7" s="24" t="s">
        <v>3164</v>
      </c>
      <c r="I7" s="24">
        <v>131</v>
      </c>
      <c r="J7" s="24">
        <v>5113</v>
      </c>
      <c r="K7" s="24" t="s">
        <v>21</v>
      </c>
      <c r="L7" s="24">
        <v>1</v>
      </c>
      <c r="M7" s="39">
        <v>16129032</v>
      </c>
      <c r="N7" s="39">
        <f t="shared" si="2"/>
        <v>16129032</v>
      </c>
      <c r="O7" s="24" t="s">
        <v>22</v>
      </c>
      <c r="P7" s="24"/>
      <c r="T7" s="116"/>
      <c r="U7" s="116"/>
      <c r="V7" s="116"/>
    </row>
    <row r="8" spans="1:22" ht="15" customHeight="1" x14ac:dyDescent="0.25">
      <c r="A8" s="24" t="s">
        <v>18</v>
      </c>
      <c r="B8" s="83" t="s">
        <v>2043</v>
      </c>
      <c r="C8" s="24" t="str">
        <f t="shared" si="0"/>
        <v>033</v>
      </c>
      <c r="D8" s="24">
        <f t="shared" si="1"/>
        <v>33</v>
      </c>
      <c r="E8" s="24"/>
      <c r="F8" s="24"/>
      <c r="G8" s="37" t="s">
        <v>287</v>
      </c>
      <c r="H8" s="24" t="s">
        <v>3165</v>
      </c>
      <c r="I8" s="24">
        <v>333821</v>
      </c>
      <c r="J8" s="24">
        <v>131</v>
      </c>
      <c r="K8" s="24" t="s">
        <v>21</v>
      </c>
      <c r="L8" s="24">
        <v>1</v>
      </c>
      <c r="M8" s="39">
        <v>161290</v>
      </c>
      <c r="N8" s="39">
        <f t="shared" si="2"/>
        <v>161290</v>
      </c>
      <c r="O8" s="24" t="s">
        <v>22</v>
      </c>
      <c r="P8" s="24"/>
      <c r="T8" s="116"/>
      <c r="U8" s="116"/>
      <c r="V8" s="116"/>
    </row>
    <row r="9" spans="1:22" ht="15" customHeight="1" x14ac:dyDescent="0.25">
      <c r="A9" s="24" t="s">
        <v>18</v>
      </c>
      <c r="B9" s="83" t="s">
        <v>2114</v>
      </c>
      <c r="C9" s="24" t="str">
        <f t="shared" si="0"/>
        <v>034</v>
      </c>
      <c r="D9" s="24">
        <f t="shared" si="1"/>
        <v>34</v>
      </c>
      <c r="E9" s="24"/>
      <c r="F9" s="24"/>
      <c r="G9" s="37" t="s">
        <v>3085</v>
      </c>
      <c r="H9" s="24" t="s">
        <v>3166</v>
      </c>
      <c r="I9" s="24">
        <v>131</v>
      </c>
      <c r="J9" s="24">
        <v>5113</v>
      </c>
      <c r="K9" s="24" t="s">
        <v>21</v>
      </c>
      <c r="L9" s="24">
        <v>1</v>
      </c>
      <c r="M9" s="39">
        <v>10752688</v>
      </c>
      <c r="N9" s="39">
        <f t="shared" si="2"/>
        <v>10752688</v>
      </c>
      <c r="O9" s="24" t="s">
        <v>22</v>
      </c>
      <c r="P9" s="24"/>
      <c r="T9" s="116"/>
      <c r="U9" s="116"/>
      <c r="V9" s="116"/>
    </row>
    <row r="10" spans="1:22" ht="15" customHeight="1" x14ac:dyDescent="0.25">
      <c r="A10" s="24" t="s">
        <v>18</v>
      </c>
      <c r="B10" s="83" t="s">
        <v>2045</v>
      </c>
      <c r="C10" s="24" t="str">
        <f t="shared" si="0"/>
        <v>035</v>
      </c>
      <c r="D10" s="24">
        <f t="shared" si="1"/>
        <v>35</v>
      </c>
      <c r="E10" s="24"/>
      <c r="F10" s="24"/>
      <c r="G10" s="37" t="s">
        <v>1280</v>
      </c>
      <c r="H10" s="24" t="s">
        <v>3167</v>
      </c>
      <c r="I10" s="24">
        <v>131</v>
      </c>
      <c r="J10" s="24">
        <v>5113</v>
      </c>
      <c r="K10" s="24" t="s">
        <v>21</v>
      </c>
      <c r="L10" s="24">
        <v>1</v>
      </c>
      <c r="M10" s="39">
        <v>11000000</v>
      </c>
      <c r="N10" s="39">
        <f t="shared" si="2"/>
        <v>11000000</v>
      </c>
      <c r="O10" s="24" t="s">
        <v>22</v>
      </c>
      <c r="P10" s="24"/>
      <c r="T10" s="116"/>
      <c r="U10" s="116"/>
      <c r="V10" s="116"/>
    </row>
    <row r="11" spans="1:22" ht="15" customHeight="1" x14ac:dyDescent="0.25">
      <c r="A11" s="24" t="s">
        <v>18</v>
      </c>
      <c r="B11" s="83" t="s">
        <v>2120</v>
      </c>
      <c r="C11" s="24" t="str">
        <f t="shared" si="0"/>
        <v>036</v>
      </c>
      <c r="D11" s="24">
        <f t="shared" si="1"/>
        <v>36</v>
      </c>
      <c r="E11" s="24"/>
      <c r="F11" s="24"/>
      <c r="G11" s="37" t="s">
        <v>3192</v>
      </c>
      <c r="H11" s="24" t="s">
        <v>3168</v>
      </c>
      <c r="I11" s="24">
        <v>131</v>
      </c>
      <c r="J11" s="24">
        <v>5113</v>
      </c>
      <c r="K11" s="24" t="s">
        <v>21</v>
      </c>
      <c r="L11" s="24">
        <v>1</v>
      </c>
      <c r="M11" s="39">
        <v>300000000</v>
      </c>
      <c r="N11" s="39">
        <f t="shared" si="2"/>
        <v>300000000</v>
      </c>
      <c r="O11" s="24" t="s">
        <v>22</v>
      </c>
      <c r="P11" s="24"/>
      <c r="T11" s="116"/>
      <c r="U11" s="116"/>
      <c r="V11" s="116"/>
    </row>
    <row r="12" spans="1:22" ht="15" customHeight="1" x14ac:dyDescent="0.25">
      <c r="A12" s="24" t="s">
        <v>18</v>
      </c>
      <c r="B12" s="83" t="s">
        <v>2232</v>
      </c>
      <c r="C12" s="24" t="str">
        <f t="shared" si="0"/>
        <v>037</v>
      </c>
      <c r="D12" s="24">
        <f t="shared" si="1"/>
        <v>37</v>
      </c>
      <c r="E12" s="24"/>
      <c r="F12" s="24"/>
      <c r="G12" s="37" t="s">
        <v>3190</v>
      </c>
      <c r="H12" s="24" t="s">
        <v>3169</v>
      </c>
      <c r="I12" s="24">
        <v>131</v>
      </c>
      <c r="J12" s="24">
        <v>5113</v>
      </c>
      <c r="K12" s="24" t="s">
        <v>21</v>
      </c>
      <c r="L12" s="24">
        <v>1</v>
      </c>
      <c r="M12" s="39">
        <v>11000000</v>
      </c>
      <c r="N12" s="39">
        <f t="shared" si="2"/>
        <v>11000000</v>
      </c>
      <c r="O12" s="24" t="s">
        <v>22</v>
      </c>
      <c r="P12" s="24"/>
      <c r="T12" s="116"/>
      <c r="U12" s="116"/>
      <c r="V12" s="116"/>
    </row>
    <row r="13" spans="1:22" ht="15" customHeight="1" x14ac:dyDescent="0.25">
      <c r="A13" s="24" t="s">
        <v>18</v>
      </c>
      <c r="B13" s="83" t="s">
        <v>2339</v>
      </c>
      <c r="C13" s="24" t="str">
        <f t="shared" si="0"/>
        <v>038</v>
      </c>
      <c r="D13" s="24">
        <f t="shared" si="1"/>
        <v>38</v>
      </c>
      <c r="E13" s="24"/>
      <c r="F13" s="24"/>
      <c r="G13" s="37" t="s">
        <v>3193</v>
      </c>
      <c r="H13" s="24" t="s">
        <v>3170</v>
      </c>
      <c r="I13" s="24">
        <v>131</v>
      </c>
      <c r="J13" s="24">
        <v>5113</v>
      </c>
      <c r="K13" s="24" t="s">
        <v>21</v>
      </c>
      <c r="L13" s="24">
        <v>1</v>
      </c>
      <c r="M13" s="39">
        <v>101010101</v>
      </c>
      <c r="N13" s="39">
        <f t="shared" si="2"/>
        <v>101010101</v>
      </c>
      <c r="O13" s="24" t="s">
        <v>22</v>
      </c>
      <c r="P13" s="24"/>
      <c r="T13" s="116"/>
      <c r="U13" s="116"/>
      <c r="V13" s="116"/>
    </row>
    <row r="14" spans="1:22" ht="15" customHeight="1" x14ac:dyDescent="0.25">
      <c r="A14" s="24" t="s">
        <v>18</v>
      </c>
      <c r="B14" s="83" t="s">
        <v>2339</v>
      </c>
      <c r="C14" s="24" t="str">
        <f t="shared" si="0"/>
        <v>039</v>
      </c>
      <c r="D14" s="24">
        <f t="shared" si="1"/>
        <v>39</v>
      </c>
      <c r="E14" s="24"/>
      <c r="F14" s="24"/>
      <c r="G14" s="37" t="s">
        <v>3193</v>
      </c>
      <c r="H14" s="24" t="s">
        <v>3171</v>
      </c>
      <c r="I14" s="24">
        <v>333821</v>
      </c>
      <c r="J14" s="24">
        <v>131</v>
      </c>
      <c r="K14" s="24" t="s">
        <v>21</v>
      </c>
      <c r="L14" s="24">
        <v>1</v>
      </c>
      <c r="M14" s="39">
        <v>1010101</v>
      </c>
      <c r="N14" s="39">
        <f t="shared" si="2"/>
        <v>1010101</v>
      </c>
      <c r="O14" s="24" t="s">
        <v>22</v>
      </c>
      <c r="P14" s="24"/>
      <c r="T14" s="116"/>
      <c r="U14" s="116"/>
      <c r="V14" s="116"/>
    </row>
    <row r="15" spans="1:22" ht="15" customHeight="1" x14ac:dyDescent="0.25">
      <c r="A15" s="24" t="s">
        <v>18</v>
      </c>
      <c r="B15" s="83" t="s">
        <v>2339</v>
      </c>
      <c r="C15" s="24" t="str">
        <f t="shared" si="0"/>
        <v>040</v>
      </c>
      <c r="D15" s="24">
        <f t="shared" si="1"/>
        <v>40</v>
      </c>
      <c r="E15" s="24"/>
      <c r="F15" s="24"/>
      <c r="G15" s="37" t="s">
        <v>3191</v>
      </c>
      <c r="H15" s="24" t="s">
        <v>3172</v>
      </c>
      <c r="I15" s="24">
        <v>131</v>
      </c>
      <c r="J15" s="24">
        <v>5113</v>
      </c>
      <c r="K15" s="24" t="s">
        <v>21</v>
      </c>
      <c r="L15" s="24">
        <v>1</v>
      </c>
      <c r="M15" s="39">
        <v>31160606</v>
      </c>
      <c r="N15" s="39">
        <f t="shared" si="2"/>
        <v>31160606</v>
      </c>
      <c r="O15" s="24" t="s">
        <v>22</v>
      </c>
      <c r="P15" s="24"/>
      <c r="T15" s="116"/>
      <c r="U15" s="116"/>
      <c r="V15" s="116"/>
    </row>
    <row r="16" spans="1:22" ht="15" customHeight="1" x14ac:dyDescent="0.25">
      <c r="A16" s="24" t="s">
        <v>18</v>
      </c>
      <c r="B16" s="83" t="s">
        <v>2339</v>
      </c>
      <c r="C16" s="24" t="str">
        <f t="shared" si="0"/>
        <v>041</v>
      </c>
      <c r="D16" s="24">
        <f t="shared" si="1"/>
        <v>41</v>
      </c>
      <c r="E16" s="24"/>
      <c r="F16" s="24"/>
      <c r="G16" s="37" t="s">
        <v>3191</v>
      </c>
      <c r="H16" s="24" t="s">
        <v>3173</v>
      </c>
      <c r="I16" s="24">
        <v>333821</v>
      </c>
      <c r="J16" s="24">
        <v>131</v>
      </c>
      <c r="K16" s="24" t="s">
        <v>21</v>
      </c>
      <c r="L16" s="24">
        <v>1</v>
      </c>
      <c r="M16" s="39">
        <v>311606</v>
      </c>
      <c r="N16" s="39">
        <f t="shared" si="2"/>
        <v>311606</v>
      </c>
      <c r="O16" s="24" t="s">
        <v>22</v>
      </c>
      <c r="P16" s="24"/>
      <c r="T16" s="116"/>
      <c r="U16" s="116"/>
      <c r="V16" s="116"/>
    </row>
    <row r="17" spans="1:22" ht="15" customHeight="1" x14ac:dyDescent="0.25">
      <c r="A17" s="24" t="s">
        <v>18</v>
      </c>
      <c r="B17" s="83" t="s">
        <v>1535</v>
      </c>
      <c r="C17" s="24" t="str">
        <f t="shared" si="0"/>
        <v>042</v>
      </c>
      <c r="D17" s="24">
        <f t="shared" si="1"/>
        <v>42</v>
      </c>
      <c r="E17" s="24"/>
      <c r="F17" s="24"/>
      <c r="G17" s="37" t="s">
        <v>1280</v>
      </c>
      <c r="H17" s="24" t="s">
        <v>3174</v>
      </c>
      <c r="I17" s="24">
        <v>131</v>
      </c>
      <c r="J17" s="24">
        <v>5113</v>
      </c>
      <c r="K17" s="24" t="s">
        <v>21</v>
      </c>
      <c r="L17" s="24">
        <v>1</v>
      </c>
      <c r="M17" s="39">
        <v>19191919</v>
      </c>
      <c r="N17" s="39">
        <f t="shared" si="2"/>
        <v>19191919</v>
      </c>
      <c r="O17" s="24" t="s">
        <v>22</v>
      </c>
      <c r="P17" s="24"/>
      <c r="T17" s="116"/>
      <c r="U17" s="116"/>
      <c r="V17" s="116"/>
    </row>
    <row r="18" spans="1:22" ht="15" customHeight="1" x14ac:dyDescent="0.25">
      <c r="A18" s="24" t="s">
        <v>18</v>
      </c>
      <c r="B18" s="83" t="s">
        <v>1535</v>
      </c>
      <c r="C18" s="24" t="str">
        <f t="shared" si="0"/>
        <v>043</v>
      </c>
      <c r="D18" s="24">
        <f t="shared" si="1"/>
        <v>43</v>
      </c>
      <c r="E18" s="24"/>
      <c r="F18" s="24"/>
      <c r="G18" s="37" t="s">
        <v>1280</v>
      </c>
      <c r="H18" s="24" t="s">
        <v>3175</v>
      </c>
      <c r="I18" s="24">
        <v>333821</v>
      </c>
      <c r="J18" s="24">
        <v>131</v>
      </c>
      <c r="K18" s="24" t="s">
        <v>21</v>
      </c>
      <c r="L18" s="24">
        <v>1</v>
      </c>
      <c r="M18" s="39">
        <v>191919</v>
      </c>
      <c r="N18" s="39">
        <f t="shared" si="2"/>
        <v>191919</v>
      </c>
      <c r="O18" s="24" t="s">
        <v>22</v>
      </c>
      <c r="P18" s="24"/>
      <c r="T18" s="116"/>
      <c r="U18" s="116"/>
      <c r="V18" s="116"/>
    </row>
    <row r="19" spans="1:22" ht="15" customHeight="1" x14ac:dyDescent="0.25">
      <c r="A19" s="24" t="s">
        <v>18</v>
      </c>
      <c r="B19" s="83" t="s">
        <v>1419</v>
      </c>
      <c r="C19" s="24" t="str">
        <f t="shared" si="0"/>
        <v>044</v>
      </c>
      <c r="D19" s="24">
        <f t="shared" si="1"/>
        <v>44</v>
      </c>
      <c r="E19" s="24"/>
      <c r="F19" s="24"/>
      <c r="G19" s="37" t="s">
        <v>287</v>
      </c>
      <c r="H19" s="24" t="s">
        <v>3176</v>
      </c>
      <c r="I19" s="24">
        <v>131</v>
      </c>
      <c r="J19" s="24">
        <v>5113</v>
      </c>
      <c r="K19" s="24" t="s">
        <v>21</v>
      </c>
      <c r="L19" s="24">
        <v>1</v>
      </c>
      <c r="M19" s="39">
        <v>12903226</v>
      </c>
      <c r="N19" s="39">
        <f t="shared" si="2"/>
        <v>12903226</v>
      </c>
      <c r="O19" s="24" t="s">
        <v>22</v>
      </c>
      <c r="P19" s="24"/>
      <c r="T19" s="116"/>
      <c r="U19" s="116"/>
      <c r="V19" s="116"/>
    </row>
    <row r="20" spans="1:22" ht="15" customHeight="1" x14ac:dyDescent="0.25">
      <c r="A20" s="24" t="s">
        <v>18</v>
      </c>
      <c r="B20" s="83" t="s">
        <v>1419</v>
      </c>
      <c r="C20" s="24" t="str">
        <f t="shared" si="0"/>
        <v>045</v>
      </c>
      <c r="D20" s="24">
        <f t="shared" si="1"/>
        <v>45</v>
      </c>
      <c r="E20" s="24"/>
      <c r="F20" s="24"/>
      <c r="G20" s="37" t="s">
        <v>287</v>
      </c>
      <c r="H20" s="24" t="s">
        <v>3177</v>
      </c>
      <c r="I20" s="24">
        <v>333821</v>
      </c>
      <c r="J20" s="24">
        <v>131</v>
      </c>
      <c r="K20" s="24" t="s">
        <v>21</v>
      </c>
      <c r="L20" s="24">
        <v>1</v>
      </c>
      <c r="M20" s="39">
        <v>129032</v>
      </c>
      <c r="N20" s="39">
        <f t="shared" si="2"/>
        <v>129032</v>
      </c>
      <c r="O20" s="24" t="s">
        <v>22</v>
      </c>
      <c r="P20" s="24"/>
      <c r="T20" s="116"/>
      <c r="U20" s="116"/>
      <c r="V20" s="116"/>
    </row>
    <row r="21" spans="1:22" ht="15" customHeight="1" x14ac:dyDescent="0.25">
      <c r="A21" s="24" t="s">
        <v>18</v>
      </c>
      <c r="B21" s="83" t="s">
        <v>1421</v>
      </c>
      <c r="C21" s="24" t="str">
        <f t="shared" si="0"/>
        <v>046</v>
      </c>
      <c r="D21" s="24">
        <f t="shared" si="1"/>
        <v>46</v>
      </c>
      <c r="E21" s="24"/>
      <c r="F21" s="24"/>
      <c r="G21" s="37" t="s">
        <v>3190</v>
      </c>
      <c r="H21" s="24" t="s">
        <v>3178</v>
      </c>
      <c r="I21" s="24">
        <v>131</v>
      </c>
      <c r="J21" s="24">
        <v>5113</v>
      </c>
      <c r="K21" s="24" t="s">
        <v>21</v>
      </c>
      <c r="L21" s="24">
        <v>1</v>
      </c>
      <c r="M21" s="39">
        <v>11111111</v>
      </c>
      <c r="N21" s="39">
        <f t="shared" si="2"/>
        <v>11111111</v>
      </c>
      <c r="O21" s="24" t="s">
        <v>22</v>
      </c>
      <c r="P21" s="24"/>
      <c r="T21" s="116"/>
      <c r="U21" s="116"/>
    </row>
    <row r="22" spans="1:22" ht="15" customHeight="1" x14ac:dyDescent="0.25">
      <c r="A22" s="24" t="s">
        <v>18</v>
      </c>
      <c r="B22" s="83" t="s">
        <v>1421</v>
      </c>
      <c r="C22" s="24" t="str">
        <f t="shared" si="0"/>
        <v>047</v>
      </c>
      <c r="D22" s="24">
        <f t="shared" si="1"/>
        <v>47</v>
      </c>
      <c r="E22" s="24"/>
      <c r="F22" s="24"/>
      <c r="G22" s="37" t="s">
        <v>3190</v>
      </c>
      <c r="H22" s="24" t="s">
        <v>3179</v>
      </c>
      <c r="I22" s="24">
        <v>333821</v>
      </c>
      <c r="J22" s="24">
        <v>131</v>
      </c>
      <c r="K22" s="24" t="s">
        <v>21</v>
      </c>
      <c r="L22" s="24">
        <v>1</v>
      </c>
      <c r="M22" s="39">
        <v>111111</v>
      </c>
      <c r="N22" s="39">
        <f t="shared" si="2"/>
        <v>111111</v>
      </c>
      <c r="O22" s="24" t="s">
        <v>22</v>
      </c>
      <c r="P22" s="24"/>
      <c r="S22"/>
    </row>
    <row r="23" spans="1:22" ht="15" customHeight="1" x14ac:dyDescent="0.25">
      <c r="A23" s="24" t="s">
        <v>18</v>
      </c>
      <c r="B23" s="83" t="s">
        <v>1421</v>
      </c>
      <c r="C23" s="24" t="str">
        <f t="shared" si="0"/>
        <v>048</v>
      </c>
      <c r="D23" s="24">
        <f t="shared" si="1"/>
        <v>48</v>
      </c>
      <c r="E23" s="24"/>
      <c r="F23" s="24"/>
      <c r="G23" s="37" t="s">
        <v>3006</v>
      </c>
      <c r="H23" s="24" t="s">
        <v>3180</v>
      </c>
      <c r="I23" s="24">
        <v>131</v>
      </c>
      <c r="J23" s="24">
        <v>5113</v>
      </c>
      <c r="K23" s="24" t="s">
        <v>21</v>
      </c>
      <c r="L23" s="24">
        <v>1</v>
      </c>
      <c r="M23" s="39">
        <v>48387097</v>
      </c>
      <c r="N23" s="39">
        <f t="shared" si="2"/>
        <v>48387097</v>
      </c>
      <c r="O23" s="24" t="s">
        <v>22</v>
      </c>
      <c r="P23" s="24"/>
      <c r="S23"/>
    </row>
    <row r="24" spans="1:22" ht="15" customHeight="1" x14ac:dyDescent="0.25">
      <c r="A24" s="24" t="s">
        <v>18</v>
      </c>
      <c r="B24" s="83" t="s">
        <v>1421</v>
      </c>
      <c r="C24" s="24" t="str">
        <f t="shared" si="0"/>
        <v>049</v>
      </c>
      <c r="D24" s="24">
        <f t="shared" si="1"/>
        <v>49</v>
      </c>
      <c r="E24" s="24"/>
      <c r="F24" s="24"/>
      <c r="G24" s="37" t="s">
        <v>3006</v>
      </c>
      <c r="H24" s="24" t="s">
        <v>3181</v>
      </c>
      <c r="I24" s="24">
        <v>333821</v>
      </c>
      <c r="J24" s="24">
        <v>131</v>
      </c>
      <c r="K24" s="24" t="s">
        <v>21</v>
      </c>
      <c r="L24" s="24">
        <v>1</v>
      </c>
      <c r="M24" s="39">
        <v>483871</v>
      </c>
      <c r="N24" s="39">
        <f t="shared" si="2"/>
        <v>483871</v>
      </c>
      <c r="O24" s="24" t="s">
        <v>22</v>
      </c>
      <c r="P24" s="24"/>
      <c r="S24"/>
    </row>
    <row r="25" spans="1:22" ht="15" customHeight="1" x14ac:dyDescent="0.25">
      <c r="A25" s="24" t="s">
        <v>18</v>
      </c>
      <c r="B25" s="83" t="s">
        <v>2050</v>
      </c>
      <c r="C25" s="24" t="str">
        <f t="shared" si="0"/>
        <v>050</v>
      </c>
      <c r="D25" s="24">
        <f t="shared" si="1"/>
        <v>50</v>
      </c>
      <c r="E25" s="24"/>
      <c r="F25" s="24"/>
      <c r="G25" s="37" t="s">
        <v>3191</v>
      </c>
      <c r="H25" s="24" t="s">
        <v>3182</v>
      </c>
      <c r="I25" s="24">
        <v>131</v>
      </c>
      <c r="J25" s="24">
        <v>5113</v>
      </c>
      <c r="K25" s="24" t="s">
        <v>21</v>
      </c>
      <c r="L25" s="24">
        <v>1</v>
      </c>
      <c r="M25" s="39">
        <v>27229293</v>
      </c>
      <c r="N25" s="39">
        <f t="shared" si="2"/>
        <v>27229293</v>
      </c>
      <c r="O25" s="24" t="s">
        <v>22</v>
      </c>
      <c r="P25" s="24"/>
      <c r="S25"/>
    </row>
    <row r="26" spans="1:22" ht="15" customHeight="1" x14ac:dyDescent="0.25">
      <c r="A26" s="24" t="s">
        <v>18</v>
      </c>
      <c r="B26" s="83" t="s">
        <v>2050</v>
      </c>
      <c r="C26" s="24" t="str">
        <f t="shared" si="0"/>
        <v>051</v>
      </c>
      <c r="D26" s="24">
        <f t="shared" si="1"/>
        <v>51</v>
      </c>
      <c r="E26" s="24"/>
      <c r="F26" s="24"/>
      <c r="G26" s="37" t="s">
        <v>3191</v>
      </c>
      <c r="H26" s="24" t="s">
        <v>3183</v>
      </c>
      <c r="I26" s="24">
        <v>333821</v>
      </c>
      <c r="J26" s="24">
        <v>131</v>
      </c>
      <c r="K26" s="24" t="s">
        <v>21</v>
      </c>
      <c r="L26" s="24">
        <v>1</v>
      </c>
      <c r="M26" s="39">
        <v>272293</v>
      </c>
      <c r="N26" s="39">
        <f t="shared" si="2"/>
        <v>272293</v>
      </c>
      <c r="O26" s="24" t="s">
        <v>22</v>
      </c>
      <c r="P26" s="24"/>
      <c r="S26"/>
    </row>
    <row r="27" spans="1:22" ht="15" customHeight="1" x14ac:dyDescent="0.25">
      <c r="A27" s="24" t="s">
        <v>18</v>
      </c>
      <c r="B27" s="83" t="s">
        <v>1536</v>
      </c>
      <c r="C27" s="24" t="str">
        <f t="shared" si="0"/>
        <v>052</v>
      </c>
      <c r="D27" s="24">
        <f t="shared" si="1"/>
        <v>52</v>
      </c>
      <c r="E27" s="24"/>
      <c r="F27" s="24"/>
      <c r="G27" s="37" t="s">
        <v>3194</v>
      </c>
      <c r="H27" s="24" t="s">
        <v>3184</v>
      </c>
      <c r="I27" s="24">
        <v>131</v>
      </c>
      <c r="J27" s="24">
        <v>5113</v>
      </c>
      <c r="K27" s="24" t="s">
        <v>21</v>
      </c>
      <c r="L27" s="24">
        <v>1</v>
      </c>
      <c r="M27" s="39">
        <v>75757576</v>
      </c>
      <c r="N27" s="39">
        <f t="shared" si="2"/>
        <v>75757576</v>
      </c>
      <c r="O27" s="24" t="s">
        <v>22</v>
      </c>
      <c r="P27" s="24"/>
      <c r="S27"/>
    </row>
    <row r="28" spans="1:22" ht="15" customHeight="1" x14ac:dyDescent="0.25">
      <c r="A28" s="24" t="s">
        <v>18</v>
      </c>
      <c r="B28" s="83" t="s">
        <v>1536</v>
      </c>
      <c r="C28" s="24" t="str">
        <f t="shared" si="0"/>
        <v>053</v>
      </c>
      <c r="D28" s="24">
        <f t="shared" si="1"/>
        <v>53</v>
      </c>
      <c r="E28" s="24"/>
      <c r="F28" s="24"/>
      <c r="G28" s="37" t="s">
        <v>3194</v>
      </c>
      <c r="H28" s="24" t="s">
        <v>3185</v>
      </c>
      <c r="I28" s="24">
        <v>333821</v>
      </c>
      <c r="J28" s="24">
        <v>131</v>
      </c>
      <c r="K28" s="24" t="s">
        <v>21</v>
      </c>
      <c r="L28" s="24">
        <v>1</v>
      </c>
      <c r="M28" s="39">
        <v>757576</v>
      </c>
      <c r="N28" s="39">
        <f t="shared" si="2"/>
        <v>757576</v>
      </c>
      <c r="O28" s="24" t="s">
        <v>22</v>
      </c>
      <c r="P28" s="24"/>
      <c r="S28"/>
    </row>
    <row r="29" spans="1:22" ht="15" customHeight="1" x14ac:dyDescent="0.25">
      <c r="A29" s="24" t="s">
        <v>18</v>
      </c>
      <c r="B29" s="83" t="s">
        <v>2078</v>
      </c>
      <c r="C29" s="24" t="str">
        <f t="shared" si="0"/>
        <v>054</v>
      </c>
      <c r="D29" s="24">
        <f t="shared" si="1"/>
        <v>54</v>
      </c>
      <c r="E29" s="24"/>
      <c r="F29" s="24"/>
      <c r="G29" s="37" t="s">
        <v>3195</v>
      </c>
      <c r="H29" s="24" t="s">
        <v>3186</v>
      </c>
      <c r="I29" s="24">
        <v>131</v>
      </c>
      <c r="J29" s="24">
        <v>5113</v>
      </c>
      <c r="K29" s="24" t="s">
        <v>21</v>
      </c>
      <c r="L29" s="24">
        <v>1</v>
      </c>
      <c r="M29" s="39">
        <v>16129032</v>
      </c>
      <c r="N29" s="39">
        <f t="shared" si="2"/>
        <v>16129032</v>
      </c>
      <c r="O29" s="24" t="s">
        <v>22</v>
      </c>
      <c r="P29" s="24"/>
      <c r="S29"/>
    </row>
    <row r="30" spans="1:22" ht="15" customHeight="1" x14ac:dyDescent="0.25">
      <c r="A30" s="24" t="s">
        <v>18</v>
      </c>
      <c r="B30" s="83" t="s">
        <v>2078</v>
      </c>
      <c r="C30" s="24" t="str">
        <f t="shared" si="0"/>
        <v>055</v>
      </c>
      <c r="D30" s="24">
        <f t="shared" si="1"/>
        <v>55</v>
      </c>
      <c r="E30" s="24"/>
      <c r="F30" s="24"/>
      <c r="G30" s="37" t="s">
        <v>3195</v>
      </c>
      <c r="H30" s="24" t="s">
        <v>3187</v>
      </c>
      <c r="I30" s="24">
        <v>333821</v>
      </c>
      <c r="J30" s="24">
        <v>131</v>
      </c>
      <c r="K30" s="24" t="s">
        <v>21</v>
      </c>
      <c r="L30" s="24">
        <v>1</v>
      </c>
      <c r="M30" s="39">
        <v>161290</v>
      </c>
      <c r="N30" s="39">
        <f t="shared" si="2"/>
        <v>161290</v>
      </c>
      <c r="O30" s="24" t="s">
        <v>22</v>
      </c>
      <c r="P30" s="24"/>
      <c r="S30"/>
    </row>
    <row r="31" spans="1:22" ht="15" customHeight="1" x14ac:dyDescent="0.25">
      <c r="A31" s="24" t="s">
        <v>18</v>
      </c>
      <c r="B31" s="83" t="s">
        <v>2051</v>
      </c>
      <c r="C31" s="24" t="str">
        <f t="shared" si="0"/>
        <v>056</v>
      </c>
      <c r="D31" s="24">
        <f t="shared" si="1"/>
        <v>56</v>
      </c>
      <c r="E31" s="24"/>
      <c r="F31" s="24"/>
      <c r="G31" s="37" t="s">
        <v>3196</v>
      </c>
      <c r="H31" s="24" t="s">
        <v>3188</v>
      </c>
      <c r="I31" s="24">
        <v>131</v>
      </c>
      <c r="J31" s="24">
        <v>5113</v>
      </c>
      <c r="K31" s="24" t="s">
        <v>21</v>
      </c>
      <c r="L31" s="24">
        <v>1</v>
      </c>
      <c r="M31" s="39">
        <v>252525253</v>
      </c>
      <c r="N31" s="39">
        <f t="shared" si="2"/>
        <v>252525253</v>
      </c>
      <c r="O31" s="24" t="s">
        <v>22</v>
      </c>
      <c r="P31" s="24"/>
      <c r="S31"/>
    </row>
    <row r="32" spans="1:22" ht="15" customHeight="1" x14ac:dyDescent="0.25">
      <c r="A32" s="24" t="s">
        <v>18</v>
      </c>
      <c r="B32" s="83" t="s">
        <v>2051</v>
      </c>
      <c r="C32" s="24" t="str">
        <f t="shared" si="0"/>
        <v>057</v>
      </c>
      <c r="D32" s="24">
        <f t="shared" si="1"/>
        <v>57</v>
      </c>
      <c r="E32" s="24"/>
      <c r="F32" s="24"/>
      <c r="G32" s="37" t="s">
        <v>3196</v>
      </c>
      <c r="H32" s="24" t="s">
        <v>3189</v>
      </c>
      <c r="I32" s="24">
        <v>333821</v>
      </c>
      <c r="J32" s="24">
        <v>131</v>
      </c>
      <c r="K32" s="24" t="s">
        <v>21</v>
      </c>
      <c r="L32" s="24">
        <v>1</v>
      </c>
      <c r="M32" s="39">
        <v>2525253</v>
      </c>
      <c r="N32" s="39">
        <f t="shared" si="2"/>
        <v>2525253</v>
      </c>
      <c r="O32" s="24" t="s">
        <v>22</v>
      </c>
      <c r="P32" s="24"/>
      <c r="S32"/>
    </row>
    <row r="33" spans="1:19" ht="15" customHeight="1" x14ac:dyDescent="0.25">
      <c r="A33" s="24" t="s">
        <v>18</v>
      </c>
      <c r="B33" s="83" t="s">
        <v>3142</v>
      </c>
      <c r="C33" s="24" t="str">
        <f t="shared" si="0"/>
        <v>058</v>
      </c>
      <c r="D33" s="24">
        <f t="shared" si="1"/>
        <v>58</v>
      </c>
      <c r="E33" s="24"/>
      <c r="F33" s="24"/>
      <c r="G33" s="37" t="s">
        <v>3200</v>
      </c>
      <c r="H33" s="24" t="s">
        <v>3673</v>
      </c>
      <c r="I33" s="24">
        <v>64276</v>
      </c>
      <c r="J33" s="24">
        <v>331</v>
      </c>
      <c r="K33" s="24" t="s">
        <v>21</v>
      </c>
      <c r="L33" s="24">
        <v>1</v>
      </c>
      <c r="M33" s="39">
        <v>5140000</v>
      </c>
      <c r="N33" s="39">
        <f t="shared" si="2"/>
        <v>5140000</v>
      </c>
      <c r="O33" s="24" t="s">
        <v>998</v>
      </c>
      <c r="P33" s="24"/>
      <c r="S33"/>
    </row>
    <row r="34" spans="1:19" ht="15" customHeight="1" x14ac:dyDescent="0.25">
      <c r="A34" s="24" t="s">
        <v>18</v>
      </c>
      <c r="B34" s="83" t="s">
        <v>2356</v>
      </c>
      <c r="C34" s="24" t="str">
        <f t="shared" si="0"/>
        <v>059</v>
      </c>
      <c r="D34" s="24">
        <f t="shared" si="1"/>
        <v>59</v>
      </c>
      <c r="E34" s="24"/>
      <c r="F34" s="24"/>
      <c r="G34" s="37" t="s">
        <v>158</v>
      </c>
      <c r="H34" s="24" t="s">
        <v>3197</v>
      </c>
      <c r="I34" s="24">
        <v>64277</v>
      </c>
      <c r="J34" s="24">
        <v>331</v>
      </c>
      <c r="K34" s="24" t="s">
        <v>21</v>
      </c>
      <c r="L34" s="24">
        <v>1</v>
      </c>
      <c r="M34" s="39">
        <v>4860000</v>
      </c>
      <c r="N34" s="39">
        <f t="shared" si="2"/>
        <v>4860000</v>
      </c>
      <c r="O34" s="24" t="s">
        <v>22</v>
      </c>
      <c r="P34" s="24"/>
      <c r="S34"/>
    </row>
    <row r="35" spans="1:19" ht="15" customHeight="1" x14ac:dyDescent="0.25">
      <c r="A35" s="24" t="s">
        <v>18</v>
      </c>
      <c r="B35" s="83" t="s">
        <v>3144</v>
      </c>
      <c r="C35" s="24" t="str">
        <f t="shared" si="0"/>
        <v>060</v>
      </c>
      <c r="D35" s="24">
        <f t="shared" si="1"/>
        <v>60</v>
      </c>
      <c r="E35" s="24"/>
      <c r="F35" s="24"/>
      <c r="G35" s="37" t="s">
        <v>143</v>
      </c>
      <c r="H35" s="24" t="s">
        <v>3674</v>
      </c>
      <c r="I35" s="24">
        <v>64277</v>
      </c>
      <c r="J35" s="24">
        <v>331</v>
      </c>
      <c r="K35" s="24" t="s">
        <v>21</v>
      </c>
      <c r="L35" s="24">
        <v>1</v>
      </c>
      <c r="M35" s="39">
        <v>2494800</v>
      </c>
      <c r="N35" s="39">
        <f t="shared" si="2"/>
        <v>2494800</v>
      </c>
      <c r="O35" s="24" t="s">
        <v>22</v>
      </c>
      <c r="P35" s="24"/>
      <c r="S35"/>
    </row>
    <row r="36" spans="1:19" ht="15" customHeight="1" x14ac:dyDescent="0.25">
      <c r="A36" s="24" t="s">
        <v>18</v>
      </c>
      <c r="B36" s="83" t="s">
        <v>2075</v>
      </c>
      <c r="C36" s="24" t="str">
        <f t="shared" si="0"/>
        <v>061</v>
      </c>
      <c r="D36" s="24">
        <f t="shared" si="1"/>
        <v>61</v>
      </c>
      <c r="E36" s="24"/>
      <c r="F36" s="24"/>
      <c r="G36" s="37" t="s">
        <v>158</v>
      </c>
      <c r="H36" s="24" t="s">
        <v>3198</v>
      </c>
      <c r="I36" s="24">
        <v>64277</v>
      </c>
      <c r="J36" s="24">
        <v>331</v>
      </c>
      <c r="K36" s="24" t="s">
        <v>21</v>
      </c>
      <c r="L36" s="24">
        <v>1</v>
      </c>
      <c r="M36" s="39">
        <v>3240000</v>
      </c>
      <c r="N36" s="39">
        <f t="shared" si="2"/>
        <v>3240000</v>
      </c>
      <c r="O36" s="24" t="s">
        <v>22</v>
      </c>
      <c r="P36" s="24"/>
      <c r="S36"/>
    </row>
    <row r="37" spans="1:19" ht="15" customHeight="1" x14ac:dyDescent="0.25">
      <c r="A37" s="24" t="s">
        <v>18</v>
      </c>
      <c r="B37" s="83" t="s">
        <v>1535</v>
      </c>
      <c r="C37" s="24" t="str">
        <f t="shared" si="0"/>
        <v>062</v>
      </c>
      <c r="D37" s="24">
        <f t="shared" si="1"/>
        <v>62</v>
      </c>
      <c r="E37" s="24"/>
      <c r="F37" s="24"/>
      <c r="G37" s="37" t="s">
        <v>158</v>
      </c>
      <c r="H37" s="24" t="s">
        <v>3199</v>
      </c>
      <c r="I37" s="24">
        <v>64277</v>
      </c>
      <c r="J37" s="24">
        <v>331</v>
      </c>
      <c r="K37" s="24" t="s">
        <v>21</v>
      </c>
      <c r="L37" s="24">
        <v>1</v>
      </c>
      <c r="M37" s="39">
        <v>3240000</v>
      </c>
      <c r="N37" s="39">
        <f t="shared" si="2"/>
        <v>3240000</v>
      </c>
      <c r="O37" s="24" t="s">
        <v>22</v>
      </c>
      <c r="P37" s="24"/>
      <c r="S37"/>
    </row>
    <row r="38" spans="1:19" ht="15" customHeight="1" x14ac:dyDescent="0.25">
      <c r="A38" s="24" t="s">
        <v>18</v>
      </c>
      <c r="B38" s="83">
        <v>45869</v>
      </c>
      <c r="C38" s="24" t="str">
        <f t="shared" si="0"/>
        <v>063</v>
      </c>
      <c r="D38" s="24">
        <f t="shared" si="1"/>
        <v>63</v>
      </c>
      <c r="E38" s="24"/>
      <c r="F38" s="24"/>
      <c r="G38" s="37" t="s">
        <v>1235</v>
      </c>
      <c r="H38" s="24" t="s">
        <v>147</v>
      </c>
      <c r="I38" s="24">
        <v>64271</v>
      </c>
      <c r="J38" s="24">
        <v>3383</v>
      </c>
      <c r="K38" s="24" t="s">
        <v>21</v>
      </c>
      <c r="L38" s="24">
        <v>1</v>
      </c>
      <c r="M38" s="39">
        <v>2950000</v>
      </c>
      <c r="N38" s="39">
        <f t="shared" si="2"/>
        <v>2950000</v>
      </c>
      <c r="O38" s="24" t="s">
        <v>22</v>
      </c>
      <c r="P38" s="24"/>
      <c r="S38"/>
    </row>
    <row r="39" spans="1:19" ht="15" customHeight="1" x14ac:dyDescent="0.25">
      <c r="A39" s="24" t="s">
        <v>18</v>
      </c>
      <c r="B39" s="83">
        <v>45900</v>
      </c>
      <c r="C39" s="24" t="str">
        <f t="shared" si="0"/>
        <v>064</v>
      </c>
      <c r="D39" s="24">
        <f t="shared" si="1"/>
        <v>64</v>
      </c>
      <c r="E39" s="24"/>
      <c r="F39" s="24"/>
      <c r="G39" s="37" t="s">
        <v>1235</v>
      </c>
      <c r="H39" s="24" t="s">
        <v>280</v>
      </c>
      <c r="I39" s="24">
        <v>64271</v>
      </c>
      <c r="J39" s="24">
        <v>3383</v>
      </c>
      <c r="K39" s="24" t="s">
        <v>21</v>
      </c>
      <c r="L39" s="24">
        <v>1</v>
      </c>
      <c r="M39" s="39">
        <v>2950000</v>
      </c>
      <c r="N39" s="39">
        <f t="shared" si="2"/>
        <v>2950000</v>
      </c>
      <c r="O39" s="24" t="s">
        <v>22</v>
      </c>
      <c r="P39" s="24"/>
      <c r="S39"/>
    </row>
    <row r="40" spans="1:19" ht="15" customHeight="1" x14ac:dyDescent="0.25">
      <c r="A40" s="24" t="s">
        <v>18</v>
      </c>
      <c r="B40" s="83">
        <v>45930</v>
      </c>
      <c r="C40" s="24" t="str">
        <f t="shared" si="0"/>
        <v>065</v>
      </c>
      <c r="D40" s="24">
        <f t="shared" si="1"/>
        <v>65</v>
      </c>
      <c r="E40" s="24"/>
      <c r="F40" s="24"/>
      <c r="G40" s="37" t="s">
        <v>1235</v>
      </c>
      <c r="H40" s="24" t="s">
        <v>367</v>
      </c>
      <c r="I40" s="24">
        <v>64271</v>
      </c>
      <c r="J40" s="24">
        <v>3383</v>
      </c>
      <c r="K40" s="24" t="s">
        <v>21</v>
      </c>
      <c r="L40" s="24">
        <v>1</v>
      </c>
      <c r="M40" s="39">
        <v>2950000</v>
      </c>
      <c r="N40" s="39">
        <f t="shared" si="2"/>
        <v>2950000</v>
      </c>
      <c r="O40" s="24" t="s">
        <v>22</v>
      </c>
      <c r="P40" s="24"/>
      <c r="S40"/>
    </row>
    <row r="41" spans="1:19" ht="15" customHeight="1" x14ac:dyDescent="0.25">
      <c r="A41" s="24" t="s">
        <v>368</v>
      </c>
      <c r="B41" s="83" t="s">
        <v>2356</v>
      </c>
      <c r="C41" s="24" t="str">
        <f t="shared" si="0"/>
        <v>066</v>
      </c>
      <c r="D41" s="24">
        <f t="shared" si="1"/>
        <v>66</v>
      </c>
      <c r="E41" s="24"/>
      <c r="F41" s="24"/>
      <c r="G41" s="37" t="s">
        <v>158</v>
      </c>
      <c r="H41" s="24" t="s">
        <v>3676</v>
      </c>
      <c r="I41" s="24">
        <v>331</v>
      </c>
      <c r="J41" s="24">
        <v>1111</v>
      </c>
      <c r="K41" s="24" t="s">
        <v>21</v>
      </c>
      <c r="L41" s="24">
        <v>1</v>
      </c>
      <c r="M41" s="39">
        <v>4860000</v>
      </c>
      <c r="N41" s="39">
        <v>4860000</v>
      </c>
      <c r="O41" s="24" t="s">
        <v>22</v>
      </c>
      <c r="P41" s="24"/>
      <c r="S41"/>
    </row>
    <row r="42" spans="1:19" ht="15" customHeight="1" x14ac:dyDescent="0.25">
      <c r="A42" s="24" t="s">
        <v>368</v>
      </c>
      <c r="B42" s="83" t="s">
        <v>3144</v>
      </c>
      <c r="C42" s="24" t="str">
        <f t="shared" si="0"/>
        <v>067</v>
      </c>
      <c r="D42" s="24">
        <f t="shared" si="1"/>
        <v>67</v>
      </c>
      <c r="E42" s="24"/>
      <c r="F42" s="24"/>
      <c r="G42" s="37" t="s">
        <v>143</v>
      </c>
      <c r="H42" s="24" t="s">
        <v>3677</v>
      </c>
      <c r="I42" s="24">
        <v>331</v>
      </c>
      <c r="J42" s="24">
        <v>1111</v>
      </c>
      <c r="K42" s="24" t="s">
        <v>21</v>
      </c>
      <c r="L42" s="24">
        <v>1</v>
      </c>
      <c r="M42" s="39">
        <v>2494800</v>
      </c>
      <c r="N42" s="39">
        <v>2494800</v>
      </c>
      <c r="O42" s="24" t="s">
        <v>22</v>
      </c>
      <c r="P42" s="24"/>
      <c r="S42"/>
    </row>
    <row r="43" spans="1:19" ht="15" customHeight="1" x14ac:dyDescent="0.25">
      <c r="A43" s="24" t="s">
        <v>368</v>
      </c>
      <c r="B43" s="83" t="s">
        <v>2075</v>
      </c>
      <c r="C43" s="24" t="str">
        <f t="shared" si="0"/>
        <v>068</v>
      </c>
      <c r="D43" s="24">
        <f t="shared" si="1"/>
        <v>68</v>
      </c>
      <c r="E43" s="24"/>
      <c r="F43" s="24"/>
      <c r="G43" s="37" t="s">
        <v>158</v>
      </c>
      <c r="H43" s="24" t="s">
        <v>3678</v>
      </c>
      <c r="I43" s="24">
        <v>331</v>
      </c>
      <c r="J43" s="24">
        <v>1111</v>
      </c>
      <c r="K43" s="24" t="s">
        <v>21</v>
      </c>
      <c r="L43" s="24">
        <v>1</v>
      </c>
      <c r="M43" s="39">
        <v>3240000</v>
      </c>
      <c r="N43" s="39">
        <v>3240000</v>
      </c>
      <c r="O43" s="24" t="s">
        <v>22</v>
      </c>
      <c r="P43" s="24"/>
      <c r="S43"/>
    </row>
    <row r="44" spans="1:19" ht="15" customHeight="1" x14ac:dyDescent="0.25">
      <c r="A44" s="24" t="s">
        <v>368</v>
      </c>
      <c r="B44" s="83" t="s">
        <v>1535</v>
      </c>
      <c r="C44" s="24" t="str">
        <f t="shared" si="0"/>
        <v>069</v>
      </c>
      <c r="D44" s="24">
        <f t="shared" si="1"/>
        <v>69</v>
      </c>
      <c r="E44" s="24"/>
      <c r="F44" s="24"/>
      <c r="G44" s="37" t="s">
        <v>158</v>
      </c>
      <c r="H44" s="24" t="s">
        <v>3679</v>
      </c>
      <c r="I44" s="24">
        <v>331</v>
      </c>
      <c r="J44" s="24">
        <v>1111</v>
      </c>
      <c r="K44" s="24" t="s">
        <v>21</v>
      </c>
      <c r="L44" s="24">
        <v>1</v>
      </c>
      <c r="M44" s="39">
        <v>3240000</v>
      </c>
      <c r="N44" s="39">
        <v>3240000</v>
      </c>
      <c r="O44" s="24" t="s">
        <v>22</v>
      </c>
      <c r="P44" s="24"/>
      <c r="S44"/>
    </row>
    <row r="45" spans="1:19" ht="15" customHeight="1" x14ac:dyDescent="0.25">
      <c r="A45" s="24" t="s">
        <v>33</v>
      </c>
      <c r="B45" s="83">
        <v>45840</v>
      </c>
      <c r="C45" s="24" t="str">
        <f t="shared" si="0"/>
        <v>070</v>
      </c>
      <c r="D45" s="24">
        <f t="shared" si="1"/>
        <v>70</v>
      </c>
      <c r="E45" s="24"/>
      <c r="F45" s="24"/>
      <c r="G45" s="37" t="s">
        <v>96</v>
      </c>
      <c r="H45" s="24" t="s">
        <v>3844</v>
      </c>
      <c r="I45" s="24">
        <v>112111</v>
      </c>
      <c r="J45" s="24">
        <v>131</v>
      </c>
      <c r="K45" s="24" t="s">
        <v>21</v>
      </c>
      <c r="L45" s="24">
        <v>1</v>
      </c>
      <c r="M45" s="39">
        <v>16129032</v>
      </c>
      <c r="N45" s="39">
        <f t="shared" si="2"/>
        <v>16129032</v>
      </c>
      <c r="O45" s="24" t="s">
        <v>998</v>
      </c>
      <c r="P45" s="24"/>
      <c r="S45"/>
    </row>
    <row r="46" spans="1:19" ht="15" customHeight="1" x14ac:dyDescent="0.25">
      <c r="A46" s="24" t="s">
        <v>89</v>
      </c>
      <c r="B46" s="83">
        <v>45843</v>
      </c>
      <c r="C46" s="24" t="str">
        <f t="shared" si="0"/>
        <v>071</v>
      </c>
      <c r="D46" s="24">
        <f t="shared" si="1"/>
        <v>71</v>
      </c>
      <c r="E46" s="24"/>
      <c r="F46" s="24"/>
      <c r="G46" s="15" t="s">
        <v>2923</v>
      </c>
      <c r="H46" s="13" t="s">
        <v>1008</v>
      </c>
      <c r="I46" s="13">
        <v>1111</v>
      </c>
      <c r="J46" s="13">
        <v>112111</v>
      </c>
      <c r="K46" s="24" t="s">
        <v>21</v>
      </c>
      <c r="L46" s="24">
        <v>1</v>
      </c>
      <c r="M46" s="39">
        <v>40000000</v>
      </c>
      <c r="N46" s="39">
        <f t="shared" si="2"/>
        <v>40000000</v>
      </c>
      <c r="O46" s="24" t="s">
        <v>998</v>
      </c>
      <c r="P46" s="24"/>
      <c r="S46"/>
    </row>
    <row r="47" spans="1:19" ht="15" customHeight="1" x14ac:dyDescent="0.25">
      <c r="A47" s="24" t="s">
        <v>89</v>
      </c>
      <c r="B47" s="83">
        <v>45845</v>
      </c>
      <c r="C47" s="24" t="str">
        <f t="shared" si="0"/>
        <v>072</v>
      </c>
      <c r="D47" s="24">
        <f t="shared" si="1"/>
        <v>72</v>
      </c>
      <c r="E47" s="24"/>
      <c r="F47" s="24"/>
      <c r="G47" s="37" t="s">
        <v>3200</v>
      </c>
      <c r="H47" s="24" t="s">
        <v>3675</v>
      </c>
      <c r="I47" s="24">
        <v>331</v>
      </c>
      <c r="J47" s="24">
        <v>112111</v>
      </c>
      <c r="K47" s="24" t="s">
        <v>21</v>
      </c>
      <c r="L47" s="24">
        <v>1</v>
      </c>
      <c r="M47" s="39">
        <v>5140000</v>
      </c>
      <c r="N47" s="39">
        <f t="shared" si="2"/>
        <v>5140000</v>
      </c>
      <c r="O47" s="24" t="s">
        <v>998</v>
      </c>
      <c r="P47" s="24"/>
      <c r="S47"/>
    </row>
    <row r="48" spans="1:19" ht="15" customHeight="1" x14ac:dyDescent="0.25">
      <c r="A48" s="24" t="s">
        <v>89</v>
      </c>
      <c r="B48" s="83">
        <v>45845</v>
      </c>
      <c r="C48" s="24" t="str">
        <f t="shared" si="0"/>
        <v>073</v>
      </c>
      <c r="D48" s="24">
        <f t="shared" si="1"/>
        <v>73</v>
      </c>
      <c r="E48" s="24"/>
      <c r="F48" s="24"/>
      <c r="G48" s="15" t="s">
        <v>2923</v>
      </c>
      <c r="H48" s="13" t="s">
        <v>1008</v>
      </c>
      <c r="I48" s="13">
        <v>1111</v>
      </c>
      <c r="J48" s="24">
        <v>112111</v>
      </c>
      <c r="K48" s="24" t="s">
        <v>21</v>
      </c>
      <c r="L48" s="24">
        <v>1</v>
      </c>
      <c r="M48" s="39">
        <v>20000000</v>
      </c>
      <c r="N48" s="39">
        <f t="shared" si="2"/>
        <v>20000000</v>
      </c>
      <c r="O48" s="24" t="s">
        <v>998</v>
      </c>
      <c r="P48" s="24"/>
      <c r="S48"/>
    </row>
    <row r="49" spans="1:19" ht="15" customHeight="1" x14ac:dyDescent="0.25">
      <c r="A49" s="24" t="s">
        <v>33</v>
      </c>
      <c r="B49" s="83">
        <v>45847</v>
      </c>
      <c r="C49" s="24" t="str">
        <f t="shared" si="0"/>
        <v>074</v>
      </c>
      <c r="D49" s="24">
        <f t="shared" si="1"/>
        <v>74</v>
      </c>
      <c r="E49" s="24"/>
      <c r="F49" s="24"/>
      <c r="G49" s="37" t="s">
        <v>3190</v>
      </c>
      <c r="H49" s="24" t="s">
        <v>3845</v>
      </c>
      <c r="I49" s="24">
        <v>112111</v>
      </c>
      <c r="J49" s="24">
        <v>131</v>
      </c>
      <c r="K49" s="24" t="s">
        <v>21</v>
      </c>
      <c r="L49" s="24">
        <v>1</v>
      </c>
      <c r="M49" s="39">
        <v>11000000</v>
      </c>
      <c r="N49" s="39">
        <f t="shared" si="2"/>
        <v>11000000</v>
      </c>
      <c r="O49" s="24" t="s">
        <v>998</v>
      </c>
      <c r="P49" s="24"/>
      <c r="S49"/>
    </row>
    <row r="50" spans="1:19" ht="15" customHeight="1" x14ac:dyDescent="0.25">
      <c r="A50" s="24" t="s">
        <v>33</v>
      </c>
      <c r="B50" s="83">
        <v>45859</v>
      </c>
      <c r="C50" s="24" t="str">
        <f t="shared" si="0"/>
        <v>075</v>
      </c>
      <c r="D50" s="24">
        <f t="shared" si="1"/>
        <v>75</v>
      </c>
      <c r="E50" s="24"/>
      <c r="F50" s="24"/>
      <c r="G50" s="37" t="s">
        <v>3191</v>
      </c>
      <c r="H50" s="24" t="s">
        <v>3846</v>
      </c>
      <c r="I50" s="24">
        <v>112111</v>
      </c>
      <c r="J50" s="24">
        <v>131</v>
      </c>
      <c r="K50" s="24" t="s">
        <v>21</v>
      </c>
      <c r="L50" s="24">
        <v>1</v>
      </c>
      <c r="M50" s="39">
        <v>25917000</v>
      </c>
      <c r="N50" s="39">
        <f t="shared" si="2"/>
        <v>25917000</v>
      </c>
      <c r="O50" s="24" t="s">
        <v>998</v>
      </c>
      <c r="P50" s="24"/>
      <c r="S50"/>
    </row>
    <row r="51" spans="1:19" ht="15" customHeight="1" x14ac:dyDescent="0.25">
      <c r="A51" s="24" t="s">
        <v>33</v>
      </c>
      <c r="B51" s="83">
        <v>45859</v>
      </c>
      <c r="C51" s="24" t="str">
        <f t="shared" si="0"/>
        <v>076</v>
      </c>
      <c r="D51" s="24">
        <f t="shared" si="1"/>
        <v>76</v>
      </c>
      <c r="E51" s="24"/>
      <c r="F51" s="24"/>
      <c r="G51" s="37" t="s">
        <v>3085</v>
      </c>
      <c r="H51" s="24" t="s">
        <v>3847</v>
      </c>
      <c r="I51" s="24">
        <v>112111</v>
      </c>
      <c r="J51" s="24">
        <v>131</v>
      </c>
      <c r="K51" s="24" t="s">
        <v>21</v>
      </c>
      <c r="L51" s="24">
        <v>1</v>
      </c>
      <c r="M51" s="39">
        <v>10752688</v>
      </c>
      <c r="N51" s="39">
        <f t="shared" si="2"/>
        <v>10752688</v>
      </c>
      <c r="O51" s="24" t="s">
        <v>998</v>
      </c>
      <c r="P51" s="24"/>
      <c r="S51"/>
    </row>
    <row r="52" spans="1:19" ht="15" customHeight="1" x14ac:dyDescent="0.25">
      <c r="A52" s="24" t="s">
        <v>89</v>
      </c>
      <c r="B52" s="83">
        <v>45861</v>
      </c>
      <c r="C52" s="24" t="str">
        <f t="shared" si="0"/>
        <v>077</v>
      </c>
      <c r="D52" s="24">
        <f t="shared" si="1"/>
        <v>77</v>
      </c>
      <c r="E52" s="24"/>
      <c r="F52" s="24"/>
      <c r="G52" s="15" t="s">
        <v>2923</v>
      </c>
      <c r="H52" s="13" t="s">
        <v>1008</v>
      </c>
      <c r="I52" s="13">
        <v>1111</v>
      </c>
      <c r="J52" s="24">
        <v>112111</v>
      </c>
      <c r="K52" s="24" t="s">
        <v>21</v>
      </c>
      <c r="L52" s="24">
        <v>1</v>
      </c>
      <c r="M52" s="39">
        <v>20000000</v>
      </c>
      <c r="N52" s="39">
        <f t="shared" si="2"/>
        <v>20000000</v>
      </c>
      <c r="O52" s="24" t="s">
        <v>22</v>
      </c>
      <c r="P52" s="24"/>
      <c r="S52"/>
    </row>
    <row r="53" spans="1:19" ht="15" customHeight="1" x14ac:dyDescent="0.25">
      <c r="A53" s="24" t="s">
        <v>89</v>
      </c>
      <c r="B53" s="83">
        <v>45864</v>
      </c>
      <c r="C53" s="24" t="str">
        <f t="shared" si="0"/>
        <v>078</v>
      </c>
      <c r="D53" s="24">
        <f t="shared" si="1"/>
        <v>78</v>
      </c>
      <c r="E53" s="24"/>
      <c r="F53" s="24"/>
      <c r="G53" s="15" t="s">
        <v>2923</v>
      </c>
      <c r="H53" s="13" t="s">
        <v>1008</v>
      </c>
      <c r="I53" s="13">
        <v>1111</v>
      </c>
      <c r="J53" s="24">
        <v>112111</v>
      </c>
      <c r="K53" s="24" t="s">
        <v>21</v>
      </c>
      <c r="L53" s="24">
        <v>1</v>
      </c>
      <c r="M53" s="39">
        <v>20000000</v>
      </c>
      <c r="N53" s="39">
        <f t="shared" si="2"/>
        <v>20000000</v>
      </c>
      <c r="O53" s="24" t="s">
        <v>22</v>
      </c>
      <c r="P53" s="24"/>
      <c r="S53"/>
    </row>
    <row r="54" spans="1:19" ht="15" customHeight="1" x14ac:dyDescent="0.25">
      <c r="A54" s="24" t="s">
        <v>33</v>
      </c>
      <c r="B54" s="83">
        <v>45866</v>
      </c>
      <c r="C54" s="24" t="str">
        <f t="shared" si="0"/>
        <v>079</v>
      </c>
      <c r="D54" s="24">
        <f t="shared" si="1"/>
        <v>79</v>
      </c>
      <c r="E54" s="24"/>
      <c r="F54" s="24"/>
      <c r="G54" s="37" t="s">
        <v>287</v>
      </c>
      <c r="H54" s="24" t="s">
        <v>3848</v>
      </c>
      <c r="I54" s="24">
        <v>112111</v>
      </c>
      <c r="J54" s="24">
        <v>131</v>
      </c>
      <c r="K54" s="24" t="s">
        <v>21</v>
      </c>
      <c r="L54" s="24">
        <v>1</v>
      </c>
      <c r="M54" s="39">
        <v>15967742</v>
      </c>
      <c r="N54" s="39">
        <f t="shared" si="2"/>
        <v>15967742</v>
      </c>
      <c r="O54" s="24" t="s">
        <v>22</v>
      </c>
      <c r="P54" s="24"/>
      <c r="S54"/>
    </row>
    <row r="55" spans="1:19" ht="15" customHeight="1" x14ac:dyDescent="0.25">
      <c r="A55" s="24" t="s">
        <v>89</v>
      </c>
      <c r="B55" s="83">
        <v>45866</v>
      </c>
      <c r="C55" s="24" t="str">
        <f t="shared" si="0"/>
        <v>080</v>
      </c>
      <c r="D55" s="24">
        <f t="shared" si="1"/>
        <v>80</v>
      </c>
      <c r="E55" s="24"/>
      <c r="F55" s="24"/>
      <c r="G55" s="15" t="s">
        <v>2923</v>
      </c>
      <c r="H55" s="13" t="s">
        <v>1008</v>
      </c>
      <c r="I55" s="13">
        <v>1111</v>
      </c>
      <c r="J55" s="24">
        <v>112111</v>
      </c>
      <c r="K55" s="24" t="s">
        <v>21</v>
      </c>
      <c r="L55" s="24">
        <v>1</v>
      </c>
      <c r="M55" s="39">
        <v>8000000</v>
      </c>
      <c r="N55" s="39">
        <f t="shared" si="2"/>
        <v>8000000</v>
      </c>
      <c r="O55" s="24" t="s">
        <v>22</v>
      </c>
      <c r="P55" s="24"/>
      <c r="S55"/>
    </row>
    <row r="56" spans="1:19" ht="15" customHeight="1" x14ac:dyDescent="0.25">
      <c r="A56" s="24" t="s">
        <v>33</v>
      </c>
      <c r="B56" s="83">
        <v>45866</v>
      </c>
      <c r="C56" s="24" t="str">
        <f t="shared" si="0"/>
        <v>081</v>
      </c>
      <c r="D56" s="24">
        <f t="shared" si="1"/>
        <v>81</v>
      </c>
      <c r="E56" s="24"/>
      <c r="F56" s="24"/>
      <c r="G56" s="37" t="s">
        <v>3085</v>
      </c>
      <c r="H56" s="24" t="s">
        <v>3849</v>
      </c>
      <c r="I56" s="24">
        <v>112111</v>
      </c>
      <c r="J56" s="24">
        <v>131</v>
      </c>
      <c r="K56" s="24" t="s">
        <v>21</v>
      </c>
      <c r="L56" s="24">
        <v>1</v>
      </c>
      <c r="M56" s="39">
        <v>10752688</v>
      </c>
      <c r="N56" s="39">
        <f t="shared" si="2"/>
        <v>10752688</v>
      </c>
      <c r="O56" s="24" t="s">
        <v>22</v>
      </c>
      <c r="P56" s="24"/>
      <c r="S56"/>
    </row>
    <row r="57" spans="1:19" ht="15" customHeight="1" x14ac:dyDescent="0.25">
      <c r="A57" s="24" t="s">
        <v>89</v>
      </c>
      <c r="B57" s="83">
        <v>45866</v>
      </c>
      <c r="C57" s="24" t="str">
        <f t="shared" si="0"/>
        <v>082</v>
      </c>
      <c r="D57" s="24">
        <f t="shared" si="1"/>
        <v>82</v>
      </c>
      <c r="E57" s="24"/>
      <c r="F57" s="24"/>
      <c r="G57" s="15" t="s">
        <v>2923</v>
      </c>
      <c r="H57" s="13" t="s">
        <v>1008</v>
      </c>
      <c r="I57" s="13">
        <v>1111</v>
      </c>
      <c r="J57" s="24">
        <v>112111</v>
      </c>
      <c r="K57" s="24" t="s">
        <v>21</v>
      </c>
      <c r="L57" s="24">
        <v>1</v>
      </c>
      <c r="M57" s="39">
        <v>20000000</v>
      </c>
      <c r="N57" s="39">
        <f t="shared" si="2"/>
        <v>20000000</v>
      </c>
      <c r="O57" s="24" t="s">
        <v>22</v>
      </c>
      <c r="P57" s="24"/>
      <c r="S57"/>
    </row>
    <row r="58" spans="1:19" ht="15" customHeight="1" x14ac:dyDescent="0.25">
      <c r="A58" s="24" t="s">
        <v>33</v>
      </c>
      <c r="B58" s="83">
        <v>45866</v>
      </c>
      <c r="C58" s="24" t="str">
        <f t="shared" si="0"/>
        <v>083</v>
      </c>
      <c r="D58" s="24">
        <f t="shared" si="1"/>
        <v>83</v>
      </c>
      <c r="E58" s="24"/>
      <c r="F58" s="24"/>
      <c r="G58" s="15" t="s">
        <v>2923</v>
      </c>
      <c r="H58" s="24" t="s">
        <v>129</v>
      </c>
      <c r="I58" s="24">
        <v>112111</v>
      </c>
      <c r="J58" s="24">
        <v>5154</v>
      </c>
      <c r="K58" s="24" t="s">
        <v>21</v>
      </c>
      <c r="L58" s="24">
        <v>1</v>
      </c>
      <c r="M58" s="39">
        <v>417</v>
      </c>
      <c r="N58" s="39">
        <f t="shared" si="2"/>
        <v>417</v>
      </c>
      <c r="O58" s="24" t="s">
        <v>22</v>
      </c>
      <c r="P58" s="24"/>
      <c r="S58"/>
    </row>
    <row r="59" spans="1:19" ht="15" customHeight="1" x14ac:dyDescent="0.25">
      <c r="A59" s="24" t="s">
        <v>33</v>
      </c>
      <c r="B59" s="83">
        <v>45869</v>
      </c>
      <c r="C59" s="24" t="str">
        <f t="shared" si="0"/>
        <v>084</v>
      </c>
      <c r="D59" s="24">
        <f t="shared" si="1"/>
        <v>84</v>
      </c>
      <c r="E59" s="24"/>
      <c r="F59" s="24"/>
      <c r="G59" s="37" t="s">
        <v>1280</v>
      </c>
      <c r="H59" s="24" t="s">
        <v>3850</v>
      </c>
      <c r="I59" s="24">
        <v>112111</v>
      </c>
      <c r="J59" s="24">
        <v>131</v>
      </c>
      <c r="K59" s="24" t="s">
        <v>21</v>
      </c>
      <c r="L59" s="24">
        <v>1</v>
      </c>
      <c r="M59" s="39">
        <v>11000000</v>
      </c>
      <c r="N59" s="39">
        <f t="shared" si="2"/>
        <v>11000000</v>
      </c>
      <c r="O59" s="24" t="s">
        <v>22</v>
      </c>
      <c r="P59" s="24"/>
      <c r="S59"/>
    </row>
    <row r="60" spans="1:19" ht="15" customHeight="1" x14ac:dyDescent="0.25">
      <c r="A60" s="24" t="s">
        <v>33</v>
      </c>
      <c r="B60" s="83">
        <v>45873</v>
      </c>
      <c r="C60" s="24" t="str">
        <f t="shared" si="0"/>
        <v>085</v>
      </c>
      <c r="D60" s="24">
        <f t="shared" si="1"/>
        <v>85</v>
      </c>
      <c r="E60" s="24"/>
      <c r="F60" s="24"/>
      <c r="G60" s="37" t="s">
        <v>3192</v>
      </c>
      <c r="H60" s="24" t="s">
        <v>3851</v>
      </c>
      <c r="I60" s="24">
        <v>112111</v>
      </c>
      <c r="J60" s="24">
        <v>131</v>
      </c>
      <c r="K60" s="24" t="s">
        <v>21</v>
      </c>
      <c r="L60" s="24">
        <v>1</v>
      </c>
      <c r="M60" s="39">
        <v>300000000</v>
      </c>
      <c r="N60" s="39">
        <f t="shared" si="2"/>
        <v>300000000</v>
      </c>
      <c r="O60" s="24" t="s">
        <v>22</v>
      </c>
      <c r="P60" s="24"/>
      <c r="S60"/>
    </row>
    <row r="61" spans="1:19" ht="15" customHeight="1" x14ac:dyDescent="0.25">
      <c r="A61" s="24" t="s">
        <v>33</v>
      </c>
      <c r="B61" s="83">
        <v>45876</v>
      </c>
      <c r="C61" s="24" t="str">
        <f t="shared" si="0"/>
        <v>086</v>
      </c>
      <c r="D61" s="24">
        <f t="shared" si="1"/>
        <v>86</v>
      </c>
      <c r="E61" s="24"/>
      <c r="F61" s="24"/>
      <c r="G61" s="37" t="s">
        <v>3190</v>
      </c>
      <c r="H61" s="24" t="s">
        <v>3852</v>
      </c>
      <c r="I61" s="24">
        <v>112111</v>
      </c>
      <c r="J61" s="24">
        <v>131</v>
      </c>
      <c r="K61" s="24" t="s">
        <v>21</v>
      </c>
      <c r="L61" s="24">
        <v>1</v>
      </c>
      <c r="M61" s="39">
        <v>11000000</v>
      </c>
      <c r="N61" s="39">
        <f t="shared" si="2"/>
        <v>11000000</v>
      </c>
      <c r="O61" s="24" t="s">
        <v>22</v>
      </c>
      <c r="P61" s="24"/>
      <c r="S61"/>
    </row>
    <row r="62" spans="1:19" ht="15" customHeight="1" x14ac:dyDescent="0.25">
      <c r="A62" s="24" t="s">
        <v>89</v>
      </c>
      <c r="B62" s="83">
        <v>45880</v>
      </c>
      <c r="C62" s="24" t="str">
        <f t="shared" si="0"/>
        <v>087</v>
      </c>
      <c r="D62" s="24">
        <f t="shared" si="1"/>
        <v>87</v>
      </c>
      <c r="E62" s="24"/>
      <c r="F62" s="24"/>
      <c r="G62" s="15" t="s">
        <v>2923</v>
      </c>
      <c r="H62" s="13" t="s">
        <v>1008</v>
      </c>
      <c r="I62" s="13">
        <v>1111</v>
      </c>
      <c r="J62" s="24">
        <v>112111</v>
      </c>
      <c r="K62" s="24" t="s">
        <v>21</v>
      </c>
      <c r="L62" s="24">
        <v>1</v>
      </c>
      <c r="M62" s="39">
        <v>50000000</v>
      </c>
      <c r="N62" s="39">
        <f t="shared" si="2"/>
        <v>50000000</v>
      </c>
      <c r="O62" s="24" t="s">
        <v>22</v>
      </c>
      <c r="P62" s="24"/>
      <c r="S62"/>
    </row>
    <row r="63" spans="1:19" ht="15" customHeight="1" x14ac:dyDescent="0.25">
      <c r="A63" s="24" t="s">
        <v>89</v>
      </c>
      <c r="B63" s="83">
        <v>45884</v>
      </c>
      <c r="C63" s="24" t="str">
        <f t="shared" si="0"/>
        <v>088</v>
      </c>
      <c r="D63" s="24">
        <f t="shared" si="1"/>
        <v>88</v>
      </c>
      <c r="E63" s="24"/>
      <c r="F63" s="24"/>
      <c r="G63" s="15" t="s">
        <v>2923</v>
      </c>
      <c r="H63" s="13" t="s">
        <v>1008</v>
      </c>
      <c r="I63" s="13">
        <v>1111</v>
      </c>
      <c r="J63" s="24">
        <v>112111</v>
      </c>
      <c r="K63" s="24" t="s">
        <v>21</v>
      </c>
      <c r="L63" s="24">
        <v>1</v>
      </c>
      <c r="M63" s="39">
        <v>103000000</v>
      </c>
      <c r="N63" s="39">
        <f t="shared" si="2"/>
        <v>103000000</v>
      </c>
      <c r="O63" s="24" t="s">
        <v>22</v>
      </c>
      <c r="P63" s="24"/>
      <c r="S63"/>
    </row>
    <row r="64" spans="1:19" ht="15" customHeight="1" x14ac:dyDescent="0.25">
      <c r="A64" s="24" t="s">
        <v>89</v>
      </c>
      <c r="B64" s="83">
        <v>45887</v>
      </c>
      <c r="C64" s="24" t="str">
        <f t="shared" si="0"/>
        <v>089</v>
      </c>
      <c r="D64" s="24">
        <f t="shared" si="1"/>
        <v>89</v>
      </c>
      <c r="E64" s="24"/>
      <c r="F64" s="24"/>
      <c r="G64" s="15" t="s">
        <v>2923</v>
      </c>
      <c r="H64" s="13" t="s">
        <v>1008</v>
      </c>
      <c r="I64" s="13">
        <v>1111</v>
      </c>
      <c r="J64" s="24">
        <v>112111</v>
      </c>
      <c r="K64" s="24" t="s">
        <v>21</v>
      </c>
      <c r="L64" s="24">
        <v>1</v>
      </c>
      <c r="M64" s="39">
        <v>20000000</v>
      </c>
      <c r="N64" s="39">
        <f t="shared" si="2"/>
        <v>20000000</v>
      </c>
      <c r="O64" s="24" t="s">
        <v>22</v>
      </c>
      <c r="P64" s="24"/>
      <c r="S64"/>
    </row>
    <row r="65" spans="1:19" ht="15" customHeight="1" x14ac:dyDescent="0.25">
      <c r="A65" s="24" t="s">
        <v>89</v>
      </c>
      <c r="B65" s="83">
        <v>45888</v>
      </c>
      <c r="C65" s="24" t="str">
        <f t="shared" si="0"/>
        <v>090</v>
      </c>
      <c r="D65" s="24">
        <f t="shared" si="1"/>
        <v>90</v>
      </c>
      <c r="E65" s="24"/>
      <c r="F65" s="24"/>
      <c r="G65" s="15" t="s">
        <v>2923</v>
      </c>
      <c r="H65" s="13" t="s">
        <v>1008</v>
      </c>
      <c r="I65" s="13">
        <v>1111</v>
      </c>
      <c r="J65" s="24">
        <v>112111</v>
      </c>
      <c r="K65" s="24" t="s">
        <v>21</v>
      </c>
      <c r="L65" s="24">
        <v>1</v>
      </c>
      <c r="M65" s="39">
        <v>20000000</v>
      </c>
      <c r="N65" s="39">
        <f t="shared" si="2"/>
        <v>20000000</v>
      </c>
      <c r="O65" s="24" t="s">
        <v>22</v>
      </c>
      <c r="P65" s="24"/>
      <c r="S65"/>
    </row>
    <row r="66" spans="1:19" ht="15" customHeight="1" x14ac:dyDescent="0.25">
      <c r="A66" s="24" t="s">
        <v>33</v>
      </c>
      <c r="B66" s="83">
        <v>45889</v>
      </c>
      <c r="C66" s="24" t="str">
        <f t="shared" si="0"/>
        <v>091</v>
      </c>
      <c r="D66" s="24">
        <f t="shared" si="1"/>
        <v>91</v>
      </c>
      <c r="E66" s="24"/>
      <c r="F66" s="24"/>
      <c r="G66" s="37" t="s">
        <v>3191</v>
      </c>
      <c r="H66" s="24" t="s">
        <v>3853</v>
      </c>
      <c r="I66" s="24">
        <v>112111</v>
      </c>
      <c r="J66" s="24">
        <v>131</v>
      </c>
      <c r="K66" s="24" t="s">
        <v>21</v>
      </c>
      <c r="L66" s="24">
        <v>1</v>
      </c>
      <c r="M66" s="39">
        <v>30849000</v>
      </c>
      <c r="N66" s="39">
        <f t="shared" si="2"/>
        <v>30849000</v>
      </c>
      <c r="O66" s="24" t="s">
        <v>22</v>
      </c>
      <c r="P66" s="24"/>
      <c r="S66"/>
    </row>
    <row r="67" spans="1:19" ht="15" customHeight="1" x14ac:dyDescent="0.25">
      <c r="A67" s="24" t="s">
        <v>33</v>
      </c>
      <c r="B67" s="83">
        <v>45894</v>
      </c>
      <c r="C67" s="24" t="str">
        <f t="shared" si="0"/>
        <v>092</v>
      </c>
      <c r="D67" s="24">
        <f t="shared" si="1"/>
        <v>92</v>
      </c>
      <c r="E67" s="24"/>
      <c r="F67" s="24"/>
      <c r="G67" s="37" t="s">
        <v>3193</v>
      </c>
      <c r="H67" s="24" t="s">
        <v>3854</v>
      </c>
      <c r="I67" s="24">
        <v>112111</v>
      </c>
      <c r="J67" s="24">
        <v>131</v>
      </c>
      <c r="K67" s="24" t="s">
        <v>21</v>
      </c>
      <c r="L67" s="24">
        <v>1</v>
      </c>
      <c r="M67" s="39">
        <v>100000000</v>
      </c>
      <c r="N67" s="39">
        <f t="shared" si="2"/>
        <v>100000000</v>
      </c>
      <c r="O67" s="24" t="s">
        <v>22</v>
      </c>
      <c r="P67" s="24"/>
      <c r="S67"/>
    </row>
    <row r="68" spans="1:19" ht="15" customHeight="1" x14ac:dyDescent="0.25">
      <c r="A68" s="24" t="s">
        <v>89</v>
      </c>
      <c r="B68" s="83">
        <v>45894</v>
      </c>
      <c r="C68" s="24" t="str">
        <f t="shared" si="0"/>
        <v>093</v>
      </c>
      <c r="D68" s="24">
        <f t="shared" si="1"/>
        <v>93</v>
      </c>
      <c r="E68" s="24"/>
      <c r="F68" s="24"/>
      <c r="G68" s="15" t="s">
        <v>2923</v>
      </c>
      <c r="H68" s="13" t="s">
        <v>1008</v>
      </c>
      <c r="I68" s="13">
        <v>1111</v>
      </c>
      <c r="J68" s="24">
        <v>112111</v>
      </c>
      <c r="K68" s="24" t="s">
        <v>21</v>
      </c>
      <c r="L68" s="24">
        <v>1</v>
      </c>
      <c r="M68" s="39">
        <v>40000000</v>
      </c>
      <c r="N68" s="39">
        <f t="shared" si="2"/>
        <v>40000000</v>
      </c>
      <c r="O68" s="24" t="s">
        <v>22</v>
      </c>
      <c r="P68" s="24"/>
      <c r="S68"/>
    </row>
    <row r="69" spans="1:19" ht="15" customHeight="1" x14ac:dyDescent="0.25">
      <c r="A69" s="24" t="s">
        <v>89</v>
      </c>
      <c r="B69" s="83">
        <v>45896</v>
      </c>
      <c r="C69" s="24" t="str">
        <f t="shared" ref="C69:C96" si="3">TEXT(D69,"000")</f>
        <v>094</v>
      </c>
      <c r="D69" s="24">
        <f t="shared" ref="D69:D96" si="4">D68+1</f>
        <v>94</v>
      </c>
      <c r="E69" s="24"/>
      <c r="F69" s="24"/>
      <c r="G69" s="15" t="s">
        <v>2923</v>
      </c>
      <c r="H69" s="13" t="s">
        <v>1008</v>
      </c>
      <c r="I69" s="13">
        <v>1111</v>
      </c>
      <c r="J69" s="24">
        <v>112111</v>
      </c>
      <c r="K69" s="24" t="s">
        <v>21</v>
      </c>
      <c r="L69" s="24">
        <v>1</v>
      </c>
      <c r="M69" s="39">
        <v>20000000</v>
      </c>
      <c r="N69" s="39">
        <f t="shared" ref="N69:N96" si="5">L69*M69</f>
        <v>20000000</v>
      </c>
      <c r="O69" s="24" t="s">
        <v>22</v>
      </c>
      <c r="P69" s="24"/>
      <c r="S69"/>
    </row>
    <row r="70" spans="1:19" ht="15" customHeight="1" x14ac:dyDescent="0.25">
      <c r="A70" s="24" t="s">
        <v>89</v>
      </c>
      <c r="B70" s="83">
        <v>45896</v>
      </c>
      <c r="C70" s="24" t="str">
        <f t="shared" si="3"/>
        <v>095</v>
      </c>
      <c r="D70" s="24">
        <f t="shared" si="4"/>
        <v>95</v>
      </c>
      <c r="E70" s="24"/>
      <c r="F70" s="24"/>
      <c r="G70" s="15" t="s">
        <v>2923</v>
      </c>
      <c r="H70" s="13" t="s">
        <v>1008</v>
      </c>
      <c r="I70" s="13">
        <v>1111</v>
      </c>
      <c r="J70" s="24">
        <v>112111</v>
      </c>
      <c r="K70" s="24" t="s">
        <v>21</v>
      </c>
      <c r="L70" s="24">
        <v>1</v>
      </c>
      <c r="M70" s="39">
        <v>10000000</v>
      </c>
      <c r="N70" s="39">
        <f t="shared" si="5"/>
        <v>10000000</v>
      </c>
      <c r="O70" s="24" t="s">
        <v>22</v>
      </c>
      <c r="P70" s="24"/>
      <c r="S70"/>
    </row>
    <row r="71" spans="1:19" ht="15" customHeight="1" x14ac:dyDescent="0.25">
      <c r="A71" s="24" t="s">
        <v>33</v>
      </c>
      <c r="B71" s="83">
        <v>45896</v>
      </c>
      <c r="C71" s="24" t="str">
        <f t="shared" si="3"/>
        <v>096</v>
      </c>
      <c r="D71" s="24">
        <f t="shared" si="4"/>
        <v>96</v>
      </c>
      <c r="E71" s="24"/>
      <c r="F71" s="24"/>
      <c r="G71" s="15" t="s">
        <v>2923</v>
      </c>
      <c r="H71" s="24" t="s">
        <v>129</v>
      </c>
      <c r="I71" s="24">
        <v>112111</v>
      </c>
      <c r="J71" s="24">
        <v>5154</v>
      </c>
      <c r="K71" s="24" t="s">
        <v>21</v>
      </c>
      <c r="L71" s="24">
        <v>1</v>
      </c>
      <c r="M71" s="39">
        <v>1782</v>
      </c>
      <c r="N71" s="39">
        <f t="shared" si="5"/>
        <v>1782</v>
      </c>
      <c r="O71" s="24" t="s">
        <v>22</v>
      </c>
      <c r="P71" s="24"/>
      <c r="S71"/>
    </row>
    <row r="72" spans="1:19" ht="15" customHeight="1" x14ac:dyDescent="0.25">
      <c r="A72" s="24" t="s">
        <v>89</v>
      </c>
      <c r="B72" s="83">
        <v>45899</v>
      </c>
      <c r="C72" s="24" t="str">
        <f t="shared" si="3"/>
        <v>097</v>
      </c>
      <c r="D72" s="24">
        <f t="shared" si="4"/>
        <v>97</v>
      </c>
      <c r="E72" s="24"/>
      <c r="F72" s="24"/>
      <c r="G72" s="15" t="s">
        <v>2923</v>
      </c>
      <c r="H72" s="13" t="s">
        <v>1008</v>
      </c>
      <c r="I72" s="13">
        <v>1111</v>
      </c>
      <c r="J72" s="24">
        <v>112111</v>
      </c>
      <c r="K72" s="24" t="s">
        <v>21</v>
      </c>
      <c r="L72" s="24">
        <v>1</v>
      </c>
      <c r="M72" s="39">
        <v>20000000</v>
      </c>
      <c r="N72" s="39">
        <f t="shared" si="5"/>
        <v>20000000</v>
      </c>
      <c r="O72" s="24" t="s">
        <v>22</v>
      </c>
      <c r="P72" s="24"/>
      <c r="S72"/>
    </row>
    <row r="73" spans="1:19" ht="15" customHeight="1" x14ac:dyDescent="0.25">
      <c r="A73" s="24" t="s">
        <v>33</v>
      </c>
      <c r="B73" s="83">
        <v>45903</v>
      </c>
      <c r="C73" s="24" t="str">
        <f t="shared" si="3"/>
        <v>098</v>
      </c>
      <c r="D73" s="24">
        <f t="shared" si="4"/>
        <v>98</v>
      </c>
      <c r="E73" s="24"/>
      <c r="F73" s="24"/>
      <c r="G73" s="37" t="s">
        <v>1280</v>
      </c>
      <c r="H73" s="24" t="s">
        <v>3174</v>
      </c>
      <c r="I73" s="24">
        <v>112111</v>
      </c>
      <c r="J73" s="24">
        <v>131</v>
      </c>
      <c r="K73" s="24" t="s">
        <v>21</v>
      </c>
      <c r="L73" s="24">
        <v>1</v>
      </c>
      <c r="M73" s="39">
        <v>19000000</v>
      </c>
      <c r="N73" s="39">
        <f t="shared" si="5"/>
        <v>19000000</v>
      </c>
      <c r="O73" s="24" t="s">
        <v>22</v>
      </c>
      <c r="P73" s="24"/>
      <c r="S73"/>
    </row>
    <row r="74" spans="1:19" ht="15" customHeight="1" x14ac:dyDescent="0.25">
      <c r="A74" s="24" t="s">
        <v>89</v>
      </c>
      <c r="B74" s="83">
        <v>45903</v>
      </c>
      <c r="C74" s="24" t="str">
        <f t="shared" si="3"/>
        <v>099</v>
      </c>
      <c r="D74" s="24">
        <f t="shared" si="4"/>
        <v>99</v>
      </c>
      <c r="E74" s="24"/>
      <c r="F74" s="24"/>
      <c r="G74" s="15" t="s">
        <v>2923</v>
      </c>
      <c r="H74" s="13" t="s">
        <v>1008</v>
      </c>
      <c r="I74" s="13">
        <v>1111</v>
      </c>
      <c r="J74" s="24">
        <v>112111</v>
      </c>
      <c r="K74" s="24" t="s">
        <v>21</v>
      </c>
      <c r="L74" s="24">
        <v>1</v>
      </c>
      <c r="M74" s="39">
        <v>9000000</v>
      </c>
      <c r="N74" s="39">
        <f t="shared" si="5"/>
        <v>9000000</v>
      </c>
      <c r="O74" s="24" t="s">
        <v>22</v>
      </c>
      <c r="P74" s="24"/>
      <c r="S74"/>
    </row>
    <row r="75" spans="1:19" ht="15" customHeight="1" x14ac:dyDescent="0.25">
      <c r="A75" s="24" t="s">
        <v>89</v>
      </c>
      <c r="B75" s="83">
        <v>45903</v>
      </c>
      <c r="C75" s="24" t="str">
        <f t="shared" si="3"/>
        <v>100</v>
      </c>
      <c r="D75" s="24">
        <f t="shared" si="4"/>
        <v>100</v>
      </c>
      <c r="E75" s="24"/>
      <c r="F75" s="24"/>
      <c r="G75" s="37" t="s">
        <v>1235</v>
      </c>
      <c r="H75" s="24" t="s">
        <v>604</v>
      </c>
      <c r="I75" s="24">
        <v>3383</v>
      </c>
      <c r="J75" s="24">
        <v>112111</v>
      </c>
      <c r="K75" s="24" t="s">
        <v>21</v>
      </c>
      <c r="L75" s="24">
        <v>1</v>
      </c>
      <c r="M75" s="39">
        <v>5900000</v>
      </c>
      <c r="N75" s="39">
        <f t="shared" si="5"/>
        <v>5900000</v>
      </c>
      <c r="O75" s="24" t="s">
        <v>22</v>
      </c>
      <c r="P75" s="24"/>
      <c r="S75"/>
    </row>
    <row r="76" spans="1:19" ht="15" customHeight="1" x14ac:dyDescent="0.25">
      <c r="A76" s="24" t="s">
        <v>89</v>
      </c>
      <c r="B76" s="83">
        <v>45903</v>
      </c>
      <c r="C76" s="24" t="str">
        <f t="shared" si="3"/>
        <v>101</v>
      </c>
      <c r="D76" s="24">
        <f t="shared" si="4"/>
        <v>101</v>
      </c>
      <c r="E76" s="24"/>
      <c r="F76" s="24"/>
      <c r="G76" s="15" t="s">
        <v>2923</v>
      </c>
      <c r="H76" s="13" t="s">
        <v>1008</v>
      </c>
      <c r="I76" s="13">
        <v>1111</v>
      </c>
      <c r="J76" s="24">
        <v>112111</v>
      </c>
      <c r="K76" s="24" t="s">
        <v>21</v>
      </c>
      <c r="L76" s="24">
        <v>1</v>
      </c>
      <c r="M76" s="39">
        <v>15000000</v>
      </c>
      <c r="N76" s="39">
        <f t="shared" si="5"/>
        <v>15000000</v>
      </c>
      <c r="O76" s="24" t="s">
        <v>22</v>
      </c>
      <c r="P76" s="24"/>
      <c r="S76"/>
    </row>
    <row r="77" spans="1:19" ht="15" customHeight="1" x14ac:dyDescent="0.25">
      <c r="A77" s="24" t="s">
        <v>33</v>
      </c>
      <c r="B77" s="83">
        <v>45903</v>
      </c>
      <c r="C77" s="24" t="str">
        <f t="shared" si="3"/>
        <v>102</v>
      </c>
      <c r="D77" s="24">
        <f>D76+1</f>
        <v>102</v>
      </c>
      <c r="E77" s="24"/>
      <c r="F77" s="24"/>
      <c r="G77" s="37" t="s">
        <v>3194</v>
      </c>
      <c r="H77" s="24" t="s">
        <v>3862</v>
      </c>
      <c r="I77" s="24">
        <v>112111</v>
      </c>
      <c r="J77" s="24">
        <v>131</v>
      </c>
      <c r="K77" s="24" t="s">
        <v>21</v>
      </c>
      <c r="L77" s="24">
        <v>1</v>
      </c>
      <c r="M77" s="39">
        <v>73500000</v>
      </c>
      <c r="N77" s="39">
        <f t="shared" si="5"/>
        <v>73500000</v>
      </c>
      <c r="O77" s="24" t="s">
        <v>22</v>
      </c>
      <c r="P77" s="24"/>
      <c r="S77"/>
    </row>
    <row r="78" spans="1:19" ht="15" customHeight="1" x14ac:dyDescent="0.25">
      <c r="A78" s="24" t="s">
        <v>89</v>
      </c>
      <c r="B78" s="83">
        <v>45904</v>
      </c>
      <c r="C78" s="24" t="str">
        <f t="shared" si="3"/>
        <v>103</v>
      </c>
      <c r="D78" s="24">
        <f t="shared" si="4"/>
        <v>103</v>
      </c>
      <c r="E78" s="24"/>
      <c r="F78" s="24"/>
      <c r="G78" s="15" t="s">
        <v>2923</v>
      </c>
      <c r="H78" s="13" t="s">
        <v>1008</v>
      </c>
      <c r="I78" s="13">
        <v>1111</v>
      </c>
      <c r="J78" s="24">
        <v>112111</v>
      </c>
      <c r="K78" s="24" t="s">
        <v>21</v>
      </c>
      <c r="L78" s="24">
        <v>1</v>
      </c>
      <c r="M78" s="39">
        <v>20000000</v>
      </c>
      <c r="N78" s="39">
        <f t="shared" si="5"/>
        <v>20000000</v>
      </c>
      <c r="O78" s="24" t="s">
        <v>22</v>
      </c>
      <c r="P78" s="24"/>
      <c r="S78"/>
    </row>
    <row r="79" spans="1:19" ht="15" customHeight="1" x14ac:dyDescent="0.25">
      <c r="A79" s="24" t="s">
        <v>89</v>
      </c>
      <c r="B79" s="83">
        <v>45905</v>
      </c>
      <c r="C79" s="24" t="str">
        <f t="shared" si="3"/>
        <v>104</v>
      </c>
      <c r="D79" s="24">
        <f t="shared" si="4"/>
        <v>104</v>
      </c>
      <c r="E79" s="24"/>
      <c r="F79" s="24"/>
      <c r="G79" s="15" t="s">
        <v>2923</v>
      </c>
      <c r="H79" s="13" t="s">
        <v>1008</v>
      </c>
      <c r="I79" s="13">
        <v>1111</v>
      </c>
      <c r="J79" s="24">
        <v>112111</v>
      </c>
      <c r="K79" s="24" t="s">
        <v>21</v>
      </c>
      <c r="L79" s="24">
        <v>1</v>
      </c>
      <c r="M79" s="39">
        <v>20000000</v>
      </c>
      <c r="N79" s="39">
        <f t="shared" si="5"/>
        <v>20000000</v>
      </c>
      <c r="O79" s="24" t="s">
        <v>22</v>
      </c>
      <c r="P79" s="24"/>
      <c r="S79"/>
    </row>
    <row r="80" spans="1:19" ht="15" customHeight="1" x14ac:dyDescent="0.25">
      <c r="A80" s="24" t="s">
        <v>89</v>
      </c>
      <c r="B80" s="83">
        <v>45908</v>
      </c>
      <c r="C80" s="24" t="str">
        <f t="shared" si="3"/>
        <v>105</v>
      </c>
      <c r="D80" s="24">
        <f t="shared" si="4"/>
        <v>105</v>
      </c>
      <c r="E80" s="24"/>
      <c r="F80" s="24"/>
      <c r="G80" s="15" t="s">
        <v>2923</v>
      </c>
      <c r="H80" s="13" t="s">
        <v>1008</v>
      </c>
      <c r="I80" s="13">
        <v>1111</v>
      </c>
      <c r="J80" s="24">
        <v>112111</v>
      </c>
      <c r="K80" s="24" t="s">
        <v>21</v>
      </c>
      <c r="L80" s="24">
        <v>1</v>
      </c>
      <c r="M80" s="39">
        <v>20000000</v>
      </c>
      <c r="N80" s="39">
        <f t="shared" si="5"/>
        <v>20000000</v>
      </c>
      <c r="O80" s="24" t="s">
        <v>22</v>
      </c>
      <c r="P80" s="24"/>
      <c r="S80"/>
    </row>
    <row r="81" spans="1:19" ht="15" customHeight="1" x14ac:dyDescent="0.25">
      <c r="A81" s="24" t="s">
        <v>33</v>
      </c>
      <c r="B81" s="83">
        <v>45910</v>
      </c>
      <c r="C81" s="24" t="str">
        <f t="shared" si="3"/>
        <v>106</v>
      </c>
      <c r="D81" s="24">
        <f t="shared" si="4"/>
        <v>106</v>
      </c>
      <c r="E81" s="24"/>
      <c r="F81" s="24"/>
      <c r="G81" s="37" t="s">
        <v>3006</v>
      </c>
      <c r="H81" s="24" t="s">
        <v>3861</v>
      </c>
      <c r="I81" s="24">
        <v>112111</v>
      </c>
      <c r="J81" s="24">
        <v>131</v>
      </c>
      <c r="K81" s="24" t="s">
        <v>21</v>
      </c>
      <c r="L81" s="24">
        <v>1</v>
      </c>
      <c r="M81" s="39">
        <v>47903226</v>
      </c>
      <c r="N81" s="39">
        <f t="shared" si="5"/>
        <v>47903226</v>
      </c>
      <c r="O81" s="24" t="s">
        <v>22</v>
      </c>
      <c r="P81" s="24"/>
      <c r="S81"/>
    </row>
    <row r="82" spans="1:19" ht="15" customHeight="1" x14ac:dyDescent="0.25">
      <c r="A82" s="24" t="s">
        <v>89</v>
      </c>
      <c r="B82" s="83">
        <v>45910</v>
      </c>
      <c r="C82" s="24" t="str">
        <f t="shared" si="3"/>
        <v>107</v>
      </c>
      <c r="D82" s="24">
        <f t="shared" si="4"/>
        <v>107</v>
      </c>
      <c r="E82" s="24"/>
      <c r="F82" s="24"/>
      <c r="G82" s="15" t="s">
        <v>2923</v>
      </c>
      <c r="H82" s="13" t="s">
        <v>1008</v>
      </c>
      <c r="I82" s="13">
        <v>1111</v>
      </c>
      <c r="J82" s="24">
        <v>112111</v>
      </c>
      <c r="K82" s="24" t="s">
        <v>21</v>
      </c>
      <c r="L82" s="24">
        <v>1</v>
      </c>
      <c r="M82" s="39">
        <v>20000000</v>
      </c>
      <c r="N82" s="39">
        <f t="shared" si="5"/>
        <v>20000000</v>
      </c>
      <c r="O82" s="24" t="s">
        <v>22</v>
      </c>
      <c r="P82" s="24"/>
      <c r="S82"/>
    </row>
    <row r="83" spans="1:19" ht="15" customHeight="1" x14ac:dyDescent="0.25">
      <c r="A83" s="24" t="s">
        <v>33</v>
      </c>
      <c r="B83" s="83">
        <v>45911</v>
      </c>
      <c r="C83" s="24" t="str">
        <f t="shared" si="3"/>
        <v>108</v>
      </c>
      <c r="D83" s="24">
        <f t="shared" si="4"/>
        <v>108</v>
      </c>
      <c r="E83" s="24"/>
      <c r="F83" s="24"/>
      <c r="G83" s="37" t="s">
        <v>3190</v>
      </c>
      <c r="H83" s="24" t="s">
        <v>3855</v>
      </c>
      <c r="I83" s="24">
        <v>112111</v>
      </c>
      <c r="J83" s="24">
        <v>131</v>
      </c>
      <c r="K83" s="24" t="s">
        <v>21</v>
      </c>
      <c r="L83" s="24">
        <v>1</v>
      </c>
      <c r="M83" s="39">
        <v>11000000</v>
      </c>
      <c r="N83" s="39">
        <f t="shared" si="5"/>
        <v>11000000</v>
      </c>
      <c r="O83" s="24" t="s">
        <v>22</v>
      </c>
      <c r="P83" s="24"/>
      <c r="S83"/>
    </row>
    <row r="84" spans="1:19" ht="15" customHeight="1" x14ac:dyDescent="0.25">
      <c r="A84" s="24" t="s">
        <v>89</v>
      </c>
      <c r="B84" s="83">
        <v>45912</v>
      </c>
      <c r="C84" s="24" t="str">
        <f t="shared" si="3"/>
        <v>109</v>
      </c>
      <c r="D84" s="24">
        <f t="shared" si="4"/>
        <v>109</v>
      </c>
      <c r="E84" s="24"/>
      <c r="F84" s="24"/>
      <c r="G84" s="15" t="s">
        <v>2923</v>
      </c>
      <c r="H84" s="13" t="s">
        <v>1008</v>
      </c>
      <c r="I84" s="13">
        <v>1111</v>
      </c>
      <c r="J84" s="24">
        <v>112111</v>
      </c>
      <c r="K84" s="24" t="s">
        <v>21</v>
      </c>
      <c r="L84" s="24">
        <v>1</v>
      </c>
      <c r="M84" s="39">
        <v>30000000</v>
      </c>
      <c r="N84" s="39">
        <f t="shared" si="5"/>
        <v>30000000</v>
      </c>
      <c r="O84" s="24" t="s">
        <v>22</v>
      </c>
      <c r="P84" s="24"/>
      <c r="S84"/>
    </row>
    <row r="85" spans="1:19" ht="15" customHeight="1" x14ac:dyDescent="0.25">
      <c r="A85" s="24" t="s">
        <v>89</v>
      </c>
      <c r="B85" s="83">
        <v>45915</v>
      </c>
      <c r="C85" s="24" t="str">
        <f t="shared" si="3"/>
        <v>110</v>
      </c>
      <c r="D85" s="24">
        <f t="shared" si="4"/>
        <v>110</v>
      </c>
      <c r="E85" s="24"/>
      <c r="F85" s="24"/>
      <c r="G85" s="15" t="s">
        <v>2923</v>
      </c>
      <c r="H85" s="13" t="s">
        <v>1008</v>
      </c>
      <c r="I85" s="13">
        <v>1111</v>
      </c>
      <c r="J85" s="24">
        <v>112111</v>
      </c>
      <c r="K85" s="24" t="s">
        <v>21</v>
      </c>
      <c r="L85" s="24">
        <v>1</v>
      </c>
      <c r="M85" s="39">
        <v>12000000</v>
      </c>
      <c r="N85" s="39">
        <f t="shared" si="5"/>
        <v>12000000</v>
      </c>
      <c r="O85" s="24" t="s">
        <v>22</v>
      </c>
      <c r="P85" s="24"/>
      <c r="S85"/>
    </row>
    <row r="86" spans="1:19" ht="15" customHeight="1" x14ac:dyDescent="0.25">
      <c r="A86" s="24" t="s">
        <v>33</v>
      </c>
      <c r="B86" s="83">
        <v>45917</v>
      </c>
      <c r="C86" s="24" t="str">
        <f t="shared" si="3"/>
        <v>111</v>
      </c>
      <c r="D86" s="24">
        <f t="shared" si="4"/>
        <v>111</v>
      </c>
      <c r="E86" s="24"/>
      <c r="F86" s="24"/>
      <c r="G86" s="37" t="s">
        <v>287</v>
      </c>
      <c r="H86" s="24" t="s">
        <v>3856</v>
      </c>
      <c r="I86" s="24">
        <v>112111</v>
      </c>
      <c r="J86" s="24">
        <v>131</v>
      </c>
      <c r="K86" s="24" t="s">
        <v>21</v>
      </c>
      <c r="L86" s="24">
        <v>1</v>
      </c>
      <c r="M86" s="39">
        <v>12774194</v>
      </c>
      <c r="N86" s="39">
        <f t="shared" si="5"/>
        <v>12774194</v>
      </c>
      <c r="O86" s="24" t="s">
        <v>22</v>
      </c>
      <c r="P86" s="24"/>
      <c r="S86"/>
    </row>
    <row r="87" spans="1:19" ht="15" customHeight="1" x14ac:dyDescent="0.25">
      <c r="A87" s="24" t="s">
        <v>33</v>
      </c>
      <c r="B87" s="83">
        <v>45917</v>
      </c>
      <c r="C87" s="24" t="str">
        <f t="shared" si="3"/>
        <v>112</v>
      </c>
      <c r="D87" s="24">
        <f t="shared" si="4"/>
        <v>112</v>
      </c>
      <c r="E87" s="24"/>
      <c r="F87" s="24"/>
      <c r="G87" s="37" t="s">
        <v>3191</v>
      </c>
      <c r="H87" s="24" t="s">
        <v>3857</v>
      </c>
      <c r="I87" s="24">
        <v>112111</v>
      </c>
      <c r="J87" s="24">
        <v>131</v>
      </c>
      <c r="K87" s="24" t="s">
        <v>21</v>
      </c>
      <c r="L87" s="24">
        <v>1</v>
      </c>
      <c r="M87" s="39">
        <v>26957000</v>
      </c>
      <c r="N87" s="39">
        <f t="shared" si="5"/>
        <v>26957000</v>
      </c>
      <c r="O87" s="24" t="s">
        <v>22</v>
      </c>
      <c r="P87" s="24"/>
      <c r="S87"/>
    </row>
    <row r="88" spans="1:19" ht="15" customHeight="1" x14ac:dyDescent="0.25">
      <c r="A88" s="24" t="s">
        <v>89</v>
      </c>
      <c r="B88" s="83">
        <v>45919</v>
      </c>
      <c r="C88" s="24" t="str">
        <f t="shared" si="3"/>
        <v>113</v>
      </c>
      <c r="D88" s="24">
        <f t="shared" si="4"/>
        <v>113</v>
      </c>
      <c r="E88" s="24"/>
      <c r="F88" s="24"/>
      <c r="G88" s="15" t="s">
        <v>2923</v>
      </c>
      <c r="H88" s="13" t="s">
        <v>1008</v>
      </c>
      <c r="I88" s="13">
        <v>1111</v>
      </c>
      <c r="J88" s="24">
        <v>112111</v>
      </c>
      <c r="K88" s="24" t="s">
        <v>21</v>
      </c>
      <c r="L88" s="24">
        <v>1</v>
      </c>
      <c r="M88" s="39">
        <v>30000000</v>
      </c>
      <c r="N88" s="39">
        <f t="shared" si="5"/>
        <v>30000000</v>
      </c>
      <c r="O88" s="24" t="s">
        <v>22</v>
      </c>
      <c r="P88" s="24"/>
      <c r="S88"/>
    </row>
    <row r="89" spans="1:19" ht="15" customHeight="1" x14ac:dyDescent="0.25">
      <c r="A89" s="24" t="s">
        <v>33</v>
      </c>
      <c r="B89" s="83">
        <v>45923</v>
      </c>
      <c r="C89" s="24" t="str">
        <f t="shared" si="3"/>
        <v>114</v>
      </c>
      <c r="D89" s="24">
        <f t="shared" si="4"/>
        <v>114</v>
      </c>
      <c r="E89" s="24"/>
      <c r="F89" s="24"/>
      <c r="G89" s="37" t="s">
        <v>1235</v>
      </c>
      <c r="H89" s="24" t="s">
        <v>3858</v>
      </c>
      <c r="I89" s="24">
        <v>112111</v>
      </c>
      <c r="J89" s="24">
        <v>3388</v>
      </c>
      <c r="K89" s="24" t="s">
        <v>21</v>
      </c>
      <c r="L89" s="24">
        <v>1</v>
      </c>
      <c r="M89" s="39">
        <v>250000000</v>
      </c>
      <c r="N89" s="39">
        <f t="shared" si="5"/>
        <v>250000000</v>
      </c>
      <c r="O89" s="24" t="s">
        <v>22</v>
      </c>
      <c r="P89" s="24"/>
      <c r="S89"/>
    </row>
    <row r="90" spans="1:19" ht="15" customHeight="1" x14ac:dyDescent="0.25">
      <c r="A90" s="24" t="s">
        <v>89</v>
      </c>
      <c r="B90" s="83">
        <v>45923</v>
      </c>
      <c r="C90" s="24" t="str">
        <f t="shared" si="3"/>
        <v>115</v>
      </c>
      <c r="D90" s="24">
        <f t="shared" si="4"/>
        <v>115</v>
      </c>
      <c r="E90" s="24"/>
      <c r="F90" s="24"/>
      <c r="G90" s="37" t="s">
        <v>1235</v>
      </c>
      <c r="H90" s="24" t="s">
        <v>3859</v>
      </c>
      <c r="I90" s="24">
        <v>3388</v>
      </c>
      <c r="J90" s="24">
        <v>112111</v>
      </c>
      <c r="K90" s="24" t="s">
        <v>21</v>
      </c>
      <c r="L90" s="24">
        <v>1</v>
      </c>
      <c r="M90" s="39">
        <v>250000000</v>
      </c>
      <c r="N90" s="39">
        <f t="shared" si="5"/>
        <v>250000000</v>
      </c>
      <c r="O90" s="24" t="s">
        <v>22</v>
      </c>
      <c r="P90" s="24"/>
      <c r="S90"/>
    </row>
    <row r="91" spans="1:19" ht="15" customHeight="1" x14ac:dyDescent="0.25">
      <c r="A91" s="24" t="s">
        <v>33</v>
      </c>
      <c r="B91" s="83">
        <v>45923</v>
      </c>
      <c r="C91" s="24" t="str">
        <f t="shared" si="3"/>
        <v>116</v>
      </c>
      <c r="D91" s="24">
        <f t="shared" si="4"/>
        <v>116</v>
      </c>
      <c r="E91" s="24"/>
      <c r="F91" s="24"/>
      <c r="G91" s="37" t="s">
        <v>3196</v>
      </c>
      <c r="H91" s="24" t="s">
        <v>3860</v>
      </c>
      <c r="I91" s="24">
        <v>112111</v>
      </c>
      <c r="J91" s="24">
        <v>131</v>
      </c>
      <c r="K91" s="24" t="s">
        <v>21</v>
      </c>
      <c r="L91" s="24">
        <v>1</v>
      </c>
      <c r="M91" s="39">
        <v>250000000</v>
      </c>
      <c r="N91" s="39">
        <f t="shared" si="5"/>
        <v>250000000</v>
      </c>
      <c r="O91" s="24" t="s">
        <v>22</v>
      </c>
      <c r="P91" s="24"/>
      <c r="S91"/>
    </row>
    <row r="92" spans="1:19" ht="15" customHeight="1" x14ac:dyDescent="0.25">
      <c r="A92" s="24" t="s">
        <v>89</v>
      </c>
      <c r="B92" s="83">
        <v>45924</v>
      </c>
      <c r="C92" s="24" t="str">
        <f t="shared" si="3"/>
        <v>117</v>
      </c>
      <c r="D92" s="24">
        <f t="shared" si="4"/>
        <v>117</v>
      </c>
      <c r="E92" s="24"/>
      <c r="F92" s="24"/>
      <c r="G92" s="15" t="s">
        <v>2923</v>
      </c>
      <c r="H92" s="13" t="s">
        <v>1008</v>
      </c>
      <c r="I92" s="13">
        <v>1111</v>
      </c>
      <c r="J92" s="24">
        <v>112111</v>
      </c>
      <c r="K92" s="24" t="s">
        <v>21</v>
      </c>
      <c r="L92" s="24">
        <v>1</v>
      </c>
      <c r="M92" s="39">
        <v>15000000</v>
      </c>
      <c r="N92" s="39">
        <f t="shared" si="5"/>
        <v>15000000</v>
      </c>
      <c r="O92" s="24" t="s">
        <v>22</v>
      </c>
      <c r="P92" s="24"/>
      <c r="S92"/>
    </row>
    <row r="93" spans="1:19" ht="15" customHeight="1" x14ac:dyDescent="0.25">
      <c r="A93" s="24" t="s">
        <v>89</v>
      </c>
      <c r="B93" s="83">
        <v>45926</v>
      </c>
      <c r="C93" s="24" t="str">
        <f t="shared" si="3"/>
        <v>118</v>
      </c>
      <c r="D93" s="24">
        <f t="shared" si="4"/>
        <v>118</v>
      </c>
      <c r="E93" s="24"/>
      <c r="F93" s="24"/>
      <c r="G93" s="15" t="s">
        <v>2923</v>
      </c>
      <c r="H93" s="13" t="s">
        <v>1008</v>
      </c>
      <c r="I93" s="13">
        <v>1111</v>
      </c>
      <c r="J93" s="24">
        <v>112111</v>
      </c>
      <c r="K93" s="24" t="s">
        <v>21</v>
      </c>
      <c r="L93" s="24">
        <v>1</v>
      </c>
      <c r="M93" s="39">
        <v>110000000</v>
      </c>
      <c r="N93" s="39">
        <f t="shared" si="5"/>
        <v>110000000</v>
      </c>
      <c r="O93" s="24" t="s">
        <v>22</v>
      </c>
      <c r="P93" s="24"/>
      <c r="S93"/>
    </row>
    <row r="94" spans="1:19" ht="15" customHeight="1" x14ac:dyDescent="0.25">
      <c r="A94" s="24" t="s">
        <v>33</v>
      </c>
      <c r="B94" s="83">
        <v>45927</v>
      </c>
      <c r="C94" s="24" t="str">
        <f t="shared" si="3"/>
        <v>119</v>
      </c>
      <c r="D94" s="24">
        <f t="shared" si="4"/>
        <v>119</v>
      </c>
      <c r="E94" s="24"/>
      <c r="F94" s="24"/>
      <c r="G94" s="15" t="s">
        <v>2923</v>
      </c>
      <c r="H94" s="24" t="s">
        <v>129</v>
      </c>
      <c r="I94" s="24">
        <v>112111</v>
      </c>
      <c r="J94" s="24">
        <v>5154</v>
      </c>
      <c r="K94" s="24" t="s">
        <v>21</v>
      </c>
      <c r="L94" s="24">
        <v>1</v>
      </c>
      <c r="M94" s="39">
        <v>2106</v>
      </c>
      <c r="N94" s="39">
        <f t="shared" si="5"/>
        <v>2106</v>
      </c>
      <c r="O94" s="24" t="s">
        <v>22</v>
      </c>
      <c r="P94" s="24"/>
      <c r="S94"/>
    </row>
    <row r="95" spans="1:19" ht="15" customHeight="1" x14ac:dyDescent="0.25">
      <c r="A95" s="24" t="s">
        <v>33</v>
      </c>
      <c r="B95" s="83">
        <v>45929</v>
      </c>
      <c r="C95" s="24" t="str">
        <f t="shared" si="3"/>
        <v>120</v>
      </c>
      <c r="D95" s="24">
        <f t="shared" si="4"/>
        <v>120</v>
      </c>
      <c r="E95" s="24"/>
      <c r="F95" s="24"/>
      <c r="G95" s="37" t="s">
        <v>3195</v>
      </c>
      <c r="H95" s="24" t="s">
        <v>3186</v>
      </c>
      <c r="I95" s="24">
        <v>112111</v>
      </c>
      <c r="J95" s="24">
        <v>131</v>
      </c>
      <c r="K95" s="24" t="s">
        <v>21</v>
      </c>
      <c r="L95" s="24">
        <v>1</v>
      </c>
      <c r="M95" s="39">
        <v>15967742</v>
      </c>
      <c r="N95" s="39">
        <f t="shared" si="5"/>
        <v>15967742</v>
      </c>
      <c r="O95" s="24" t="s">
        <v>22</v>
      </c>
      <c r="P95" s="24"/>
      <c r="S95"/>
    </row>
    <row r="96" spans="1:19" ht="15" customHeight="1" x14ac:dyDescent="0.25">
      <c r="A96" s="24" t="s">
        <v>89</v>
      </c>
      <c r="B96" s="83">
        <v>45929</v>
      </c>
      <c r="C96" s="24" t="str">
        <f t="shared" si="3"/>
        <v>121</v>
      </c>
      <c r="D96" s="24">
        <f t="shared" si="4"/>
        <v>121</v>
      </c>
      <c r="E96" s="24"/>
      <c r="F96" s="24"/>
      <c r="G96" s="15" t="s">
        <v>2923</v>
      </c>
      <c r="H96" s="13" t="s">
        <v>1008</v>
      </c>
      <c r="I96" s="13">
        <v>1111</v>
      </c>
      <c r="J96" s="24">
        <v>112111</v>
      </c>
      <c r="K96" s="24" t="s">
        <v>21</v>
      </c>
      <c r="L96" s="24">
        <v>1</v>
      </c>
      <c r="M96" s="39">
        <v>35000000</v>
      </c>
      <c r="N96" s="39">
        <f t="shared" si="5"/>
        <v>35000000</v>
      </c>
      <c r="O96" s="24" t="s">
        <v>22</v>
      </c>
      <c r="P96" s="24"/>
      <c r="S96"/>
    </row>
    <row r="97" spans="1:16" ht="15" customHeight="1" x14ac:dyDescent="0.25">
      <c r="A97" s="24"/>
      <c r="B97" s="83"/>
      <c r="C97" s="24"/>
      <c r="D97" s="24"/>
      <c r="E97" s="24"/>
      <c r="F97" s="24"/>
      <c r="G97" s="37"/>
      <c r="H97" s="24"/>
      <c r="I97" s="24"/>
      <c r="J97" s="24"/>
      <c r="K97" s="24"/>
      <c r="L97" s="24"/>
      <c r="M97" s="39"/>
      <c r="N97" s="39"/>
      <c r="O97" s="24"/>
      <c r="P97" s="24"/>
    </row>
    <row r="98" spans="1:16" ht="15" customHeight="1" x14ac:dyDescent="0.25">
      <c r="A98" s="24"/>
      <c r="B98" s="83"/>
      <c r="C98" s="24"/>
      <c r="D98" s="24"/>
      <c r="E98" s="24"/>
      <c r="F98" s="24"/>
      <c r="G98" s="37"/>
      <c r="H98" s="24"/>
      <c r="I98" s="24"/>
      <c r="J98" s="24"/>
      <c r="K98" s="24"/>
      <c r="L98" s="24"/>
      <c r="M98" s="39"/>
      <c r="N98" s="39"/>
      <c r="O98" s="24"/>
      <c r="P98" s="24"/>
    </row>
    <row r="99" spans="1:16" ht="15" customHeight="1" x14ac:dyDescent="0.25">
      <c r="A99" s="24"/>
      <c r="B99" s="83"/>
      <c r="C99" s="24"/>
      <c r="D99" s="24"/>
      <c r="E99" s="24"/>
      <c r="F99" s="24"/>
      <c r="G99" s="37"/>
      <c r="H99" s="24"/>
      <c r="I99" s="24"/>
      <c r="J99" s="24"/>
      <c r="K99" s="24"/>
      <c r="L99" s="24"/>
      <c r="M99" s="39"/>
      <c r="N99" s="39"/>
      <c r="O99" s="24"/>
      <c r="P99" s="24"/>
    </row>
    <row r="100" spans="1:16" ht="15" customHeight="1" x14ac:dyDescent="0.25">
      <c r="A100" s="24"/>
      <c r="B100" s="83"/>
      <c r="C100" s="24"/>
      <c r="D100" s="24"/>
      <c r="E100" s="24"/>
      <c r="F100" s="24"/>
      <c r="G100" s="37"/>
      <c r="H100" s="24"/>
      <c r="I100" s="24"/>
      <c r="J100" s="24"/>
      <c r="K100" s="24"/>
      <c r="L100" s="24"/>
      <c r="M100" s="39"/>
      <c r="N100" s="39"/>
      <c r="O100" s="24"/>
      <c r="P100" s="24"/>
    </row>
    <row r="101" spans="1:16" ht="15" customHeight="1" x14ac:dyDescent="0.25">
      <c r="A101" s="24"/>
      <c r="B101" s="83"/>
      <c r="C101" s="24"/>
      <c r="D101" s="24"/>
      <c r="E101" s="24"/>
      <c r="F101" s="24"/>
      <c r="G101" s="37"/>
      <c r="H101" s="24"/>
      <c r="I101" s="24"/>
      <c r="J101" s="24"/>
      <c r="K101" s="24"/>
      <c r="L101" s="24"/>
      <c r="M101" s="39"/>
      <c r="N101" s="39"/>
      <c r="O101" s="24"/>
      <c r="P101" s="24"/>
    </row>
    <row r="102" spans="1:16" ht="15" customHeight="1" x14ac:dyDescent="0.25">
      <c r="A102" s="24"/>
      <c r="B102" s="83"/>
      <c r="C102" s="24"/>
      <c r="D102" s="24"/>
      <c r="E102" s="24"/>
      <c r="F102" s="24"/>
      <c r="G102" s="37"/>
      <c r="H102" s="24"/>
      <c r="I102" s="24"/>
      <c r="J102" s="24"/>
      <c r="K102" s="24"/>
      <c r="L102" s="24"/>
      <c r="M102" s="39"/>
      <c r="N102" s="39"/>
      <c r="O102" s="24"/>
      <c r="P102" s="24"/>
    </row>
    <row r="103" spans="1:16" ht="15" customHeight="1" x14ac:dyDescent="0.25">
      <c r="A103" s="24"/>
      <c r="B103" s="83"/>
      <c r="C103" s="24"/>
      <c r="D103" s="24"/>
      <c r="E103" s="24"/>
      <c r="F103" s="24"/>
      <c r="G103" s="37"/>
      <c r="H103" s="24"/>
      <c r="I103" s="24"/>
      <c r="J103" s="24"/>
      <c r="K103" s="24"/>
      <c r="L103" s="24"/>
      <c r="M103" s="39"/>
      <c r="N103" s="39"/>
      <c r="O103" s="24"/>
      <c r="P103" s="24"/>
    </row>
    <row r="104" spans="1:16" ht="15" customHeight="1" x14ac:dyDescent="0.25">
      <c r="A104" s="24"/>
      <c r="B104" s="83"/>
      <c r="C104" s="24"/>
      <c r="D104" s="24"/>
      <c r="E104" s="24"/>
      <c r="F104" s="24"/>
      <c r="G104" s="37"/>
      <c r="H104" s="24"/>
      <c r="I104" s="24"/>
      <c r="J104" s="24"/>
      <c r="K104" s="24"/>
      <c r="L104" s="24"/>
      <c r="M104" s="39"/>
      <c r="N104" s="39"/>
      <c r="O104" s="24"/>
      <c r="P104" s="24"/>
    </row>
    <row r="105" spans="1:16" ht="15" customHeight="1" x14ac:dyDescent="0.25">
      <c r="A105" s="24"/>
      <c r="B105" s="83"/>
      <c r="C105" s="24"/>
      <c r="D105" s="24"/>
      <c r="E105" s="24"/>
      <c r="F105" s="24"/>
      <c r="G105" s="37"/>
      <c r="H105" s="24"/>
      <c r="I105" s="24"/>
      <c r="J105" s="24"/>
      <c r="K105" s="24"/>
      <c r="L105" s="24"/>
      <c r="M105" s="39"/>
      <c r="N105" s="39"/>
      <c r="O105" s="24"/>
      <c r="P105" s="24"/>
    </row>
    <row r="106" spans="1:16" ht="15" customHeight="1" x14ac:dyDescent="0.25">
      <c r="A106" s="24"/>
      <c r="B106" s="83"/>
      <c r="C106" s="24"/>
      <c r="D106" s="24"/>
      <c r="E106" s="24"/>
      <c r="F106" s="24"/>
      <c r="G106" s="37"/>
      <c r="H106" s="24"/>
      <c r="I106" s="24"/>
      <c r="J106" s="24"/>
      <c r="K106" s="24"/>
      <c r="L106" s="24"/>
      <c r="M106" s="39"/>
      <c r="N106" s="39"/>
      <c r="O106" s="24"/>
      <c r="P106" s="24"/>
    </row>
    <row r="107" spans="1:16" ht="15" customHeight="1" x14ac:dyDescent="0.25">
      <c r="A107" s="24"/>
      <c r="B107" s="83"/>
      <c r="C107" s="24"/>
      <c r="D107" s="24"/>
      <c r="E107" s="24"/>
      <c r="F107" s="24"/>
      <c r="G107" s="37"/>
      <c r="H107" s="24"/>
      <c r="I107" s="24"/>
      <c r="J107" s="24"/>
      <c r="K107" s="24"/>
      <c r="L107" s="24"/>
      <c r="M107" s="39"/>
      <c r="N107" s="39"/>
      <c r="O107" s="24"/>
      <c r="P107" s="24"/>
    </row>
    <row r="108" spans="1:16" ht="15" customHeight="1" x14ac:dyDescent="0.25">
      <c r="A108" s="24"/>
      <c r="B108" s="83"/>
      <c r="C108" s="24"/>
      <c r="D108" s="24"/>
      <c r="E108" s="24"/>
      <c r="F108" s="24"/>
      <c r="G108" s="37"/>
      <c r="H108" s="24"/>
      <c r="I108" s="24"/>
      <c r="J108" s="24"/>
      <c r="K108" s="24"/>
      <c r="L108" s="24"/>
      <c r="M108" s="39"/>
      <c r="N108" s="39"/>
      <c r="O108" s="24"/>
      <c r="P108" s="24"/>
    </row>
  </sheetData>
  <autoFilter ref="A3:P96" xr:uid="{00000000-0009-0000-0000-000014000000}"/>
  <mergeCells count="13">
    <mergeCell ref="N1:N2"/>
    <mergeCell ref="G1:G2"/>
    <mergeCell ref="H1:H2"/>
    <mergeCell ref="I1:J1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65"/>
  <sheetViews>
    <sheetView topLeftCell="A13" workbookViewId="0">
      <selection activeCell="D33" sqref="D33"/>
    </sheetView>
  </sheetViews>
  <sheetFormatPr defaultRowHeight="15" x14ac:dyDescent="0.25"/>
  <cols>
    <col min="2" max="2" width="10.7109375" style="115" bestFit="1" customWidth="1"/>
    <col min="8" max="8" width="28.140625" customWidth="1"/>
    <col min="13" max="14" width="10.42578125" bestFit="1" customWidth="1"/>
    <col min="18" max="28" width="9.140625" style="80"/>
  </cols>
  <sheetData>
    <row r="1" spans="1:16" ht="15.75" thickBot="1" x14ac:dyDescent="0.3">
      <c r="A1" s="177" t="s">
        <v>0</v>
      </c>
      <c r="B1" s="192" t="s">
        <v>1</v>
      </c>
      <c r="C1" s="177" t="s">
        <v>2</v>
      </c>
      <c r="D1" s="175" t="s">
        <v>3</v>
      </c>
      <c r="E1" s="175" t="s">
        <v>4</v>
      </c>
      <c r="F1" s="175" t="s">
        <v>5</v>
      </c>
      <c r="G1" s="180" t="s">
        <v>6</v>
      </c>
      <c r="H1" s="182" t="s">
        <v>7</v>
      </c>
      <c r="I1" s="184" t="s">
        <v>8</v>
      </c>
      <c r="J1" s="185"/>
      <c r="K1" s="177" t="s">
        <v>9</v>
      </c>
      <c r="L1" s="177" t="s">
        <v>10</v>
      </c>
      <c r="M1" s="190" t="s">
        <v>1287</v>
      </c>
      <c r="N1" s="190" t="s">
        <v>1288</v>
      </c>
      <c r="O1" s="49" t="s">
        <v>1289</v>
      </c>
      <c r="P1" s="42"/>
    </row>
    <row r="2" spans="1:16" ht="15.75" thickBot="1" x14ac:dyDescent="0.3">
      <c r="A2" s="178"/>
      <c r="B2" s="193"/>
      <c r="C2" s="178"/>
      <c r="D2" s="179"/>
      <c r="E2" s="179"/>
      <c r="F2" s="176"/>
      <c r="G2" s="181"/>
      <c r="H2" s="183"/>
      <c r="I2" s="50" t="s">
        <v>13</v>
      </c>
      <c r="J2" s="51" t="s">
        <v>14</v>
      </c>
      <c r="K2" s="178"/>
      <c r="L2" s="178"/>
      <c r="M2" s="191"/>
      <c r="N2" s="191"/>
      <c r="O2" s="42" t="s">
        <v>1289</v>
      </c>
      <c r="P2" s="42"/>
    </row>
    <row r="3" spans="1:16" x14ac:dyDescent="0.25">
      <c r="A3" s="52"/>
      <c r="B3" s="92"/>
      <c r="C3" s="52"/>
      <c r="D3" s="53">
        <v>1</v>
      </c>
      <c r="E3" s="53"/>
      <c r="F3" s="53"/>
      <c r="G3" s="78" t="s">
        <v>15</v>
      </c>
      <c r="H3" s="54"/>
      <c r="I3" s="54"/>
      <c r="J3" s="54"/>
      <c r="K3" s="52"/>
      <c r="L3" s="52"/>
      <c r="M3" s="89"/>
      <c r="N3" s="89"/>
      <c r="O3" s="42" t="s">
        <v>16</v>
      </c>
      <c r="P3" s="42" t="s">
        <v>17</v>
      </c>
    </row>
    <row r="4" spans="1:16" x14ac:dyDescent="0.25">
      <c r="A4" s="24" t="s">
        <v>18</v>
      </c>
      <c r="B4" s="83" t="s">
        <v>1532</v>
      </c>
      <c r="C4" s="24" t="str">
        <f>TEXT(D4,"000")</f>
        <v>002</v>
      </c>
      <c r="D4" s="24">
        <f>D3+1</f>
        <v>2</v>
      </c>
      <c r="E4" s="24"/>
      <c r="F4" s="24"/>
      <c r="G4" s="24" t="s">
        <v>1077</v>
      </c>
      <c r="H4" s="24" t="s">
        <v>3201</v>
      </c>
      <c r="I4" s="24">
        <v>131</v>
      </c>
      <c r="J4" s="24">
        <v>5113</v>
      </c>
      <c r="K4" s="24" t="s">
        <v>21</v>
      </c>
      <c r="L4" s="24">
        <v>1</v>
      </c>
      <c r="M4" s="39">
        <v>17120000</v>
      </c>
      <c r="N4" s="39">
        <f>L4*M4</f>
        <v>17120000</v>
      </c>
      <c r="O4" s="24" t="s">
        <v>22</v>
      </c>
      <c r="P4" s="24"/>
    </row>
    <row r="5" spans="1:16" x14ac:dyDescent="0.25">
      <c r="A5" s="24" t="s">
        <v>18</v>
      </c>
      <c r="B5" s="83" t="s">
        <v>2046</v>
      </c>
      <c r="C5" s="24" t="str">
        <f t="shared" ref="C5:C54" si="0">TEXT(D5,"000")</f>
        <v>003</v>
      </c>
      <c r="D5" s="24">
        <f t="shared" ref="D5:D54" si="1">D4+1</f>
        <v>3</v>
      </c>
      <c r="E5" s="24"/>
      <c r="F5" s="24"/>
      <c r="G5" s="24" t="s">
        <v>1430</v>
      </c>
      <c r="H5" s="24" t="s">
        <v>3202</v>
      </c>
      <c r="I5" s="24">
        <v>131</v>
      </c>
      <c r="J5" s="24">
        <v>5113</v>
      </c>
      <c r="K5" s="24" t="s">
        <v>21</v>
      </c>
      <c r="L5" s="24">
        <v>1</v>
      </c>
      <c r="M5" s="39">
        <v>10808081</v>
      </c>
      <c r="N5" s="39">
        <f t="shared" ref="N5:N31" si="2">L5*M5</f>
        <v>10808081</v>
      </c>
      <c r="O5" s="24" t="s">
        <v>22</v>
      </c>
      <c r="P5" s="24"/>
    </row>
    <row r="6" spans="1:16" x14ac:dyDescent="0.25">
      <c r="A6" s="24" t="s">
        <v>18</v>
      </c>
      <c r="B6" s="83" t="s">
        <v>2046</v>
      </c>
      <c r="C6" s="24" t="str">
        <f t="shared" si="0"/>
        <v>004</v>
      </c>
      <c r="D6" s="24">
        <f t="shared" si="1"/>
        <v>4</v>
      </c>
      <c r="E6" s="24"/>
      <c r="F6" s="24"/>
      <c r="G6" s="24" t="s">
        <v>1430</v>
      </c>
      <c r="H6" s="24" t="s">
        <v>3203</v>
      </c>
      <c r="I6" s="24">
        <v>333821</v>
      </c>
      <c r="J6" s="24">
        <v>131</v>
      </c>
      <c r="K6" s="24" t="s">
        <v>21</v>
      </c>
      <c r="L6" s="24">
        <v>1</v>
      </c>
      <c r="M6" s="39">
        <v>108081</v>
      </c>
      <c r="N6" s="39">
        <f t="shared" si="2"/>
        <v>108081</v>
      </c>
      <c r="O6" s="24" t="s">
        <v>22</v>
      </c>
      <c r="P6" s="24"/>
    </row>
    <row r="7" spans="1:16" x14ac:dyDescent="0.25">
      <c r="A7" s="24" t="s">
        <v>18</v>
      </c>
      <c r="B7" s="83" t="s">
        <v>1534</v>
      </c>
      <c r="C7" s="24" t="str">
        <f t="shared" si="0"/>
        <v>005</v>
      </c>
      <c r="D7" s="24">
        <f t="shared" si="1"/>
        <v>5</v>
      </c>
      <c r="E7" s="24"/>
      <c r="F7" s="24"/>
      <c r="G7" s="24" t="s">
        <v>3204</v>
      </c>
      <c r="H7" s="24" t="s">
        <v>3205</v>
      </c>
      <c r="I7" s="24">
        <v>131</v>
      </c>
      <c r="J7" s="24">
        <v>5113</v>
      </c>
      <c r="K7" s="24" t="s">
        <v>21</v>
      </c>
      <c r="L7" s="24">
        <v>1</v>
      </c>
      <c r="M7" s="39">
        <v>23655914</v>
      </c>
      <c r="N7" s="39">
        <f t="shared" si="2"/>
        <v>23655914</v>
      </c>
      <c r="O7" s="24" t="s">
        <v>22</v>
      </c>
      <c r="P7" s="24"/>
    </row>
    <row r="8" spans="1:16" x14ac:dyDescent="0.25">
      <c r="A8" s="24" t="s">
        <v>18</v>
      </c>
      <c r="B8" s="83" t="s">
        <v>1534</v>
      </c>
      <c r="C8" s="24" t="str">
        <f t="shared" si="0"/>
        <v>006</v>
      </c>
      <c r="D8" s="24">
        <f t="shared" si="1"/>
        <v>6</v>
      </c>
      <c r="E8" s="24"/>
      <c r="F8" s="24"/>
      <c r="G8" s="24" t="s">
        <v>3204</v>
      </c>
      <c r="H8" s="24" t="s">
        <v>3206</v>
      </c>
      <c r="I8" s="24">
        <v>333821</v>
      </c>
      <c r="J8" s="24">
        <v>131</v>
      </c>
      <c r="K8" s="24" t="s">
        <v>21</v>
      </c>
      <c r="L8" s="24">
        <v>1</v>
      </c>
      <c r="M8" s="39">
        <v>236559</v>
      </c>
      <c r="N8" s="39">
        <f t="shared" si="2"/>
        <v>236559</v>
      </c>
      <c r="O8" s="24" t="s">
        <v>22</v>
      </c>
      <c r="P8" s="24"/>
    </row>
    <row r="9" spans="1:16" x14ac:dyDescent="0.25">
      <c r="A9" s="24" t="s">
        <v>18</v>
      </c>
      <c r="B9" s="83" t="s">
        <v>1419</v>
      </c>
      <c r="C9" s="24" t="str">
        <f t="shared" si="0"/>
        <v>007</v>
      </c>
      <c r="D9" s="24">
        <f t="shared" si="1"/>
        <v>7</v>
      </c>
      <c r="E9" s="24"/>
      <c r="F9" s="24"/>
      <c r="G9" s="24" t="s">
        <v>632</v>
      </c>
      <c r="H9" s="24" t="s">
        <v>3207</v>
      </c>
      <c r="I9" s="24">
        <v>131</v>
      </c>
      <c r="J9" s="24">
        <v>5113</v>
      </c>
      <c r="K9" s="24" t="s">
        <v>21</v>
      </c>
      <c r="L9" s="24">
        <v>1</v>
      </c>
      <c r="M9" s="39">
        <v>17204301</v>
      </c>
      <c r="N9" s="39">
        <f t="shared" si="2"/>
        <v>17204301</v>
      </c>
      <c r="O9" s="24" t="s">
        <v>22</v>
      </c>
      <c r="P9" s="24"/>
    </row>
    <row r="10" spans="1:16" x14ac:dyDescent="0.25">
      <c r="A10" s="24" t="s">
        <v>18</v>
      </c>
      <c r="B10" s="83" t="s">
        <v>1419</v>
      </c>
      <c r="C10" s="24" t="str">
        <f t="shared" si="0"/>
        <v>008</v>
      </c>
      <c r="D10" s="24">
        <f t="shared" si="1"/>
        <v>8</v>
      </c>
      <c r="E10" s="24"/>
      <c r="F10" s="24"/>
      <c r="G10" s="24" t="s">
        <v>632</v>
      </c>
      <c r="H10" s="24" t="s">
        <v>3208</v>
      </c>
      <c r="I10" s="24">
        <v>333821</v>
      </c>
      <c r="J10" s="24">
        <v>131</v>
      </c>
      <c r="K10" s="24" t="s">
        <v>21</v>
      </c>
      <c r="L10" s="24">
        <v>1</v>
      </c>
      <c r="M10" s="39">
        <v>172043</v>
      </c>
      <c r="N10" s="39">
        <f t="shared" si="2"/>
        <v>172043</v>
      </c>
      <c r="O10" s="24" t="s">
        <v>22</v>
      </c>
      <c r="P10" s="24"/>
    </row>
    <row r="11" spans="1:16" x14ac:dyDescent="0.25">
      <c r="A11" s="24" t="s">
        <v>18</v>
      </c>
      <c r="B11" s="83" t="s">
        <v>1420</v>
      </c>
      <c r="C11" s="24" t="str">
        <f t="shared" si="0"/>
        <v>009</v>
      </c>
      <c r="D11" s="24">
        <f t="shared" si="1"/>
        <v>9</v>
      </c>
      <c r="E11" s="24"/>
      <c r="F11" s="24"/>
      <c r="G11" s="24" t="s">
        <v>646</v>
      </c>
      <c r="H11" s="24" t="s">
        <v>3209</v>
      </c>
      <c r="I11" s="24">
        <v>131</v>
      </c>
      <c r="J11" s="24">
        <v>5113</v>
      </c>
      <c r="K11" s="24" t="s">
        <v>21</v>
      </c>
      <c r="L11" s="24">
        <v>1</v>
      </c>
      <c r="M11" s="39">
        <v>7526882</v>
      </c>
      <c r="N11" s="39">
        <f t="shared" si="2"/>
        <v>7526882</v>
      </c>
      <c r="O11" s="24" t="s">
        <v>22</v>
      </c>
      <c r="P11" s="24"/>
    </row>
    <row r="12" spans="1:16" x14ac:dyDescent="0.25">
      <c r="A12" s="24" t="s">
        <v>18</v>
      </c>
      <c r="B12" s="83" t="s">
        <v>1420</v>
      </c>
      <c r="C12" s="24" t="str">
        <f t="shared" si="0"/>
        <v>010</v>
      </c>
      <c r="D12" s="24">
        <f t="shared" si="1"/>
        <v>10</v>
      </c>
      <c r="E12" s="24"/>
      <c r="F12" s="24"/>
      <c r="G12" s="24" t="s">
        <v>646</v>
      </c>
      <c r="H12" s="24" t="s">
        <v>3210</v>
      </c>
      <c r="I12" s="24">
        <v>333821</v>
      </c>
      <c r="J12" s="24">
        <v>131</v>
      </c>
      <c r="K12" s="24" t="s">
        <v>21</v>
      </c>
      <c r="L12" s="24">
        <v>1</v>
      </c>
      <c r="M12" s="39">
        <v>75269</v>
      </c>
      <c r="N12" s="39">
        <f t="shared" si="2"/>
        <v>75269</v>
      </c>
      <c r="O12" s="24" t="s">
        <v>22</v>
      </c>
      <c r="P12" s="24"/>
    </row>
    <row r="13" spans="1:16" x14ac:dyDescent="0.25">
      <c r="A13" s="24" t="s">
        <v>18</v>
      </c>
      <c r="B13" s="83" t="s">
        <v>2049</v>
      </c>
      <c r="C13" s="24" t="str">
        <f t="shared" si="0"/>
        <v>011</v>
      </c>
      <c r="D13" s="24">
        <f t="shared" si="1"/>
        <v>11</v>
      </c>
      <c r="E13" s="24"/>
      <c r="F13" s="24"/>
      <c r="G13" s="24" t="s">
        <v>3211</v>
      </c>
      <c r="H13" s="24" t="s">
        <v>3212</v>
      </c>
      <c r="I13" s="24">
        <v>131</v>
      </c>
      <c r="J13" s="24">
        <v>5113</v>
      </c>
      <c r="K13" s="24" t="s">
        <v>21</v>
      </c>
      <c r="L13" s="24">
        <v>1</v>
      </c>
      <c r="M13" s="39">
        <v>8602150</v>
      </c>
      <c r="N13" s="39">
        <f t="shared" si="2"/>
        <v>8602150</v>
      </c>
      <c r="O13" s="24" t="s">
        <v>22</v>
      </c>
      <c r="P13" s="24"/>
    </row>
    <row r="14" spans="1:16" x14ac:dyDescent="0.25">
      <c r="A14" s="24" t="s">
        <v>18</v>
      </c>
      <c r="B14" s="83" t="s">
        <v>2049</v>
      </c>
      <c r="C14" s="24" t="str">
        <f t="shared" si="0"/>
        <v>012</v>
      </c>
      <c r="D14" s="24">
        <f t="shared" si="1"/>
        <v>12</v>
      </c>
      <c r="E14" s="24"/>
      <c r="F14" s="24"/>
      <c r="G14" s="24" t="s">
        <v>3211</v>
      </c>
      <c r="H14" s="24" t="s">
        <v>3213</v>
      </c>
      <c r="I14" s="24">
        <v>333821</v>
      </c>
      <c r="J14" s="24">
        <v>131</v>
      </c>
      <c r="K14" s="24" t="s">
        <v>21</v>
      </c>
      <c r="L14" s="24">
        <v>1</v>
      </c>
      <c r="M14" s="39">
        <v>86021</v>
      </c>
      <c r="N14" s="39">
        <f t="shared" si="2"/>
        <v>86021</v>
      </c>
      <c r="O14" s="24" t="s">
        <v>22</v>
      </c>
      <c r="P14" s="24"/>
    </row>
    <row r="15" spans="1:16" x14ac:dyDescent="0.25">
      <c r="A15" s="24" t="s">
        <v>18</v>
      </c>
      <c r="B15" s="83" t="s">
        <v>2050</v>
      </c>
      <c r="C15" s="24" t="str">
        <f t="shared" si="0"/>
        <v>013</v>
      </c>
      <c r="D15" s="24">
        <f t="shared" si="1"/>
        <v>13</v>
      </c>
      <c r="E15" s="24"/>
      <c r="F15" s="24"/>
      <c r="G15" s="24" t="s">
        <v>1015</v>
      </c>
      <c r="H15" s="24" t="s">
        <v>3214</v>
      </c>
      <c r="I15" s="24">
        <v>131</v>
      </c>
      <c r="J15" s="24">
        <v>5113</v>
      </c>
      <c r="K15" s="24" t="s">
        <v>21</v>
      </c>
      <c r="L15" s="24">
        <v>1</v>
      </c>
      <c r="M15" s="39">
        <v>17204301</v>
      </c>
      <c r="N15" s="39">
        <f t="shared" si="2"/>
        <v>17204301</v>
      </c>
      <c r="O15" s="24" t="s">
        <v>22</v>
      </c>
      <c r="P15" s="24"/>
    </row>
    <row r="16" spans="1:16" x14ac:dyDescent="0.25">
      <c r="A16" s="24" t="s">
        <v>18</v>
      </c>
      <c r="B16" s="83" t="s">
        <v>2050</v>
      </c>
      <c r="C16" s="24" t="str">
        <f t="shared" si="0"/>
        <v>014</v>
      </c>
      <c r="D16" s="24">
        <f t="shared" si="1"/>
        <v>14</v>
      </c>
      <c r="E16" s="24"/>
      <c r="F16" s="24"/>
      <c r="G16" s="24" t="s">
        <v>1015</v>
      </c>
      <c r="H16" s="24" t="s">
        <v>3215</v>
      </c>
      <c r="I16" s="24">
        <v>333821</v>
      </c>
      <c r="J16" s="24">
        <v>131</v>
      </c>
      <c r="K16" s="24" t="s">
        <v>21</v>
      </c>
      <c r="L16" s="24">
        <v>1</v>
      </c>
      <c r="M16" s="39">
        <v>172043</v>
      </c>
      <c r="N16" s="39">
        <f t="shared" si="2"/>
        <v>172043</v>
      </c>
      <c r="O16" s="24" t="s">
        <v>22</v>
      </c>
      <c r="P16" s="24"/>
    </row>
    <row r="17" spans="1:16" x14ac:dyDescent="0.25">
      <c r="A17" s="24" t="s">
        <v>18</v>
      </c>
      <c r="B17" s="83" t="s">
        <v>2078</v>
      </c>
      <c r="C17" s="24" t="str">
        <f t="shared" si="0"/>
        <v>015</v>
      </c>
      <c r="D17" s="24">
        <f t="shared" si="1"/>
        <v>15</v>
      </c>
      <c r="E17" s="24"/>
      <c r="F17" s="24"/>
      <c r="G17" s="24" t="s">
        <v>756</v>
      </c>
      <c r="H17" s="24" t="s">
        <v>3216</v>
      </c>
      <c r="I17" s="24">
        <v>131</v>
      </c>
      <c r="J17" s="24">
        <v>5113</v>
      </c>
      <c r="K17" s="24" t="s">
        <v>21</v>
      </c>
      <c r="L17" s="24">
        <v>1</v>
      </c>
      <c r="M17" s="39">
        <v>9677419</v>
      </c>
      <c r="N17" s="39">
        <f t="shared" si="2"/>
        <v>9677419</v>
      </c>
      <c r="O17" s="24" t="s">
        <v>22</v>
      </c>
      <c r="P17" s="24"/>
    </row>
    <row r="18" spans="1:16" x14ac:dyDescent="0.25">
      <c r="A18" s="24" t="s">
        <v>18</v>
      </c>
      <c r="B18" s="83" t="s">
        <v>2078</v>
      </c>
      <c r="C18" s="24" t="str">
        <f t="shared" si="0"/>
        <v>016</v>
      </c>
      <c r="D18" s="24">
        <f t="shared" si="1"/>
        <v>16</v>
      </c>
      <c r="E18" s="24"/>
      <c r="F18" s="24"/>
      <c r="G18" s="24" t="s">
        <v>756</v>
      </c>
      <c r="H18" s="24" t="s">
        <v>3217</v>
      </c>
      <c r="I18" s="24">
        <v>333821</v>
      </c>
      <c r="J18" s="24">
        <v>131</v>
      </c>
      <c r="K18" s="24" t="s">
        <v>21</v>
      </c>
      <c r="L18" s="24">
        <v>1</v>
      </c>
      <c r="M18" s="39">
        <v>96774</v>
      </c>
      <c r="N18" s="39">
        <f t="shared" si="2"/>
        <v>96774</v>
      </c>
      <c r="O18" s="24" t="s">
        <v>22</v>
      </c>
      <c r="P18" s="24"/>
    </row>
    <row r="19" spans="1:16" x14ac:dyDescent="0.25">
      <c r="A19" s="24" t="s">
        <v>18</v>
      </c>
      <c r="B19" s="83" t="s">
        <v>1424</v>
      </c>
      <c r="C19" s="24" t="str">
        <f t="shared" si="0"/>
        <v>017</v>
      </c>
      <c r="D19" s="24">
        <f t="shared" si="1"/>
        <v>17</v>
      </c>
      <c r="E19" s="24"/>
      <c r="F19" s="24"/>
      <c r="G19" s="24" t="s">
        <v>1283</v>
      </c>
      <c r="H19" s="24" t="s">
        <v>3218</v>
      </c>
      <c r="I19" s="24">
        <v>131</v>
      </c>
      <c r="J19" s="24">
        <v>5113</v>
      </c>
      <c r="K19" s="24" t="s">
        <v>21</v>
      </c>
      <c r="L19" s="24">
        <v>1</v>
      </c>
      <c r="M19" s="39">
        <v>8602150</v>
      </c>
      <c r="N19" s="39">
        <f t="shared" si="2"/>
        <v>8602150</v>
      </c>
      <c r="O19" s="24" t="s">
        <v>22</v>
      </c>
      <c r="P19" s="24"/>
    </row>
    <row r="20" spans="1:16" x14ac:dyDescent="0.25">
      <c r="A20" s="24" t="s">
        <v>18</v>
      </c>
      <c r="B20" s="83" t="s">
        <v>1424</v>
      </c>
      <c r="C20" s="24" t="str">
        <f t="shared" si="0"/>
        <v>018</v>
      </c>
      <c r="D20" s="24">
        <f t="shared" si="1"/>
        <v>18</v>
      </c>
      <c r="E20" s="24"/>
      <c r="F20" s="24"/>
      <c r="G20" s="24" t="s">
        <v>1283</v>
      </c>
      <c r="H20" s="24" t="s">
        <v>3219</v>
      </c>
      <c r="I20" s="24">
        <v>333821</v>
      </c>
      <c r="J20" s="24">
        <v>131</v>
      </c>
      <c r="K20" s="24" t="s">
        <v>21</v>
      </c>
      <c r="L20" s="24">
        <v>1</v>
      </c>
      <c r="M20" s="39">
        <v>86021</v>
      </c>
      <c r="N20" s="39">
        <f t="shared" si="2"/>
        <v>86021</v>
      </c>
      <c r="O20" s="24" t="s">
        <v>22</v>
      </c>
      <c r="P20" s="24"/>
    </row>
    <row r="21" spans="1:16" x14ac:dyDescent="0.25">
      <c r="A21" s="24" t="s">
        <v>18</v>
      </c>
      <c r="B21" s="83" t="s">
        <v>2357</v>
      </c>
      <c r="C21" s="24" t="str">
        <f t="shared" si="0"/>
        <v>019</v>
      </c>
      <c r="D21" s="24">
        <f t="shared" si="1"/>
        <v>19</v>
      </c>
      <c r="E21" s="24"/>
      <c r="F21" s="24"/>
      <c r="G21" s="24" t="s">
        <v>158</v>
      </c>
      <c r="H21" s="24" t="s">
        <v>3220</v>
      </c>
      <c r="I21" s="24">
        <v>64277</v>
      </c>
      <c r="J21" s="24">
        <v>331</v>
      </c>
      <c r="K21" s="24" t="s">
        <v>21</v>
      </c>
      <c r="L21" s="24">
        <v>1</v>
      </c>
      <c r="M21" s="39">
        <v>3240000</v>
      </c>
      <c r="N21" s="39">
        <f t="shared" si="2"/>
        <v>3240000</v>
      </c>
      <c r="O21" s="24" t="s">
        <v>22</v>
      </c>
      <c r="P21" s="24"/>
    </row>
    <row r="22" spans="1:16" x14ac:dyDescent="0.25">
      <c r="A22" s="24" t="s">
        <v>18</v>
      </c>
      <c r="B22" s="83" t="s">
        <v>1534</v>
      </c>
      <c r="C22" s="24" t="str">
        <f t="shared" si="0"/>
        <v>020</v>
      </c>
      <c r="D22" s="24">
        <f t="shared" si="1"/>
        <v>20</v>
      </c>
      <c r="E22" s="24"/>
      <c r="F22" s="24"/>
      <c r="G22" s="24" t="s">
        <v>3146</v>
      </c>
      <c r="H22" s="24" t="s">
        <v>3680</v>
      </c>
      <c r="I22" s="24">
        <v>6425</v>
      </c>
      <c r="J22" s="24">
        <v>331</v>
      </c>
      <c r="K22" s="24" t="s">
        <v>21</v>
      </c>
      <c r="L22" s="24">
        <v>1</v>
      </c>
      <c r="M22" s="39">
        <v>9561</v>
      </c>
      <c r="N22" s="39">
        <f t="shared" si="2"/>
        <v>9561</v>
      </c>
      <c r="O22" s="24" t="s">
        <v>22</v>
      </c>
      <c r="P22" s="24"/>
    </row>
    <row r="23" spans="1:16" x14ac:dyDescent="0.25">
      <c r="A23" s="24" t="s">
        <v>18</v>
      </c>
      <c r="B23" s="83" t="s">
        <v>1534</v>
      </c>
      <c r="C23" s="24" t="str">
        <f t="shared" si="0"/>
        <v>021</v>
      </c>
      <c r="D23" s="24">
        <f t="shared" si="1"/>
        <v>21</v>
      </c>
      <c r="E23" s="24"/>
      <c r="F23" s="24"/>
      <c r="G23" s="24" t="s">
        <v>3146</v>
      </c>
      <c r="H23" s="24" t="s">
        <v>3683</v>
      </c>
      <c r="I23" s="24">
        <v>6425</v>
      </c>
      <c r="J23" s="24">
        <v>331</v>
      </c>
      <c r="K23" s="24" t="s">
        <v>21</v>
      </c>
      <c r="L23" s="24">
        <v>1</v>
      </c>
      <c r="M23" s="39">
        <v>8391</v>
      </c>
      <c r="N23" s="39">
        <f t="shared" si="2"/>
        <v>8391</v>
      </c>
      <c r="O23" s="24" t="s">
        <v>22</v>
      </c>
      <c r="P23" s="24"/>
    </row>
    <row r="24" spans="1:16" x14ac:dyDescent="0.25">
      <c r="A24" s="24" t="s">
        <v>18</v>
      </c>
      <c r="B24" s="83" t="s">
        <v>1422</v>
      </c>
      <c r="C24" s="24" t="str">
        <f t="shared" si="0"/>
        <v>022</v>
      </c>
      <c r="D24" s="24">
        <f t="shared" si="1"/>
        <v>22</v>
      </c>
      <c r="E24" s="24"/>
      <c r="F24" s="24"/>
      <c r="G24" s="24" t="s">
        <v>158</v>
      </c>
      <c r="H24" s="24" t="s">
        <v>3221</v>
      </c>
      <c r="I24" s="24">
        <v>64277</v>
      </c>
      <c r="J24" s="24">
        <v>331</v>
      </c>
      <c r="K24" s="24" t="s">
        <v>21</v>
      </c>
      <c r="L24" s="24">
        <v>1</v>
      </c>
      <c r="M24" s="39">
        <v>3240000</v>
      </c>
      <c r="N24" s="39">
        <f t="shared" si="2"/>
        <v>3240000</v>
      </c>
      <c r="O24" s="24" t="s">
        <v>22</v>
      </c>
      <c r="P24" s="24"/>
    </row>
    <row r="25" spans="1:16" x14ac:dyDescent="0.25">
      <c r="A25" s="24" t="s">
        <v>18</v>
      </c>
      <c r="B25" s="83" t="s">
        <v>2077</v>
      </c>
      <c r="C25" s="24" t="str">
        <f t="shared" si="0"/>
        <v>023</v>
      </c>
      <c r="D25" s="24">
        <f t="shared" si="1"/>
        <v>23</v>
      </c>
      <c r="E25" s="24"/>
      <c r="F25" s="24"/>
      <c r="G25" s="24" t="s">
        <v>3146</v>
      </c>
      <c r="H25" s="24" t="s">
        <v>3681</v>
      </c>
      <c r="I25" s="24">
        <v>6425</v>
      </c>
      <c r="J25" s="24">
        <v>331</v>
      </c>
      <c r="K25" s="24" t="s">
        <v>21</v>
      </c>
      <c r="L25" s="24">
        <v>1</v>
      </c>
      <c r="M25" s="39">
        <v>258959</v>
      </c>
      <c r="N25" s="39">
        <f t="shared" si="2"/>
        <v>258959</v>
      </c>
      <c r="O25" s="24" t="s">
        <v>22</v>
      </c>
      <c r="P25" s="24"/>
    </row>
    <row r="26" spans="1:16" x14ac:dyDescent="0.25">
      <c r="A26" s="24" t="s">
        <v>18</v>
      </c>
      <c r="B26" s="83" t="s">
        <v>2077</v>
      </c>
      <c r="C26" s="24" t="str">
        <f t="shared" si="0"/>
        <v>024</v>
      </c>
      <c r="D26" s="24">
        <f t="shared" si="1"/>
        <v>24</v>
      </c>
      <c r="E26" s="24"/>
      <c r="F26" s="24"/>
      <c r="G26" s="24" t="s">
        <v>3146</v>
      </c>
      <c r="H26" s="24" t="s">
        <v>3682</v>
      </c>
      <c r="I26" s="24">
        <v>6425</v>
      </c>
      <c r="J26" s="24">
        <v>331</v>
      </c>
      <c r="K26" s="24" t="s">
        <v>21</v>
      </c>
      <c r="L26" s="24">
        <v>1</v>
      </c>
      <c r="M26" s="39">
        <v>129982</v>
      </c>
      <c r="N26" s="39">
        <f t="shared" si="2"/>
        <v>129982</v>
      </c>
      <c r="O26" s="24" t="s">
        <v>22</v>
      </c>
      <c r="P26" s="24"/>
    </row>
    <row r="27" spans="1:16" x14ac:dyDescent="0.25">
      <c r="A27" s="24" t="s">
        <v>18</v>
      </c>
      <c r="B27" s="83" t="s">
        <v>2125</v>
      </c>
      <c r="C27" s="24" t="str">
        <f t="shared" si="0"/>
        <v>025</v>
      </c>
      <c r="D27" s="24">
        <f t="shared" si="1"/>
        <v>25</v>
      </c>
      <c r="E27" s="24"/>
      <c r="F27" s="24"/>
      <c r="G27" s="24" t="s">
        <v>3146</v>
      </c>
      <c r="H27" s="24" t="s">
        <v>3685</v>
      </c>
      <c r="I27" s="24">
        <v>6425</v>
      </c>
      <c r="J27" s="24">
        <v>331</v>
      </c>
      <c r="K27" s="24" t="s">
        <v>21</v>
      </c>
      <c r="L27" s="24">
        <v>1</v>
      </c>
      <c r="M27" s="39">
        <v>199000</v>
      </c>
      <c r="N27" s="39">
        <f t="shared" si="2"/>
        <v>199000</v>
      </c>
      <c r="O27" s="24" t="s">
        <v>22</v>
      </c>
      <c r="P27" s="24"/>
    </row>
    <row r="28" spans="1:16" x14ac:dyDescent="0.25">
      <c r="A28" s="24" t="s">
        <v>18</v>
      </c>
      <c r="B28" s="83" t="s">
        <v>2359</v>
      </c>
      <c r="C28" s="24" t="str">
        <f t="shared" si="0"/>
        <v>026</v>
      </c>
      <c r="D28" s="24">
        <f t="shared" si="1"/>
        <v>26</v>
      </c>
      <c r="E28" s="24"/>
      <c r="F28" s="24"/>
      <c r="G28" s="24" t="s">
        <v>3146</v>
      </c>
      <c r="H28" s="24" t="s">
        <v>3684</v>
      </c>
      <c r="I28" s="24">
        <v>6425</v>
      </c>
      <c r="J28" s="24">
        <v>331</v>
      </c>
      <c r="K28" s="24" t="s">
        <v>21</v>
      </c>
      <c r="L28" s="24">
        <v>1</v>
      </c>
      <c r="M28" s="39">
        <v>5766</v>
      </c>
      <c r="N28" s="39">
        <f t="shared" si="2"/>
        <v>5766</v>
      </c>
      <c r="O28" s="24" t="s">
        <v>22</v>
      </c>
      <c r="P28" s="24"/>
    </row>
    <row r="29" spans="1:16" x14ac:dyDescent="0.25">
      <c r="A29" s="24" t="s">
        <v>18</v>
      </c>
      <c r="B29" s="83">
        <v>45869</v>
      </c>
      <c r="C29" s="24" t="str">
        <f t="shared" si="0"/>
        <v>027</v>
      </c>
      <c r="D29" s="24">
        <f t="shared" si="1"/>
        <v>27</v>
      </c>
      <c r="E29" s="24"/>
      <c r="F29" s="24"/>
      <c r="G29" s="24" t="s">
        <v>1235</v>
      </c>
      <c r="H29" s="24" t="s">
        <v>147</v>
      </c>
      <c r="I29" s="24">
        <v>64271</v>
      </c>
      <c r="J29" s="24">
        <v>3383</v>
      </c>
      <c r="K29" s="24" t="s">
        <v>21</v>
      </c>
      <c r="L29" s="24">
        <v>1</v>
      </c>
      <c r="M29" s="39">
        <v>690300</v>
      </c>
      <c r="N29" s="39">
        <f t="shared" si="2"/>
        <v>690300</v>
      </c>
      <c r="O29" s="24" t="s">
        <v>22</v>
      </c>
      <c r="P29" s="24"/>
    </row>
    <row r="30" spans="1:16" x14ac:dyDescent="0.25">
      <c r="A30" s="24" t="s">
        <v>18</v>
      </c>
      <c r="B30" s="83">
        <v>45900</v>
      </c>
      <c r="C30" s="24" t="str">
        <f t="shared" si="0"/>
        <v>028</v>
      </c>
      <c r="D30" s="24">
        <f t="shared" si="1"/>
        <v>28</v>
      </c>
      <c r="E30" s="24"/>
      <c r="F30" s="24"/>
      <c r="G30" s="24" t="s">
        <v>1235</v>
      </c>
      <c r="H30" s="24" t="s">
        <v>280</v>
      </c>
      <c r="I30" s="24">
        <v>64271</v>
      </c>
      <c r="J30" s="24">
        <v>3383</v>
      </c>
      <c r="K30" s="24" t="s">
        <v>21</v>
      </c>
      <c r="L30" s="24">
        <v>1</v>
      </c>
      <c r="M30" s="39">
        <v>690300</v>
      </c>
      <c r="N30" s="39">
        <f t="shared" si="2"/>
        <v>690300</v>
      </c>
      <c r="O30" s="24" t="s">
        <v>22</v>
      </c>
      <c r="P30" s="24"/>
    </row>
    <row r="31" spans="1:16" x14ac:dyDescent="0.25">
      <c r="A31" s="24" t="s">
        <v>18</v>
      </c>
      <c r="B31" s="83">
        <v>45930</v>
      </c>
      <c r="C31" s="24" t="str">
        <f t="shared" si="0"/>
        <v>029</v>
      </c>
      <c r="D31" s="24">
        <f t="shared" si="1"/>
        <v>29</v>
      </c>
      <c r="E31" s="24"/>
      <c r="F31" s="24"/>
      <c r="G31" s="24" t="s">
        <v>1235</v>
      </c>
      <c r="H31" s="24" t="s">
        <v>367</v>
      </c>
      <c r="I31" s="24">
        <v>64271</v>
      </c>
      <c r="J31" s="24">
        <v>3383</v>
      </c>
      <c r="K31" s="24" t="s">
        <v>21</v>
      </c>
      <c r="L31" s="24">
        <v>1</v>
      </c>
      <c r="M31" s="39">
        <v>690300</v>
      </c>
      <c r="N31" s="39">
        <f t="shared" si="2"/>
        <v>690300</v>
      </c>
      <c r="O31" s="24" t="s">
        <v>22</v>
      </c>
      <c r="P31" s="24"/>
    </row>
    <row r="32" spans="1:16" x14ac:dyDescent="0.25">
      <c r="A32" s="24" t="s">
        <v>368</v>
      </c>
      <c r="B32" s="83" t="s">
        <v>2357</v>
      </c>
      <c r="C32" s="24" t="str">
        <f t="shared" si="0"/>
        <v>030</v>
      </c>
      <c r="D32" s="24">
        <f t="shared" si="1"/>
        <v>30</v>
      </c>
      <c r="E32" s="24"/>
      <c r="F32" s="24"/>
      <c r="G32" s="24" t="s">
        <v>158</v>
      </c>
      <c r="H32" s="24" t="s">
        <v>3686</v>
      </c>
      <c r="I32" s="24">
        <v>331</v>
      </c>
      <c r="J32" s="24">
        <v>1111</v>
      </c>
      <c r="K32" s="24" t="s">
        <v>21</v>
      </c>
      <c r="L32" s="24">
        <v>1</v>
      </c>
      <c r="M32" s="39">
        <v>3240000</v>
      </c>
      <c r="N32" s="39">
        <f t="shared" ref="N32:N54" si="3">L32*M32</f>
        <v>3240000</v>
      </c>
      <c r="O32" s="24" t="s">
        <v>22</v>
      </c>
      <c r="P32" s="24"/>
    </row>
    <row r="33" spans="1:16" x14ac:dyDescent="0.25">
      <c r="A33" s="24" t="s">
        <v>368</v>
      </c>
      <c r="B33" s="83" t="s">
        <v>1534</v>
      </c>
      <c r="C33" s="24" t="str">
        <f t="shared" si="0"/>
        <v>031</v>
      </c>
      <c r="D33" s="24">
        <f t="shared" si="1"/>
        <v>31</v>
      </c>
      <c r="E33" s="24"/>
      <c r="F33" s="24"/>
      <c r="G33" s="24" t="s">
        <v>3146</v>
      </c>
      <c r="H33" s="24" t="s">
        <v>3687</v>
      </c>
      <c r="I33" s="24">
        <v>331</v>
      </c>
      <c r="J33" s="24">
        <v>1111</v>
      </c>
      <c r="K33" s="24" t="s">
        <v>21</v>
      </c>
      <c r="L33" s="24">
        <v>1</v>
      </c>
      <c r="M33" s="39">
        <v>9561</v>
      </c>
      <c r="N33" s="39">
        <f t="shared" si="3"/>
        <v>9561</v>
      </c>
      <c r="O33" s="24" t="s">
        <v>22</v>
      </c>
      <c r="P33" s="24"/>
    </row>
    <row r="34" spans="1:16" x14ac:dyDescent="0.25">
      <c r="A34" s="24" t="s">
        <v>368</v>
      </c>
      <c r="B34" s="83" t="s">
        <v>1534</v>
      </c>
      <c r="C34" s="24" t="str">
        <f t="shared" si="0"/>
        <v>032</v>
      </c>
      <c r="D34" s="24">
        <f t="shared" si="1"/>
        <v>32</v>
      </c>
      <c r="E34" s="24"/>
      <c r="F34" s="24"/>
      <c r="G34" s="24" t="s">
        <v>3146</v>
      </c>
      <c r="H34" s="24" t="s">
        <v>3688</v>
      </c>
      <c r="I34" s="24">
        <v>331</v>
      </c>
      <c r="J34" s="24">
        <v>1111</v>
      </c>
      <c r="K34" s="24" t="s">
        <v>21</v>
      </c>
      <c r="L34" s="24">
        <v>1</v>
      </c>
      <c r="M34" s="39">
        <v>8391</v>
      </c>
      <c r="N34" s="39">
        <f t="shared" si="3"/>
        <v>8391</v>
      </c>
      <c r="O34" s="24" t="s">
        <v>22</v>
      </c>
      <c r="P34" s="24"/>
    </row>
    <row r="35" spans="1:16" x14ac:dyDescent="0.25">
      <c r="A35" s="24" t="s">
        <v>368</v>
      </c>
      <c r="B35" s="83" t="s">
        <v>1422</v>
      </c>
      <c r="C35" s="24" t="str">
        <f t="shared" si="0"/>
        <v>033</v>
      </c>
      <c r="D35" s="24">
        <f t="shared" si="1"/>
        <v>33</v>
      </c>
      <c r="E35" s="24"/>
      <c r="F35" s="24"/>
      <c r="G35" s="24" t="s">
        <v>158</v>
      </c>
      <c r="H35" s="24" t="s">
        <v>3689</v>
      </c>
      <c r="I35" s="24">
        <v>331</v>
      </c>
      <c r="J35" s="24">
        <v>1111</v>
      </c>
      <c r="K35" s="24" t="s">
        <v>21</v>
      </c>
      <c r="L35" s="24">
        <v>1</v>
      </c>
      <c r="M35" s="39">
        <v>3240000</v>
      </c>
      <c r="N35" s="39">
        <f t="shared" si="3"/>
        <v>3240000</v>
      </c>
      <c r="O35" s="24" t="s">
        <v>22</v>
      </c>
      <c r="P35" s="24"/>
    </row>
    <row r="36" spans="1:16" x14ac:dyDescent="0.25">
      <c r="A36" s="24" t="s">
        <v>368</v>
      </c>
      <c r="B36" s="83" t="s">
        <v>2077</v>
      </c>
      <c r="C36" s="24" t="str">
        <f t="shared" si="0"/>
        <v>034</v>
      </c>
      <c r="D36" s="24">
        <f t="shared" si="1"/>
        <v>34</v>
      </c>
      <c r="E36" s="24"/>
      <c r="F36" s="24"/>
      <c r="G36" s="24" t="s">
        <v>3146</v>
      </c>
      <c r="H36" s="24" t="s">
        <v>3690</v>
      </c>
      <c r="I36" s="24">
        <v>331</v>
      </c>
      <c r="J36" s="24">
        <v>1111</v>
      </c>
      <c r="K36" s="24" t="s">
        <v>21</v>
      </c>
      <c r="L36" s="24">
        <v>1</v>
      </c>
      <c r="M36" s="39">
        <v>258959</v>
      </c>
      <c r="N36" s="39">
        <f t="shared" si="3"/>
        <v>258959</v>
      </c>
      <c r="O36" s="24" t="s">
        <v>22</v>
      </c>
      <c r="P36" s="24"/>
    </row>
    <row r="37" spans="1:16" x14ac:dyDescent="0.25">
      <c r="A37" s="24" t="s">
        <v>368</v>
      </c>
      <c r="B37" s="83" t="s">
        <v>2077</v>
      </c>
      <c r="C37" s="24" t="str">
        <f t="shared" si="0"/>
        <v>035</v>
      </c>
      <c r="D37" s="24">
        <f t="shared" si="1"/>
        <v>35</v>
      </c>
      <c r="E37" s="24"/>
      <c r="F37" s="24"/>
      <c r="G37" s="24" t="s">
        <v>3146</v>
      </c>
      <c r="H37" s="24" t="s">
        <v>3691</v>
      </c>
      <c r="I37" s="24">
        <v>331</v>
      </c>
      <c r="J37" s="24">
        <v>1111</v>
      </c>
      <c r="K37" s="24" t="s">
        <v>21</v>
      </c>
      <c r="L37" s="24">
        <v>1</v>
      </c>
      <c r="M37" s="39">
        <v>129982</v>
      </c>
      <c r="N37" s="39">
        <f t="shared" si="3"/>
        <v>129982</v>
      </c>
      <c r="O37" s="24" t="s">
        <v>22</v>
      </c>
      <c r="P37" s="24"/>
    </row>
    <row r="38" spans="1:16" x14ac:dyDescent="0.25">
      <c r="A38" s="24" t="s">
        <v>368</v>
      </c>
      <c r="B38" s="83" t="s">
        <v>2125</v>
      </c>
      <c r="C38" s="24" t="str">
        <f t="shared" si="0"/>
        <v>036</v>
      </c>
      <c r="D38" s="24">
        <f t="shared" si="1"/>
        <v>36</v>
      </c>
      <c r="E38" s="24"/>
      <c r="F38" s="24"/>
      <c r="G38" s="24" t="s">
        <v>3146</v>
      </c>
      <c r="H38" s="24" t="s">
        <v>3692</v>
      </c>
      <c r="I38" s="24">
        <v>331</v>
      </c>
      <c r="J38" s="24">
        <v>1111</v>
      </c>
      <c r="K38" s="24" t="s">
        <v>21</v>
      </c>
      <c r="L38" s="24">
        <v>1</v>
      </c>
      <c r="M38" s="39">
        <v>199000</v>
      </c>
      <c r="N38" s="39">
        <f t="shared" si="3"/>
        <v>199000</v>
      </c>
      <c r="O38" s="24" t="s">
        <v>22</v>
      </c>
    </row>
    <row r="39" spans="1:16" x14ac:dyDescent="0.25">
      <c r="A39" s="24" t="s">
        <v>368</v>
      </c>
      <c r="B39" s="83" t="s">
        <v>2359</v>
      </c>
      <c r="C39" s="24" t="str">
        <f t="shared" si="0"/>
        <v>037</v>
      </c>
      <c r="D39" s="24">
        <f t="shared" si="1"/>
        <v>37</v>
      </c>
      <c r="E39" s="24"/>
      <c r="F39" s="24"/>
      <c r="G39" s="24" t="s">
        <v>3146</v>
      </c>
      <c r="H39" s="24" t="s">
        <v>3693</v>
      </c>
      <c r="I39" s="24">
        <v>331</v>
      </c>
      <c r="J39" s="24">
        <v>1111</v>
      </c>
      <c r="K39" s="24" t="s">
        <v>21</v>
      </c>
      <c r="L39" s="24">
        <v>1</v>
      </c>
      <c r="M39" s="39">
        <v>5766</v>
      </c>
      <c r="N39" s="39">
        <f t="shared" si="3"/>
        <v>5766</v>
      </c>
      <c r="O39" s="24" t="s">
        <v>22</v>
      </c>
    </row>
    <row r="40" spans="1:16" x14ac:dyDescent="0.25">
      <c r="A40" s="24" t="s">
        <v>33</v>
      </c>
      <c r="B40" s="83">
        <v>45857</v>
      </c>
      <c r="C40" s="24" t="str">
        <f t="shared" si="0"/>
        <v>038</v>
      </c>
      <c r="D40" s="24">
        <f t="shared" si="1"/>
        <v>38</v>
      </c>
      <c r="E40" s="24"/>
      <c r="F40" s="24"/>
      <c r="G40" s="24" t="s">
        <v>1077</v>
      </c>
      <c r="H40" s="24" t="s">
        <v>3201</v>
      </c>
      <c r="I40" s="24">
        <v>112111</v>
      </c>
      <c r="J40" s="24">
        <v>131</v>
      </c>
      <c r="K40" s="24" t="s">
        <v>21</v>
      </c>
      <c r="L40" s="24">
        <v>1</v>
      </c>
      <c r="M40" s="39">
        <v>17120000</v>
      </c>
      <c r="N40" s="39">
        <f t="shared" si="3"/>
        <v>17120000</v>
      </c>
      <c r="O40" s="24" t="s">
        <v>22</v>
      </c>
    </row>
    <row r="41" spans="1:16" x14ac:dyDescent="0.25">
      <c r="A41" s="24" t="s">
        <v>89</v>
      </c>
      <c r="B41" s="83">
        <v>45859</v>
      </c>
      <c r="C41" s="24" t="str">
        <f t="shared" si="0"/>
        <v>039</v>
      </c>
      <c r="D41" s="24">
        <f t="shared" si="1"/>
        <v>39</v>
      </c>
      <c r="E41" s="24"/>
      <c r="F41" s="24"/>
      <c r="G41" s="15" t="s">
        <v>2928</v>
      </c>
      <c r="H41" s="13" t="s">
        <v>1008</v>
      </c>
      <c r="I41" s="13">
        <v>1111</v>
      </c>
      <c r="J41" s="24">
        <v>112111</v>
      </c>
      <c r="K41" s="24" t="s">
        <v>21</v>
      </c>
      <c r="L41" s="24">
        <v>1</v>
      </c>
      <c r="M41" s="39">
        <v>16000000</v>
      </c>
      <c r="N41" s="39">
        <f t="shared" si="3"/>
        <v>16000000</v>
      </c>
      <c r="O41" s="24" t="s">
        <v>22</v>
      </c>
    </row>
    <row r="42" spans="1:16" x14ac:dyDescent="0.25">
      <c r="A42" s="24" t="s">
        <v>33</v>
      </c>
      <c r="B42" s="83">
        <v>45869</v>
      </c>
      <c r="C42" s="24" t="str">
        <f t="shared" si="0"/>
        <v>040</v>
      </c>
      <c r="D42" s="24">
        <f t="shared" si="1"/>
        <v>40</v>
      </c>
      <c r="E42" s="24"/>
      <c r="F42" s="24"/>
      <c r="G42" s="15" t="s">
        <v>2928</v>
      </c>
      <c r="H42" s="24" t="s">
        <v>129</v>
      </c>
      <c r="I42" s="24">
        <v>112111</v>
      </c>
      <c r="J42" s="24">
        <v>5154</v>
      </c>
      <c r="K42" s="24" t="s">
        <v>21</v>
      </c>
      <c r="L42" s="24">
        <v>1</v>
      </c>
      <c r="M42" s="39">
        <v>124</v>
      </c>
      <c r="N42" s="39">
        <f t="shared" si="3"/>
        <v>124</v>
      </c>
      <c r="O42" s="24" t="s">
        <v>22</v>
      </c>
    </row>
    <row r="43" spans="1:16" x14ac:dyDescent="0.25">
      <c r="A43" s="24" t="s">
        <v>33</v>
      </c>
      <c r="B43" s="83">
        <v>45895</v>
      </c>
      <c r="C43" s="24" t="str">
        <f t="shared" si="0"/>
        <v>041</v>
      </c>
      <c r="D43" s="24">
        <f t="shared" si="1"/>
        <v>41</v>
      </c>
      <c r="E43" s="24"/>
      <c r="F43" s="24"/>
      <c r="G43" s="24" t="s">
        <v>3204</v>
      </c>
      <c r="H43" s="24" t="s">
        <v>3205</v>
      </c>
      <c r="I43" s="24">
        <v>112111</v>
      </c>
      <c r="J43" s="24">
        <v>131</v>
      </c>
      <c r="K43" s="24" t="s">
        <v>21</v>
      </c>
      <c r="L43" s="24">
        <v>1</v>
      </c>
      <c r="M43" s="39">
        <v>23419355</v>
      </c>
      <c r="N43" s="39">
        <f t="shared" si="3"/>
        <v>23419355</v>
      </c>
      <c r="O43" s="24" t="s">
        <v>22</v>
      </c>
    </row>
    <row r="44" spans="1:16" x14ac:dyDescent="0.25">
      <c r="A44" s="24" t="s">
        <v>33</v>
      </c>
      <c r="B44" s="83">
        <v>45900</v>
      </c>
      <c r="C44" s="24" t="str">
        <f t="shared" si="0"/>
        <v>042</v>
      </c>
      <c r="D44" s="24">
        <f t="shared" si="1"/>
        <v>42</v>
      </c>
      <c r="E44" s="24"/>
      <c r="F44" s="24"/>
      <c r="G44" s="15" t="s">
        <v>2928</v>
      </c>
      <c r="H44" s="24" t="s">
        <v>129</v>
      </c>
      <c r="I44" s="24">
        <v>112111</v>
      </c>
      <c r="J44" s="24">
        <v>5154</v>
      </c>
      <c r="K44" s="24" t="s">
        <v>21</v>
      </c>
      <c r="L44" s="24">
        <v>1</v>
      </c>
      <c r="M44" s="39">
        <v>416</v>
      </c>
      <c r="N44" s="39">
        <f t="shared" si="3"/>
        <v>416</v>
      </c>
      <c r="O44" s="24" t="s">
        <v>22</v>
      </c>
    </row>
    <row r="45" spans="1:16" x14ac:dyDescent="0.25">
      <c r="A45" s="24" t="s">
        <v>33</v>
      </c>
      <c r="B45" s="83">
        <v>45909</v>
      </c>
      <c r="C45" s="24" t="str">
        <f t="shared" si="0"/>
        <v>043</v>
      </c>
      <c r="D45" s="24">
        <f t="shared" si="1"/>
        <v>43</v>
      </c>
      <c r="E45" s="24"/>
      <c r="F45" s="24"/>
      <c r="G45" s="24" t="s">
        <v>3211</v>
      </c>
      <c r="H45" s="24" t="s">
        <v>3212</v>
      </c>
      <c r="I45" s="24">
        <v>112111</v>
      </c>
      <c r="J45" s="24">
        <v>131</v>
      </c>
      <c r="K45" s="24" t="s">
        <v>21</v>
      </c>
      <c r="L45" s="24">
        <v>1</v>
      </c>
      <c r="M45" s="39">
        <v>8516129</v>
      </c>
      <c r="N45" s="39">
        <f t="shared" si="3"/>
        <v>8516129</v>
      </c>
      <c r="O45" s="24" t="s">
        <v>22</v>
      </c>
    </row>
    <row r="46" spans="1:16" x14ac:dyDescent="0.25">
      <c r="A46" s="24" t="s">
        <v>89</v>
      </c>
      <c r="B46" s="83">
        <v>45912</v>
      </c>
      <c r="C46" s="24" t="str">
        <f t="shared" si="0"/>
        <v>044</v>
      </c>
      <c r="D46" s="24">
        <f t="shared" si="1"/>
        <v>44</v>
      </c>
      <c r="E46" s="24"/>
      <c r="F46" s="24"/>
      <c r="G46" s="15" t="s">
        <v>2928</v>
      </c>
      <c r="H46" s="13" t="s">
        <v>1008</v>
      </c>
      <c r="I46" s="13">
        <v>1111</v>
      </c>
      <c r="J46" s="24">
        <v>112111</v>
      </c>
      <c r="K46" s="24" t="s">
        <v>21</v>
      </c>
      <c r="L46" s="24">
        <v>1</v>
      </c>
      <c r="M46" s="39">
        <v>32000000</v>
      </c>
      <c r="N46" s="39">
        <f t="shared" si="3"/>
        <v>32000000</v>
      </c>
      <c r="O46" s="24" t="s">
        <v>22</v>
      </c>
    </row>
    <row r="47" spans="1:16" x14ac:dyDescent="0.25">
      <c r="A47" s="24" t="s">
        <v>33</v>
      </c>
      <c r="B47" s="83">
        <v>45912</v>
      </c>
      <c r="C47" s="24" t="str">
        <f t="shared" si="0"/>
        <v>045</v>
      </c>
      <c r="D47" s="24">
        <f t="shared" si="1"/>
        <v>45</v>
      </c>
      <c r="E47" s="24"/>
      <c r="F47" s="24"/>
      <c r="G47" s="24" t="s">
        <v>1283</v>
      </c>
      <c r="H47" s="24" t="s">
        <v>3218</v>
      </c>
      <c r="I47" s="24">
        <v>112111</v>
      </c>
      <c r="J47" s="24">
        <v>131</v>
      </c>
      <c r="K47" s="24" t="s">
        <v>21</v>
      </c>
      <c r="L47" s="24">
        <v>1</v>
      </c>
      <c r="M47" s="39">
        <v>8516129</v>
      </c>
      <c r="N47" s="39">
        <f t="shared" si="3"/>
        <v>8516129</v>
      </c>
      <c r="O47" s="24" t="s">
        <v>22</v>
      </c>
    </row>
    <row r="48" spans="1:16" x14ac:dyDescent="0.25">
      <c r="A48" s="24" t="s">
        <v>33</v>
      </c>
      <c r="B48" s="83">
        <v>45912</v>
      </c>
      <c r="C48" s="24" t="str">
        <f t="shared" si="0"/>
        <v>046</v>
      </c>
      <c r="D48" s="24">
        <f t="shared" si="1"/>
        <v>46</v>
      </c>
      <c r="E48" s="24"/>
      <c r="F48" s="24"/>
      <c r="G48" s="24" t="s">
        <v>1430</v>
      </c>
      <c r="H48" s="24" t="s">
        <v>3202</v>
      </c>
      <c r="I48" s="24">
        <v>112111</v>
      </c>
      <c r="J48" s="24">
        <v>131</v>
      </c>
      <c r="K48" s="24" t="s">
        <v>21</v>
      </c>
      <c r="L48" s="24">
        <v>1</v>
      </c>
      <c r="M48" s="39">
        <v>10700000</v>
      </c>
      <c r="N48" s="39">
        <f t="shared" si="3"/>
        <v>10700000</v>
      </c>
      <c r="O48" s="24" t="s">
        <v>22</v>
      </c>
    </row>
    <row r="49" spans="1:15" x14ac:dyDescent="0.25">
      <c r="A49" s="24" t="s">
        <v>89</v>
      </c>
      <c r="B49" s="83">
        <v>45912</v>
      </c>
      <c r="C49" s="24" t="str">
        <f t="shared" si="0"/>
        <v>047</v>
      </c>
      <c r="D49" s="24">
        <f t="shared" si="1"/>
        <v>47</v>
      </c>
      <c r="E49" s="24"/>
      <c r="F49" s="24"/>
      <c r="G49" s="15" t="s">
        <v>2928</v>
      </c>
      <c r="H49" s="13" t="s">
        <v>1008</v>
      </c>
      <c r="I49" s="13">
        <v>1111</v>
      </c>
      <c r="J49" s="24">
        <v>112111</v>
      </c>
      <c r="K49" s="24" t="s">
        <v>21</v>
      </c>
      <c r="L49" s="24">
        <v>1</v>
      </c>
      <c r="M49" s="39">
        <v>5000000</v>
      </c>
      <c r="N49" s="39">
        <f t="shared" si="3"/>
        <v>5000000</v>
      </c>
      <c r="O49" s="24" t="s">
        <v>22</v>
      </c>
    </row>
    <row r="50" spans="1:15" x14ac:dyDescent="0.25">
      <c r="A50" s="24" t="s">
        <v>33</v>
      </c>
      <c r="B50" s="83">
        <v>45915</v>
      </c>
      <c r="C50" s="24" t="str">
        <f t="shared" si="0"/>
        <v>048</v>
      </c>
      <c r="D50" s="24">
        <f t="shared" si="1"/>
        <v>48</v>
      </c>
      <c r="E50" s="24"/>
      <c r="F50" s="24"/>
      <c r="G50" s="24" t="s">
        <v>646</v>
      </c>
      <c r="H50" s="24" t="s">
        <v>3209</v>
      </c>
      <c r="I50" s="24">
        <v>112111</v>
      </c>
      <c r="J50" s="24">
        <v>131</v>
      </c>
      <c r="K50" s="24" t="s">
        <v>21</v>
      </c>
      <c r="L50" s="24">
        <v>1</v>
      </c>
      <c r="M50" s="39">
        <v>7451613</v>
      </c>
      <c r="N50" s="39">
        <f t="shared" si="3"/>
        <v>7451613</v>
      </c>
      <c r="O50" s="24" t="s">
        <v>22</v>
      </c>
    </row>
    <row r="51" spans="1:15" x14ac:dyDescent="0.25">
      <c r="A51" s="24" t="s">
        <v>89</v>
      </c>
      <c r="B51" s="83">
        <v>45915</v>
      </c>
      <c r="C51" s="24" t="str">
        <f t="shared" si="0"/>
        <v>049</v>
      </c>
      <c r="D51" s="24">
        <f t="shared" si="1"/>
        <v>49</v>
      </c>
      <c r="E51" s="24"/>
      <c r="F51" s="24"/>
      <c r="G51" s="15" t="s">
        <v>2928</v>
      </c>
      <c r="H51" s="13" t="s">
        <v>1008</v>
      </c>
      <c r="I51" s="13">
        <v>1111</v>
      </c>
      <c r="J51" s="24">
        <v>112111</v>
      </c>
      <c r="K51" s="24" t="s">
        <v>21</v>
      </c>
      <c r="L51" s="24">
        <v>1</v>
      </c>
      <c r="M51" s="39">
        <v>7000000</v>
      </c>
      <c r="N51" s="39">
        <f t="shared" si="3"/>
        <v>7000000</v>
      </c>
      <c r="O51" s="24" t="s">
        <v>22</v>
      </c>
    </row>
    <row r="52" spans="1:15" x14ac:dyDescent="0.25">
      <c r="A52" s="24" t="s">
        <v>89</v>
      </c>
      <c r="B52" s="83">
        <v>45920</v>
      </c>
      <c r="C52" s="24" t="str">
        <f t="shared" si="0"/>
        <v>050</v>
      </c>
      <c r="D52" s="24">
        <f t="shared" si="1"/>
        <v>50</v>
      </c>
      <c r="E52" s="24"/>
      <c r="F52" s="24"/>
      <c r="G52" s="15" t="s">
        <v>2928</v>
      </c>
      <c r="H52" s="13" t="s">
        <v>1008</v>
      </c>
      <c r="I52" s="13">
        <v>1111</v>
      </c>
      <c r="J52" s="24">
        <v>112111</v>
      </c>
      <c r="K52" s="24" t="s">
        <v>21</v>
      </c>
      <c r="L52" s="24">
        <v>1</v>
      </c>
      <c r="M52" s="39">
        <v>5000000</v>
      </c>
      <c r="N52" s="39">
        <f t="shared" si="3"/>
        <v>5000000</v>
      </c>
      <c r="O52" s="24" t="s">
        <v>22</v>
      </c>
    </row>
    <row r="53" spans="1:15" x14ac:dyDescent="0.25">
      <c r="A53" s="24" t="s">
        <v>89</v>
      </c>
      <c r="B53" s="83">
        <v>45922</v>
      </c>
      <c r="C53" s="24" t="str">
        <f t="shared" si="0"/>
        <v>051</v>
      </c>
      <c r="D53" s="24">
        <f t="shared" si="1"/>
        <v>51</v>
      </c>
      <c r="E53" s="24"/>
      <c r="F53" s="24"/>
      <c r="G53" s="15" t="s">
        <v>2928</v>
      </c>
      <c r="H53" s="13" t="s">
        <v>1008</v>
      </c>
      <c r="I53" s="13">
        <v>1111</v>
      </c>
      <c r="J53" s="24">
        <v>112111</v>
      </c>
      <c r="K53" s="24" t="s">
        <v>21</v>
      </c>
      <c r="L53" s="24">
        <v>1</v>
      </c>
      <c r="M53" s="39">
        <v>10000000</v>
      </c>
      <c r="N53" s="39">
        <f t="shared" si="3"/>
        <v>10000000</v>
      </c>
      <c r="O53" s="24" t="s">
        <v>22</v>
      </c>
    </row>
    <row r="54" spans="1:15" x14ac:dyDescent="0.25">
      <c r="A54" s="24" t="s">
        <v>33</v>
      </c>
      <c r="B54" s="83">
        <v>45930</v>
      </c>
      <c r="C54" s="24" t="str">
        <f t="shared" si="0"/>
        <v>052</v>
      </c>
      <c r="D54" s="24">
        <f t="shared" si="1"/>
        <v>52</v>
      </c>
      <c r="E54" s="24"/>
      <c r="F54" s="24"/>
      <c r="G54" s="15" t="s">
        <v>2928</v>
      </c>
      <c r="H54" s="24" t="s">
        <v>129</v>
      </c>
      <c r="I54" s="24">
        <v>112111</v>
      </c>
      <c r="J54" s="24">
        <v>5154</v>
      </c>
      <c r="K54" s="24" t="s">
        <v>21</v>
      </c>
      <c r="L54" s="24">
        <v>1</v>
      </c>
      <c r="M54" s="39">
        <v>1292</v>
      </c>
      <c r="N54" s="39">
        <f t="shared" si="3"/>
        <v>1292</v>
      </c>
      <c r="O54" s="24" t="s">
        <v>22</v>
      </c>
    </row>
    <row r="55" spans="1:15" x14ac:dyDescent="0.25">
      <c r="A55" s="24"/>
      <c r="B55" s="83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39"/>
      <c r="N55" s="39"/>
      <c r="O55" s="24"/>
    </row>
    <row r="56" spans="1:15" x14ac:dyDescent="0.25">
      <c r="A56" s="24"/>
      <c r="B56" s="83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39"/>
      <c r="N56" s="39"/>
      <c r="O56" s="24"/>
    </row>
    <row r="57" spans="1:15" x14ac:dyDescent="0.25">
      <c r="A57" s="24"/>
      <c r="B57" s="83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39"/>
      <c r="N57" s="39"/>
      <c r="O57" s="24"/>
    </row>
    <row r="58" spans="1:15" x14ac:dyDescent="0.25">
      <c r="A58" s="24"/>
      <c r="B58" s="83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39"/>
      <c r="N58" s="39"/>
      <c r="O58" s="24"/>
    </row>
    <row r="59" spans="1:15" x14ac:dyDescent="0.25">
      <c r="A59" s="24"/>
      <c r="B59" s="83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39"/>
      <c r="N59" s="39"/>
      <c r="O59" s="24"/>
    </row>
    <row r="60" spans="1:15" x14ac:dyDescent="0.25">
      <c r="A60" s="24"/>
      <c r="B60" s="83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39"/>
      <c r="N60" s="39"/>
      <c r="O60" s="24"/>
    </row>
    <row r="61" spans="1:15" x14ac:dyDescent="0.25">
      <c r="A61" s="24"/>
      <c r="B61" s="83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39"/>
      <c r="N61" s="39"/>
      <c r="O61" s="24"/>
    </row>
    <row r="62" spans="1:15" x14ac:dyDescent="0.25">
      <c r="A62" s="24"/>
      <c r="B62" s="83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39"/>
      <c r="N62" s="39"/>
      <c r="O62" s="24"/>
    </row>
    <row r="63" spans="1:15" x14ac:dyDescent="0.25">
      <c r="A63" s="24"/>
      <c r="B63" s="8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39"/>
      <c r="N63" s="39"/>
      <c r="O63" s="24"/>
    </row>
    <row r="64" spans="1:15" x14ac:dyDescent="0.25">
      <c r="A64" s="24"/>
      <c r="B64" s="83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39"/>
      <c r="N64" s="39"/>
      <c r="O64" s="24"/>
    </row>
    <row r="65" spans="1:15" x14ac:dyDescent="0.25">
      <c r="A65" s="24"/>
      <c r="B65" s="83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39"/>
      <c r="N65" s="39"/>
      <c r="O65" s="24"/>
    </row>
  </sheetData>
  <autoFilter ref="A3:P28" xr:uid="{00000000-0009-0000-0000-000015000000}"/>
  <mergeCells count="13"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H1:H2"/>
    <mergeCell ref="I1:J1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25"/>
  <sheetViews>
    <sheetView tabSelected="1" zoomScale="85" zoomScaleNormal="85" workbookViewId="0">
      <selection activeCell="B8" sqref="B8"/>
    </sheetView>
  </sheetViews>
  <sheetFormatPr defaultRowHeight="15" x14ac:dyDescent="0.25"/>
  <cols>
    <col min="2" max="2" width="17.85546875" customWidth="1"/>
    <col min="3" max="3" width="47.5703125" customWidth="1"/>
    <col min="4" max="4" width="9.140625" customWidth="1"/>
    <col min="5" max="5" width="12.140625" customWidth="1"/>
    <col min="6" max="6" width="24.28515625" customWidth="1"/>
    <col min="7" max="7" width="14.85546875" bestFit="1" customWidth="1"/>
    <col min="8" max="8" width="15.7109375" bestFit="1" customWidth="1"/>
    <col min="9" max="9" width="39.42578125" bestFit="1" customWidth="1"/>
    <col min="11" max="11" width="13.28515625" customWidth="1"/>
    <col min="12" max="12" width="16" customWidth="1"/>
    <col min="13" max="13" width="26.42578125" customWidth="1"/>
    <col min="14" max="14" width="24" customWidth="1"/>
    <col min="15" max="15" width="27.5703125" customWidth="1"/>
    <col min="16" max="16" width="25.140625" customWidth="1"/>
    <col min="17" max="17" width="19.85546875" customWidth="1"/>
    <col min="18" max="18" width="18.42578125" customWidth="1"/>
    <col min="19" max="19" width="13.42578125" customWidth="1"/>
    <col min="20" max="20" width="20.85546875" customWidth="1"/>
    <col min="21" max="21" width="19.42578125" customWidth="1"/>
  </cols>
  <sheetData>
    <row r="1" spans="1:22" x14ac:dyDescent="0.25">
      <c r="A1" t="s">
        <v>3005</v>
      </c>
      <c r="B1" s="105">
        <f>COUNTIF(Table1[Done hạch toán],"v")/MAX(Table1[STT])</f>
        <v>0.95652173913043481</v>
      </c>
      <c r="C1">
        <f>COUNTIF(Table1[Done hạch toán],"v")</f>
        <v>22</v>
      </c>
    </row>
    <row r="2" spans="1:22" x14ac:dyDescent="0.25">
      <c r="A2" s="96" t="s">
        <v>17</v>
      </c>
      <c r="B2" s="96" t="s">
        <v>3003</v>
      </c>
      <c r="C2" s="96" t="s">
        <v>2885</v>
      </c>
      <c r="D2" s="96" t="s">
        <v>2886</v>
      </c>
      <c r="E2" s="96" t="s">
        <v>2887</v>
      </c>
      <c r="F2" s="96" t="s">
        <v>2888</v>
      </c>
      <c r="G2" s="96" t="s">
        <v>2889</v>
      </c>
      <c r="H2" s="96" t="s">
        <v>2998</v>
      </c>
      <c r="I2" s="96" t="s">
        <v>2999</v>
      </c>
      <c r="J2" s="96" t="s">
        <v>2890</v>
      </c>
      <c r="K2" s="96" t="s">
        <v>3000</v>
      </c>
      <c r="L2" s="96" t="s">
        <v>3001</v>
      </c>
      <c r="M2" s="96" t="s">
        <v>2891</v>
      </c>
      <c r="N2" s="96" t="s">
        <v>2892</v>
      </c>
      <c r="O2" s="96" t="s">
        <v>2893</v>
      </c>
      <c r="P2" s="96" t="s">
        <v>2894</v>
      </c>
      <c r="Q2" s="96" t="s">
        <v>3002</v>
      </c>
      <c r="R2" s="96" t="s">
        <v>2895</v>
      </c>
      <c r="S2" s="96" t="s">
        <v>2896</v>
      </c>
      <c r="T2" s="96" t="s">
        <v>2897</v>
      </c>
      <c r="U2" s="96" t="s">
        <v>2898</v>
      </c>
      <c r="V2" s="96" t="s">
        <v>2899</v>
      </c>
    </row>
    <row r="3" spans="1:22" x14ac:dyDescent="0.25">
      <c r="A3" s="97">
        <v>1</v>
      </c>
      <c r="B3" s="97" t="s">
        <v>3004</v>
      </c>
      <c r="C3" s="98" t="s">
        <v>2900</v>
      </c>
      <c r="D3" s="99" t="s">
        <v>2901</v>
      </c>
      <c r="E3" s="97" t="s">
        <v>2902</v>
      </c>
      <c r="F3" s="97" t="s">
        <v>2903</v>
      </c>
      <c r="G3" s="98" t="s">
        <v>2904</v>
      </c>
      <c r="H3" s="109" t="s">
        <v>2383</v>
      </c>
      <c r="I3" s="98" t="s">
        <v>2903</v>
      </c>
      <c r="J3" s="99" t="s">
        <v>2905</v>
      </c>
      <c r="K3" s="100"/>
      <c r="L3" s="100"/>
      <c r="M3" s="98">
        <v>1</v>
      </c>
      <c r="N3" s="101">
        <v>690300</v>
      </c>
      <c r="O3" s="102">
        <v>45664</v>
      </c>
      <c r="P3" s="103">
        <v>0</v>
      </c>
      <c r="Q3" s="100"/>
      <c r="R3" s="100"/>
      <c r="S3" s="100"/>
      <c r="T3" s="99" t="s">
        <v>2906</v>
      </c>
      <c r="U3" s="98" t="s">
        <v>2907</v>
      </c>
      <c r="V3" s="98" t="s">
        <v>22</v>
      </c>
    </row>
    <row r="4" spans="1:22" x14ac:dyDescent="0.25">
      <c r="A4" s="97">
        <v>2</v>
      </c>
      <c r="B4" s="97" t="s">
        <v>3004</v>
      </c>
      <c r="C4" s="98" t="s">
        <v>2908</v>
      </c>
      <c r="D4" s="99" t="s">
        <v>2909</v>
      </c>
      <c r="E4" s="97" t="s">
        <v>2902</v>
      </c>
      <c r="F4" s="97" t="s">
        <v>2903</v>
      </c>
      <c r="G4" s="98" t="s">
        <v>2904</v>
      </c>
      <c r="H4" s="109" t="s">
        <v>844</v>
      </c>
      <c r="I4" s="98" t="s">
        <v>2903</v>
      </c>
      <c r="J4" s="98" t="s">
        <v>2905</v>
      </c>
      <c r="K4" s="100"/>
      <c r="L4" s="100"/>
      <c r="M4" s="98">
        <v>1</v>
      </c>
      <c r="N4" s="101">
        <v>690300</v>
      </c>
      <c r="O4" s="102">
        <v>45664</v>
      </c>
      <c r="P4" s="103">
        <v>0</v>
      </c>
      <c r="Q4" s="100"/>
      <c r="R4" s="100"/>
      <c r="S4" s="100"/>
      <c r="T4" s="99" t="s">
        <v>2910</v>
      </c>
      <c r="U4" s="98" t="s">
        <v>2911</v>
      </c>
      <c r="V4" s="98" t="s">
        <v>22</v>
      </c>
    </row>
    <row r="5" spans="1:22" x14ac:dyDescent="0.25">
      <c r="A5" s="97">
        <v>3</v>
      </c>
      <c r="B5" s="97" t="s">
        <v>3004</v>
      </c>
      <c r="C5" s="98" t="s">
        <v>2912</v>
      </c>
      <c r="D5" s="99" t="s">
        <v>2913</v>
      </c>
      <c r="E5" s="97" t="s">
        <v>2902</v>
      </c>
      <c r="F5" s="97" t="s">
        <v>2903</v>
      </c>
      <c r="G5" s="98" t="s">
        <v>2904</v>
      </c>
      <c r="H5" s="109" t="s">
        <v>2914</v>
      </c>
      <c r="I5" s="98" t="s">
        <v>2903</v>
      </c>
      <c r="J5" s="98" t="s">
        <v>2905</v>
      </c>
      <c r="K5" s="100"/>
      <c r="L5" s="100"/>
      <c r="M5" s="98">
        <v>1</v>
      </c>
      <c r="N5" s="101">
        <v>690300</v>
      </c>
      <c r="O5" s="102">
        <v>45664</v>
      </c>
      <c r="P5" s="103">
        <v>1</v>
      </c>
      <c r="Q5" s="102">
        <v>45666</v>
      </c>
      <c r="R5" s="100"/>
      <c r="S5" s="101">
        <v>1600000</v>
      </c>
      <c r="T5" s="99" t="s">
        <v>2915</v>
      </c>
      <c r="U5" s="98" t="s">
        <v>2916</v>
      </c>
      <c r="V5" s="100"/>
    </row>
    <row r="6" spans="1:22" x14ac:dyDescent="0.25">
      <c r="A6" s="97">
        <v>4</v>
      </c>
      <c r="B6" s="97" t="s">
        <v>3004</v>
      </c>
      <c r="C6" s="98" t="s">
        <v>2917</v>
      </c>
      <c r="D6" s="99" t="s">
        <v>2918</v>
      </c>
      <c r="E6" s="97" t="s">
        <v>2902</v>
      </c>
      <c r="F6" s="97" t="s">
        <v>2903</v>
      </c>
      <c r="G6" s="98" t="s">
        <v>2904</v>
      </c>
      <c r="H6" s="109" t="s">
        <v>2058</v>
      </c>
      <c r="I6" s="98" t="s">
        <v>2903</v>
      </c>
      <c r="J6" s="98" t="s">
        <v>2905</v>
      </c>
      <c r="K6" s="100"/>
      <c r="L6" s="100"/>
      <c r="M6" s="98">
        <v>1</v>
      </c>
      <c r="N6" s="101">
        <v>690300</v>
      </c>
      <c r="O6" s="102">
        <v>45664</v>
      </c>
      <c r="P6" s="103">
        <v>0</v>
      </c>
      <c r="Q6" s="100"/>
      <c r="R6" s="100"/>
      <c r="S6" s="100"/>
      <c r="T6" s="99" t="s">
        <v>2919</v>
      </c>
      <c r="U6" s="98" t="s">
        <v>2920</v>
      </c>
      <c r="V6" s="98" t="s">
        <v>22</v>
      </c>
    </row>
    <row r="7" spans="1:22" x14ac:dyDescent="0.25">
      <c r="A7" s="97">
        <v>5</v>
      </c>
      <c r="B7" s="97" t="s">
        <v>3004</v>
      </c>
      <c r="C7" s="98" t="s">
        <v>2921</v>
      </c>
      <c r="D7" s="99" t="s">
        <v>2922</v>
      </c>
      <c r="E7" s="97" t="s">
        <v>2902</v>
      </c>
      <c r="F7" s="97" t="s">
        <v>2903</v>
      </c>
      <c r="G7" s="98" t="s">
        <v>2904</v>
      </c>
      <c r="H7" s="109" t="s">
        <v>2923</v>
      </c>
      <c r="I7" s="98" t="s">
        <v>2903</v>
      </c>
      <c r="J7" s="98" t="s">
        <v>2905</v>
      </c>
      <c r="K7" s="100"/>
      <c r="L7" s="100"/>
      <c r="M7" s="98">
        <v>1</v>
      </c>
      <c r="N7" s="101">
        <v>2950000</v>
      </c>
      <c r="O7" s="102">
        <v>45664</v>
      </c>
      <c r="P7" s="103">
        <v>0</v>
      </c>
      <c r="Q7" s="100"/>
      <c r="R7" s="100"/>
      <c r="S7" s="100"/>
      <c r="T7" s="99" t="s">
        <v>2924</v>
      </c>
      <c r="U7" s="98" t="s">
        <v>2925</v>
      </c>
      <c r="V7" s="100"/>
    </row>
    <row r="8" spans="1:22" x14ac:dyDescent="0.25">
      <c r="A8" s="97">
        <v>6</v>
      </c>
      <c r="B8" s="97" t="s">
        <v>3004</v>
      </c>
      <c r="C8" s="98" t="s">
        <v>2926</v>
      </c>
      <c r="D8" s="99" t="s">
        <v>2927</v>
      </c>
      <c r="E8" s="97" t="s">
        <v>2902</v>
      </c>
      <c r="F8" s="97" t="s">
        <v>2903</v>
      </c>
      <c r="G8" s="98" t="s">
        <v>2904</v>
      </c>
      <c r="H8" s="109" t="s">
        <v>2928</v>
      </c>
      <c r="I8" s="98" t="s">
        <v>2903</v>
      </c>
      <c r="J8" s="98" t="s">
        <v>2905</v>
      </c>
      <c r="K8" s="100"/>
      <c r="L8" s="100"/>
      <c r="M8" s="98">
        <v>1</v>
      </c>
      <c r="N8" s="101">
        <v>690300</v>
      </c>
      <c r="O8" s="102">
        <v>45664</v>
      </c>
      <c r="P8" s="103">
        <v>0</v>
      </c>
      <c r="Q8" s="100"/>
      <c r="R8" s="100"/>
      <c r="S8" s="100"/>
      <c r="T8" s="99" t="s">
        <v>2929</v>
      </c>
      <c r="U8" s="98" t="s">
        <v>2930</v>
      </c>
      <c r="V8" s="100"/>
    </row>
    <row r="9" spans="1:22" x14ac:dyDescent="0.25">
      <c r="A9" s="97">
        <v>7</v>
      </c>
      <c r="B9" s="97" t="s">
        <v>3004</v>
      </c>
      <c r="C9" s="98" t="s">
        <v>1980</v>
      </c>
      <c r="D9" s="99" t="s">
        <v>2931</v>
      </c>
      <c r="E9" s="97" t="s">
        <v>2902</v>
      </c>
      <c r="F9" s="97" t="s">
        <v>2903</v>
      </c>
      <c r="G9" s="98" t="s">
        <v>2904</v>
      </c>
      <c r="H9" s="109" t="s">
        <v>1345</v>
      </c>
      <c r="I9" s="98" t="s">
        <v>2903</v>
      </c>
      <c r="J9" s="98" t="s">
        <v>2905</v>
      </c>
      <c r="K9" s="100"/>
      <c r="L9" s="100"/>
      <c r="M9" s="98">
        <v>1</v>
      </c>
      <c r="N9" s="101">
        <v>690300</v>
      </c>
      <c r="O9" s="102">
        <v>45664</v>
      </c>
      <c r="P9" s="103">
        <v>0</v>
      </c>
      <c r="Q9" s="100"/>
      <c r="R9" s="100"/>
      <c r="S9" s="100"/>
      <c r="T9" s="99" t="s">
        <v>2932</v>
      </c>
      <c r="U9" s="98" t="s">
        <v>2933</v>
      </c>
      <c r="V9" s="98" t="s">
        <v>22</v>
      </c>
    </row>
    <row r="10" spans="1:22" x14ac:dyDescent="0.25">
      <c r="A10" s="97">
        <v>8</v>
      </c>
      <c r="B10" s="97" t="s">
        <v>3004</v>
      </c>
      <c r="C10" s="98" t="s">
        <v>2934</v>
      </c>
      <c r="D10" s="99" t="s">
        <v>2935</v>
      </c>
      <c r="E10" s="97" t="s">
        <v>2902</v>
      </c>
      <c r="F10" s="97" t="s">
        <v>2903</v>
      </c>
      <c r="G10" s="98" t="s">
        <v>2904</v>
      </c>
      <c r="H10" s="109" t="s">
        <v>2936</v>
      </c>
      <c r="I10" s="98" t="s">
        <v>2903</v>
      </c>
      <c r="J10" s="98" t="s">
        <v>2905</v>
      </c>
      <c r="K10" s="100"/>
      <c r="L10" s="100"/>
      <c r="M10" s="98">
        <v>1</v>
      </c>
      <c r="N10" s="101">
        <v>690300</v>
      </c>
      <c r="O10" s="102">
        <v>45664</v>
      </c>
      <c r="P10" s="103">
        <v>0</v>
      </c>
      <c r="Q10" s="100"/>
      <c r="R10" s="100"/>
      <c r="S10" s="100"/>
      <c r="T10" s="99" t="s">
        <v>2937</v>
      </c>
      <c r="U10" s="98" t="s">
        <v>2938</v>
      </c>
      <c r="V10" s="100"/>
    </row>
    <row r="11" spans="1:22" x14ac:dyDescent="0.25">
      <c r="A11" s="97">
        <v>9</v>
      </c>
      <c r="B11" s="97" t="s">
        <v>3004</v>
      </c>
      <c r="C11" s="98" t="s">
        <v>2939</v>
      </c>
      <c r="D11" s="99" t="s">
        <v>2940</v>
      </c>
      <c r="E11" s="97" t="s">
        <v>2902</v>
      </c>
      <c r="F11" s="97" t="s">
        <v>2903</v>
      </c>
      <c r="G11" s="98" t="s">
        <v>2904</v>
      </c>
      <c r="H11" s="109" t="s">
        <v>615</v>
      </c>
      <c r="I11" s="98" t="s">
        <v>2903</v>
      </c>
      <c r="J11" s="98" t="s">
        <v>2905</v>
      </c>
      <c r="K11" s="100"/>
      <c r="L11" s="100"/>
      <c r="M11" s="98">
        <v>1</v>
      </c>
      <c r="N11" s="101">
        <v>690300</v>
      </c>
      <c r="O11" s="102">
        <v>45664</v>
      </c>
      <c r="P11" s="103">
        <v>0</v>
      </c>
      <c r="Q11" s="100"/>
      <c r="R11" s="100"/>
      <c r="S11" s="100"/>
      <c r="T11" s="99" t="s">
        <v>2941</v>
      </c>
      <c r="U11" s="98" t="s">
        <v>2942</v>
      </c>
      <c r="V11" s="98" t="s">
        <v>22</v>
      </c>
    </row>
    <row r="12" spans="1:22" x14ac:dyDescent="0.25">
      <c r="A12" s="97">
        <v>10</v>
      </c>
      <c r="B12" s="97" t="s">
        <v>3004</v>
      </c>
      <c r="C12" s="98" t="s">
        <v>1987</v>
      </c>
      <c r="D12" s="99" t="s">
        <v>2943</v>
      </c>
      <c r="E12" s="97" t="s">
        <v>2902</v>
      </c>
      <c r="F12" s="97" t="s">
        <v>2903</v>
      </c>
      <c r="G12" s="98" t="s">
        <v>2904</v>
      </c>
      <c r="H12" s="109" t="s">
        <v>1986</v>
      </c>
      <c r="I12" s="98" t="s">
        <v>2903</v>
      </c>
      <c r="J12" s="98" t="s">
        <v>2905</v>
      </c>
      <c r="K12" s="100"/>
      <c r="L12" s="100"/>
      <c r="M12" s="98">
        <v>1</v>
      </c>
      <c r="N12" s="101">
        <v>690300</v>
      </c>
      <c r="O12" s="102">
        <v>45664</v>
      </c>
      <c r="P12" s="103">
        <v>0</v>
      </c>
      <c r="Q12" s="100"/>
      <c r="R12" s="100"/>
      <c r="S12" s="100"/>
      <c r="T12" s="99" t="s">
        <v>2944</v>
      </c>
      <c r="U12" s="98" t="s">
        <v>2945</v>
      </c>
      <c r="V12" s="98" t="s">
        <v>22</v>
      </c>
    </row>
    <row r="13" spans="1:22" x14ac:dyDescent="0.25">
      <c r="A13" s="97">
        <v>11</v>
      </c>
      <c r="B13" s="97" t="s">
        <v>3004</v>
      </c>
      <c r="C13" s="98" t="s">
        <v>2946</v>
      </c>
      <c r="D13" s="99" t="s">
        <v>2947</v>
      </c>
      <c r="E13" s="97" t="s">
        <v>2902</v>
      </c>
      <c r="F13" s="97" t="s">
        <v>2903</v>
      </c>
      <c r="G13" s="98" t="s">
        <v>2904</v>
      </c>
      <c r="H13" s="109" t="s">
        <v>2948</v>
      </c>
      <c r="I13" s="98" t="s">
        <v>2903</v>
      </c>
      <c r="J13" s="98" t="s">
        <v>2905</v>
      </c>
      <c r="K13" s="100"/>
      <c r="L13" s="100"/>
      <c r="M13" s="98">
        <v>1</v>
      </c>
      <c r="N13" s="101">
        <v>690300</v>
      </c>
      <c r="O13" s="102">
        <v>45664</v>
      </c>
      <c r="P13" s="103">
        <v>0</v>
      </c>
      <c r="Q13" s="100"/>
      <c r="R13" s="100"/>
      <c r="S13" s="100"/>
      <c r="T13" s="99" t="s">
        <v>2949</v>
      </c>
      <c r="U13" s="98" t="s">
        <v>2950</v>
      </c>
      <c r="V13" s="98" t="s">
        <v>22</v>
      </c>
    </row>
    <row r="14" spans="1:22" x14ac:dyDescent="0.25">
      <c r="A14" s="97">
        <v>12</v>
      </c>
      <c r="B14" s="97" t="s">
        <v>3004</v>
      </c>
      <c r="C14" s="98" t="s">
        <v>2951</v>
      </c>
      <c r="D14" s="99" t="s">
        <v>2952</v>
      </c>
      <c r="E14" s="97" t="s">
        <v>2902</v>
      </c>
      <c r="F14" s="97" t="s">
        <v>2903</v>
      </c>
      <c r="G14" s="98" t="s">
        <v>2904</v>
      </c>
      <c r="H14" s="109" t="s">
        <v>2803</v>
      </c>
      <c r="I14" s="98" t="s">
        <v>2903</v>
      </c>
      <c r="J14" s="98" t="s">
        <v>2905</v>
      </c>
      <c r="K14" s="100"/>
      <c r="L14" s="100"/>
      <c r="M14" s="98">
        <v>1</v>
      </c>
      <c r="N14" s="101">
        <v>690300</v>
      </c>
      <c r="O14" s="102">
        <v>45664</v>
      </c>
      <c r="P14" s="103">
        <v>0</v>
      </c>
      <c r="Q14" s="100"/>
      <c r="R14" s="100"/>
      <c r="S14" s="100"/>
      <c r="T14" s="99" t="s">
        <v>2953</v>
      </c>
      <c r="U14" s="98" t="s">
        <v>2954</v>
      </c>
      <c r="V14" s="98" t="s">
        <v>22</v>
      </c>
    </row>
    <row r="15" spans="1:22" x14ac:dyDescent="0.25">
      <c r="A15" s="97">
        <v>13</v>
      </c>
      <c r="B15" s="97" t="s">
        <v>3004</v>
      </c>
      <c r="C15" s="98" t="s">
        <v>2955</v>
      </c>
      <c r="D15" s="99" t="s">
        <v>2956</v>
      </c>
      <c r="E15" s="97" t="s">
        <v>2902</v>
      </c>
      <c r="F15" s="97" t="s">
        <v>2903</v>
      </c>
      <c r="G15" s="98" t="s">
        <v>2904</v>
      </c>
      <c r="H15" s="109" t="s">
        <v>2208</v>
      </c>
      <c r="I15" s="98" t="s">
        <v>2903</v>
      </c>
      <c r="J15" s="98" t="s">
        <v>2905</v>
      </c>
      <c r="K15" s="100"/>
      <c r="L15" s="100"/>
      <c r="M15" s="98">
        <v>1</v>
      </c>
      <c r="N15" s="101">
        <v>690300</v>
      </c>
      <c r="O15" s="102">
        <v>45664</v>
      </c>
      <c r="P15" s="103">
        <v>0</v>
      </c>
      <c r="Q15" s="100"/>
      <c r="R15" s="100"/>
      <c r="S15" s="100"/>
      <c r="T15" s="99" t="s">
        <v>2957</v>
      </c>
      <c r="U15" s="98" t="s">
        <v>2958</v>
      </c>
      <c r="V15" s="98" t="s">
        <v>22</v>
      </c>
    </row>
    <row r="16" spans="1:22" x14ac:dyDescent="0.25">
      <c r="A16" s="97">
        <v>14</v>
      </c>
      <c r="B16" s="97" t="s">
        <v>3004</v>
      </c>
      <c r="C16" s="98" t="s">
        <v>2959</v>
      </c>
      <c r="D16" s="99" t="s">
        <v>2960</v>
      </c>
      <c r="E16" s="97" t="s">
        <v>2902</v>
      </c>
      <c r="F16" s="97" t="s">
        <v>2903</v>
      </c>
      <c r="G16" s="98" t="s">
        <v>2904</v>
      </c>
      <c r="H16" s="109" t="s">
        <v>1184</v>
      </c>
      <c r="I16" s="98" t="s">
        <v>2903</v>
      </c>
      <c r="J16" s="98" t="s">
        <v>2905</v>
      </c>
      <c r="K16" s="100"/>
      <c r="L16" s="100"/>
      <c r="M16" s="98">
        <v>1</v>
      </c>
      <c r="N16" s="101">
        <v>690300</v>
      </c>
      <c r="O16" s="102">
        <v>45664</v>
      </c>
      <c r="P16" s="103">
        <v>0</v>
      </c>
      <c r="Q16" s="100"/>
      <c r="R16" s="100"/>
      <c r="S16" s="100"/>
      <c r="T16" s="99" t="s">
        <v>2961</v>
      </c>
      <c r="U16" s="98" t="s">
        <v>2962</v>
      </c>
      <c r="V16" s="100"/>
    </row>
    <row r="17" spans="1:22" x14ac:dyDescent="0.25">
      <c r="A17" s="97">
        <v>15</v>
      </c>
      <c r="B17" s="97" t="s">
        <v>3004</v>
      </c>
      <c r="C17" s="98" t="s">
        <v>1988</v>
      </c>
      <c r="D17" s="99" t="s">
        <v>2963</v>
      </c>
      <c r="E17" s="97" t="s">
        <v>2902</v>
      </c>
      <c r="F17" s="97" t="s">
        <v>2903</v>
      </c>
      <c r="G17" s="98" t="s">
        <v>2904</v>
      </c>
      <c r="H17" s="109" t="s">
        <v>1007</v>
      </c>
      <c r="I17" s="98" t="s">
        <v>2903</v>
      </c>
      <c r="J17" s="98" t="s">
        <v>2905</v>
      </c>
      <c r="K17" s="100"/>
      <c r="L17" s="100"/>
      <c r="M17" s="98">
        <v>1</v>
      </c>
      <c r="N17" s="101">
        <v>690300</v>
      </c>
      <c r="O17" s="102">
        <v>45664</v>
      </c>
      <c r="P17" s="103">
        <v>0</v>
      </c>
      <c r="Q17" s="100"/>
      <c r="R17" s="100"/>
      <c r="S17" s="100"/>
      <c r="T17" s="99" t="s">
        <v>2964</v>
      </c>
      <c r="U17" s="98" t="s">
        <v>2965</v>
      </c>
      <c r="V17" s="98" t="s">
        <v>22</v>
      </c>
    </row>
    <row r="18" spans="1:22" x14ac:dyDescent="0.25">
      <c r="A18" s="97">
        <v>16</v>
      </c>
      <c r="B18" s="97" t="s">
        <v>3004</v>
      </c>
      <c r="C18" s="98" t="s">
        <v>2966</v>
      </c>
      <c r="D18" s="99" t="s">
        <v>2967</v>
      </c>
      <c r="E18" s="97" t="s">
        <v>2902</v>
      </c>
      <c r="F18" s="97" t="s">
        <v>2903</v>
      </c>
      <c r="G18" s="98" t="s">
        <v>2904</v>
      </c>
      <c r="H18" s="109" t="s">
        <v>2968</v>
      </c>
      <c r="I18" s="98" t="s">
        <v>2903</v>
      </c>
      <c r="J18" s="98" t="s">
        <v>2905</v>
      </c>
      <c r="K18" s="100"/>
      <c r="L18" s="100"/>
      <c r="M18" s="98">
        <v>1</v>
      </c>
      <c r="N18" s="101">
        <v>690300</v>
      </c>
      <c r="O18" s="102">
        <v>45664</v>
      </c>
      <c r="P18" s="103">
        <v>4</v>
      </c>
      <c r="Q18" s="102">
        <v>45664</v>
      </c>
      <c r="R18" s="101">
        <v>33500000</v>
      </c>
      <c r="S18" s="101">
        <v>6400000</v>
      </c>
      <c r="T18" s="99" t="s">
        <v>2969</v>
      </c>
      <c r="U18" s="98" t="s">
        <v>2970</v>
      </c>
      <c r="V18" s="100"/>
    </row>
    <row r="19" spans="1:22" x14ac:dyDescent="0.25">
      <c r="A19" s="97">
        <v>17</v>
      </c>
      <c r="B19" s="97" t="s">
        <v>3004</v>
      </c>
      <c r="C19" s="98" t="s">
        <v>2971</v>
      </c>
      <c r="D19" s="99" t="s">
        <v>2972</v>
      </c>
      <c r="E19" s="97" t="s">
        <v>2902</v>
      </c>
      <c r="F19" s="97" t="s">
        <v>2903</v>
      </c>
      <c r="G19" s="98" t="s">
        <v>2904</v>
      </c>
      <c r="H19" s="109" t="s">
        <v>2878</v>
      </c>
      <c r="I19" s="98" t="s">
        <v>2903</v>
      </c>
      <c r="J19" s="98" t="s">
        <v>2905</v>
      </c>
      <c r="K19" s="98">
        <v>70095006110</v>
      </c>
      <c r="L19" s="98" t="s">
        <v>2903</v>
      </c>
      <c r="M19" s="98">
        <v>1</v>
      </c>
      <c r="N19" s="101">
        <v>690300</v>
      </c>
      <c r="O19" s="102">
        <v>45665</v>
      </c>
      <c r="P19" s="103">
        <v>0</v>
      </c>
      <c r="Q19" s="100"/>
      <c r="R19" s="100"/>
      <c r="S19" s="100"/>
      <c r="T19" s="99" t="s">
        <v>2973</v>
      </c>
      <c r="U19" s="98" t="s">
        <v>2974</v>
      </c>
      <c r="V19" s="98" t="s">
        <v>22</v>
      </c>
    </row>
    <row r="20" spans="1:22" x14ac:dyDescent="0.25">
      <c r="A20" s="97">
        <v>18</v>
      </c>
      <c r="B20" s="97" t="s">
        <v>3004</v>
      </c>
      <c r="C20" s="98" t="s">
        <v>2975</v>
      </c>
      <c r="D20" s="99" t="s">
        <v>2976</v>
      </c>
      <c r="E20" s="97" t="s">
        <v>2902</v>
      </c>
      <c r="F20" s="97" t="s">
        <v>2903</v>
      </c>
      <c r="G20" s="98" t="s">
        <v>2904</v>
      </c>
      <c r="H20" s="109" t="s">
        <v>1528</v>
      </c>
      <c r="I20" s="98" t="s">
        <v>2903</v>
      </c>
      <c r="J20" s="98" t="s">
        <v>2905</v>
      </c>
      <c r="K20" s="98">
        <v>79200020738</v>
      </c>
      <c r="L20" s="98" t="s">
        <v>2903</v>
      </c>
      <c r="M20" s="98">
        <v>1</v>
      </c>
      <c r="N20" s="101">
        <v>690300</v>
      </c>
      <c r="O20" s="102">
        <v>45665</v>
      </c>
      <c r="P20" s="103">
        <v>0</v>
      </c>
      <c r="Q20" s="100"/>
      <c r="R20" s="100"/>
      <c r="S20" s="100"/>
      <c r="T20" s="104" t="s">
        <v>2977</v>
      </c>
      <c r="U20" s="98" t="s">
        <v>2978</v>
      </c>
      <c r="V20" s="98" t="s">
        <v>22</v>
      </c>
    </row>
    <row r="21" spans="1:22" x14ac:dyDescent="0.25">
      <c r="A21" s="97">
        <v>19</v>
      </c>
      <c r="B21" s="97" t="s">
        <v>3004</v>
      </c>
      <c r="C21" s="98" t="s">
        <v>2979</v>
      </c>
      <c r="D21" s="99" t="s">
        <v>2980</v>
      </c>
      <c r="E21" s="97" t="s">
        <v>2902</v>
      </c>
      <c r="F21" s="97" t="s">
        <v>2903</v>
      </c>
      <c r="G21" s="98" t="s">
        <v>2904</v>
      </c>
      <c r="H21" s="109" t="s">
        <v>3070</v>
      </c>
      <c r="I21" s="98" t="s">
        <v>2903</v>
      </c>
      <c r="J21" s="98" t="s">
        <v>2905</v>
      </c>
      <c r="K21" s="98">
        <v>72098001948</v>
      </c>
      <c r="L21" s="98" t="s">
        <v>2903</v>
      </c>
      <c r="M21" s="98">
        <v>1</v>
      </c>
      <c r="N21" s="101">
        <v>690300</v>
      </c>
      <c r="O21" s="102">
        <v>45665</v>
      </c>
      <c r="P21" s="103">
        <v>0</v>
      </c>
      <c r="Q21" s="100"/>
      <c r="R21" s="100"/>
      <c r="S21" s="100"/>
      <c r="T21" s="99" t="s">
        <v>2981</v>
      </c>
      <c r="U21" s="98" t="s">
        <v>2982</v>
      </c>
      <c r="V21" s="98" t="s">
        <v>22</v>
      </c>
    </row>
    <row r="22" spans="1:22" x14ac:dyDescent="0.25">
      <c r="A22" s="97">
        <v>20</v>
      </c>
      <c r="B22" s="97" t="s">
        <v>3004</v>
      </c>
      <c r="C22" s="98" t="s">
        <v>2983</v>
      </c>
      <c r="D22" s="99" t="s">
        <v>2984</v>
      </c>
      <c r="E22" s="97" t="s">
        <v>2902</v>
      </c>
      <c r="F22" s="97" t="s">
        <v>2903</v>
      </c>
      <c r="G22" s="98" t="s">
        <v>2904</v>
      </c>
      <c r="H22" s="109" t="s">
        <v>3278</v>
      </c>
      <c r="I22" s="98" t="s">
        <v>2903</v>
      </c>
      <c r="J22" s="98" t="s">
        <v>2905</v>
      </c>
      <c r="K22" s="98">
        <v>79302004855</v>
      </c>
      <c r="L22" s="98" t="s">
        <v>2903</v>
      </c>
      <c r="M22" s="98">
        <v>1</v>
      </c>
      <c r="N22" s="101">
        <v>690300</v>
      </c>
      <c r="O22" s="102">
        <v>45666</v>
      </c>
      <c r="P22" s="103">
        <v>0</v>
      </c>
      <c r="Q22" s="100"/>
      <c r="R22" s="100"/>
      <c r="S22" s="100"/>
      <c r="T22" s="99" t="s">
        <v>2985</v>
      </c>
      <c r="U22" s="98" t="s">
        <v>2986</v>
      </c>
      <c r="V22" s="100"/>
    </row>
    <row r="23" spans="1:22" x14ac:dyDescent="0.25">
      <c r="A23" s="97">
        <v>21</v>
      </c>
      <c r="B23" s="97" t="s">
        <v>3004</v>
      </c>
      <c r="C23" s="98" t="s">
        <v>2987</v>
      </c>
      <c r="D23" s="99" t="s">
        <v>2988</v>
      </c>
      <c r="E23" s="97" t="s">
        <v>2902</v>
      </c>
      <c r="F23" s="97" t="s">
        <v>2903</v>
      </c>
      <c r="G23" s="98" t="s">
        <v>2904</v>
      </c>
      <c r="H23" s="109" t="s">
        <v>3279</v>
      </c>
      <c r="I23" s="98" t="s">
        <v>2903</v>
      </c>
      <c r="J23" s="98" t="s">
        <v>2905</v>
      </c>
      <c r="K23" s="98">
        <v>79098009021</v>
      </c>
      <c r="L23" s="98" t="s">
        <v>2903</v>
      </c>
      <c r="M23" s="98">
        <v>1</v>
      </c>
      <c r="N23" s="101">
        <v>690300</v>
      </c>
      <c r="O23" s="102">
        <v>45666</v>
      </c>
      <c r="P23" s="103">
        <v>0</v>
      </c>
      <c r="Q23" s="100"/>
      <c r="R23" s="100"/>
      <c r="S23" s="100"/>
      <c r="T23" s="99" t="s">
        <v>2989</v>
      </c>
      <c r="U23" s="98" t="s">
        <v>2990</v>
      </c>
      <c r="V23" s="100"/>
    </row>
    <row r="24" spans="1:22" x14ac:dyDescent="0.25">
      <c r="A24" s="97">
        <v>22</v>
      </c>
      <c r="B24" s="97" t="s">
        <v>3004</v>
      </c>
      <c r="C24" s="98" t="s">
        <v>2991</v>
      </c>
      <c r="D24" s="99" t="s">
        <v>2992</v>
      </c>
      <c r="E24" s="97" t="s">
        <v>2902</v>
      </c>
      <c r="F24" s="97" t="s">
        <v>2903</v>
      </c>
      <c r="G24" s="98" t="s">
        <v>2904</v>
      </c>
      <c r="H24" s="109" t="s">
        <v>3280</v>
      </c>
      <c r="I24" s="98" t="s">
        <v>2903</v>
      </c>
      <c r="J24" s="98" t="s">
        <v>2905</v>
      </c>
      <c r="K24" s="100"/>
      <c r="L24" s="100"/>
      <c r="M24" s="98">
        <v>1</v>
      </c>
      <c r="N24" s="101">
        <v>690300</v>
      </c>
      <c r="O24" s="102">
        <v>45666</v>
      </c>
      <c r="P24" s="103">
        <v>0</v>
      </c>
      <c r="Q24" s="100"/>
      <c r="R24" s="100"/>
      <c r="S24" s="100"/>
      <c r="T24" s="99" t="s">
        <v>2993</v>
      </c>
      <c r="U24" s="98" t="s">
        <v>2994</v>
      </c>
      <c r="V24" s="100"/>
    </row>
    <row r="25" spans="1:22" x14ac:dyDescent="0.25">
      <c r="A25" s="97">
        <v>23</v>
      </c>
      <c r="B25" s="97"/>
      <c r="C25" s="98" t="s">
        <v>2995</v>
      </c>
      <c r="D25" s="99" t="s">
        <v>2996</v>
      </c>
      <c r="E25" s="97" t="s">
        <v>2902</v>
      </c>
      <c r="F25" s="97" t="s">
        <v>2903</v>
      </c>
      <c r="G25" s="98" t="s">
        <v>2904</v>
      </c>
      <c r="H25" s="109" t="s">
        <v>3281</v>
      </c>
      <c r="I25" s="98" t="s">
        <v>2903</v>
      </c>
      <c r="J25" s="98" t="s">
        <v>2905</v>
      </c>
      <c r="K25" s="98">
        <v>52300008705</v>
      </c>
      <c r="L25" s="98" t="s">
        <v>2903</v>
      </c>
      <c r="M25" s="98">
        <v>1</v>
      </c>
      <c r="N25" s="101">
        <v>690300</v>
      </c>
      <c r="O25" s="102">
        <v>45667</v>
      </c>
      <c r="P25" s="103">
        <v>0</v>
      </c>
      <c r="Q25" s="100"/>
      <c r="R25" s="100"/>
      <c r="S25" s="100"/>
      <c r="T25" s="99" t="s">
        <v>2997</v>
      </c>
      <c r="U25" s="100"/>
      <c r="V25" s="100"/>
    </row>
  </sheetData>
  <hyperlinks>
    <hyperlink ref="D3" r:id="rId1" xr:uid="{00000000-0004-0000-1200-000000000000}"/>
    <hyperlink ref="G3" r:id="rId2" xr:uid="{00000000-0004-0000-1200-000001000000}"/>
    <hyperlink ref="J3" r:id="rId3" xr:uid="{00000000-0004-0000-1200-000002000000}"/>
    <hyperlink ref="T3" r:id="rId4" xr:uid="{00000000-0004-0000-1200-000003000000}"/>
    <hyperlink ref="D4" r:id="rId5" xr:uid="{00000000-0004-0000-1200-000004000000}"/>
    <hyperlink ref="T4" r:id="rId6" xr:uid="{00000000-0004-0000-1200-000005000000}"/>
    <hyperlink ref="D5" r:id="rId7" xr:uid="{00000000-0004-0000-1200-000006000000}"/>
    <hyperlink ref="T5" r:id="rId8" xr:uid="{00000000-0004-0000-1200-000007000000}"/>
    <hyperlink ref="D6" r:id="rId9" xr:uid="{00000000-0004-0000-1200-000008000000}"/>
    <hyperlink ref="T6" r:id="rId10" xr:uid="{00000000-0004-0000-1200-000009000000}"/>
    <hyperlink ref="D7" r:id="rId11" xr:uid="{00000000-0004-0000-1200-00000A000000}"/>
    <hyperlink ref="T7" r:id="rId12" xr:uid="{00000000-0004-0000-1200-00000B000000}"/>
    <hyperlink ref="D8" r:id="rId13" xr:uid="{00000000-0004-0000-1200-00000C000000}"/>
    <hyperlink ref="T8" r:id="rId14" xr:uid="{00000000-0004-0000-1200-00000D000000}"/>
    <hyperlink ref="D9" r:id="rId15" xr:uid="{00000000-0004-0000-1200-00000E000000}"/>
    <hyperlink ref="T9" r:id="rId16" xr:uid="{00000000-0004-0000-1200-00000F000000}"/>
    <hyperlink ref="D10" r:id="rId17" xr:uid="{00000000-0004-0000-1200-000010000000}"/>
    <hyperlink ref="T10" r:id="rId18" xr:uid="{00000000-0004-0000-1200-000011000000}"/>
    <hyperlink ref="D11" r:id="rId19" xr:uid="{00000000-0004-0000-1200-000012000000}"/>
    <hyperlink ref="T11" r:id="rId20" xr:uid="{00000000-0004-0000-1200-000013000000}"/>
    <hyperlink ref="D12" r:id="rId21" xr:uid="{00000000-0004-0000-1200-000014000000}"/>
    <hyperlink ref="T12" r:id="rId22" xr:uid="{00000000-0004-0000-1200-000015000000}"/>
    <hyperlink ref="D13" r:id="rId23" xr:uid="{00000000-0004-0000-1200-000016000000}"/>
    <hyperlink ref="T13" r:id="rId24" xr:uid="{00000000-0004-0000-1200-000017000000}"/>
    <hyperlink ref="D14" r:id="rId25" xr:uid="{00000000-0004-0000-1200-000018000000}"/>
    <hyperlink ref="T14" r:id="rId26" xr:uid="{00000000-0004-0000-1200-000019000000}"/>
    <hyperlink ref="D15" r:id="rId27" xr:uid="{00000000-0004-0000-1200-00001A000000}"/>
    <hyperlink ref="T15" r:id="rId28" xr:uid="{00000000-0004-0000-1200-00001B000000}"/>
    <hyperlink ref="D16" r:id="rId29" xr:uid="{00000000-0004-0000-1200-00001C000000}"/>
    <hyperlink ref="T16" r:id="rId30" xr:uid="{00000000-0004-0000-1200-00001D000000}"/>
    <hyperlink ref="D17" r:id="rId31" xr:uid="{00000000-0004-0000-1200-00001E000000}"/>
    <hyperlink ref="T17" r:id="rId32" xr:uid="{00000000-0004-0000-1200-00001F000000}"/>
    <hyperlink ref="D18" r:id="rId33" xr:uid="{00000000-0004-0000-1200-000020000000}"/>
    <hyperlink ref="T18" r:id="rId34" xr:uid="{00000000-0004-0000-1200-000021000000}"/>
    <hyperlink ref="D19" r:id="rId35" xr:uid="{00000000-0004-0000-1200-000022000000}"/>
    <hyperlink ref="T19" r:id="rId36" xr:uid="{00000000-0004-0000-1200-000023000000}"/>
    <hyperlink ref="D20" r:id="rId37" xr:uid="{00000000-0004-0000-1200-000024000000}"/>
    <hyperlink ref="D21" r:id="rId38" xr:uid="{00000000-0004-0000-1200-000025000000}"/>
    <hyperlink ref="T21" r:id="rId39" xr:uid="{00000000-0004-0000-1200-000026000000}"/>
    <hyperlink ref="D22" r:id="rId40" xr:uid="{00000000-0004-0000-1200-000027000000}"/>
    <hyperlink ref="T22" r:id="rId41" xr:uid="{00000000-0004-0000-1200-000028000000}"/>
    <hyperlink ref="D23" r:id="rId42" xr:uid="{00000000-0004-0000-1200-000029000000}"/>
    <hyperlink ref="T23" r:id="rId43" xr:uid="{00000000-0004-0000-1200-00002A000000}"/>
    <hyperlink ref="D24" r:id="rId44" xr:uid="{00000000-0004-0000-1200-00002B000000}"/>
    <hyperlink ref="T24" r:id="rId45" xr:uid="{00000000-0004-0000-1200-00002C000000}"/>
    <hyperlink ref="D25" r:id="rId46" xr:uid="{00000000-0004-0000-1200-00002D000000}"/>
    <hyperlink ref="T25" r:id="rId47" xr:uid="{00000000-0004-0000-1200-00002E000000}"/>
  </hyperlinks>
  <pageMargins left="0.7" right="0.7" top="0.75" bottom="0.75" header="0.3" footer="0.3"/>
  <pageSetup paperSize="9" orientation="portrait" r:id="rId48"/>
  <tableParts count="1">
    <tablePart r:id="rId49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</sheetPr>
  <dimension ref="A1:AB12"/>
  <sheetViews>
    <sheetView workbookViewId="0">
      <selection activeCell="A4" sqref="A4"/>
    </sheetView>
  </sheetViews>
  <sheetFormatPr defaultRowHeight="15" customHeight="1" x14ac:dyDescent="0.2"/>
  <cols>
    <col min="1" max="7" width="9.140625" style="13"/>
    <col min="8" max="8" width="28.28515625" style="13" customWidth="1"/>
    <col min="9" max="12" width="9.140625" style="13"/>
    <col min="13" max="13" width="12" style="21" bestFit="1" customWidth="1"/>
    <col min="14" max="14" width="10.7109375" style="21" bestFit="1" customWidth="1"/>
    <col min="15" max="17" width="9.140625" style="13"/>
    <col min="18" max="28" width="9.140625" style="15"/>
    <col min="29" max="16384" width="9.140625" style="13"/>
  </cols>
  <sheetData>
    <row r="1" spans="1:16" ht="15" customHeight="1" thickBot="1" x14ac:dyDescent="0.25">
      <c r="A1" s="164" t="s">
        <v>0</v>
      </c>
      <c r="B1" s="154" t="s">
        <v>1</v>
      </c>
      <c r="C1" s="164" t="s">
        <v>2</v>
      </c>
      <c r="D1" s="170" t="s">
        <v>3</v>
      </c>
      <c r="E1" s="170" t="s">
        <v>4</v>
      </c>
      <c r="F1" s="170" t="s">
        <v>5</v>
      </c>
      <c r="G1" s="158" t="s">
        <v>6</v>
      </c>
      <c r="H1" s="160" t="s">
        <v>7</v>
      </c>
      <c r="I1" s="162" t="s">
        <v>8</v>
      </c>
      <c r="J1" s="163"/>
      <c r="K1" s="164" t="s">
        <v>9</v>
      </c>
      <c r="L1" s="164" t="s">
        <v>10</v>
      </c>
      <c r="M1" s="194" t="s">
        <v>1287</v>
      </c>
      <c r="N1" s="194" t="s">
        <v>1288</v>
      </c>
      <c r="O1" s="55" t="s">
        <v>1289</v>
      </c>
      <c r="P1" s="46" t="s">
        <v>3332</v>
      </c>
    </row>
    <row r="2" spans="1:16" ht="15" customHeight="1" thickBot="1" x14ac:dyDescent="0.25">
      <c r="A2" s="165"/>
      <c r="B2" s="155"/>
      <c r="C2" s="165"/>
      <c r="D2" s="171"/>
      <c r="E2" s="171"/>
      <c r="F2" s="172"/>
      <c r="G2" s="159"/>
      <c r="H2" s="161"/>
      <c r="I2" s="56" t="s">
        <v>13</v>
      </c>
      <c r="J2" s="57" t="s">
        <v>14</v>
      </c>
      <c r="K2" s="165"/>
      <c r="L2" s="165"/>
      <c r="M2" s="195"/>
      <c r="N2" s="195"/>
      <c r="O2" s="46" t="s">
        <v>1289</v>
      </c>
      <c r="P2" s="46"/>
    </row>
    <row r="3" spans="1:16" ht="15" customHeight="1" x14ac:dyDescent="0.2">
      <c r="A3" s="58"/>
      <c r="B3" s="107"/>
      <c r="C3" s="58"/>
      <c r="D3" s="60"/>
      <c r="E3" s="60"/>
      <c r="F3" s="60"/>
      <c r="G3" s="62" t="s">
        <v>15</v>
      </c>
      <c r="H3" s="63"/>
      <c r="I3" s="63"/>
      <c r="J3" s="63"/>
      <c r="K3" s="58"/>
      <c r="L3" s="58"/>
      <c r="M3" s="108"/>
      <c r="N3" s="108"/>
      <c r="O3" s="46" t="s">
        <v>16</v>
      </c>
      <c r="P3" s="46" t="s">
        <v>17</v>
      </c>
    </row>
    <row r="4" spans="1:16" ht="15" customHeight="1" x14ac:dyDescent="0.2">
      <c r="A4" s="13" t="s">
        <v>18</v>
      </c>
      <c r="B4" s="13" t="s">
        <v>1481</v>
      </c>
      <c r="G4" s="13" t="s">
        <v>1727</v>
      </c>
      <c r="H4" s="13" t="s">
        <v>3329</v>
      </c>
      <c r="I4" s="13">
        <v>64275</v>
      </c>
      <c r="J4" s="13">
        <v>331</v>
      </c>
      <c r="K4" s="13" t="s">
        <v>21</v>
      </c>
      <c r="L4" s="13">
        <v>1</v>
      </c>
      <c r="M4" s="21">
        <v>6144600</v>
      </c>
      <c r="N4" s="21">
        <f>L4*M4</f>
        <v>6144600</v>
      </c>
      <c r="O4" s="13" t="s">
        <v>22</v>
      </c>
    </row>
    <row r="5" spans="1:16" ht="15" customHeight="1" x14ac:dyDescent="0.2">
      <c r="A5" s="13" t="s">
        <v>18</v>
      </c>
      <c r="B5" s="13" t="s">
        <v>1536</v>
      </c>
      <c r="G5" s="13" t="s">
        <v>695</v>
      </c>
      <c r="H5" s="13" t="s">
        <v>3330</v>
      </c>
      <c r="I5" s="13">
        <v>64277</v>
      </c>
      <c r="J5" s="13">
        <v>331</v>
      </c>
      <c r="K5" s="13" t="s">
        <v>21</v>
      </c>
      <c r="L5" s="13">
        <v>1</v>
      </c>
      <c r="M5" s="21">
        <v>99000</v>
      </c>
      <c r="N5" s="21">
        <f t="shared" ref="N5:N6" si="0">L5*M5</f>
        <v>99000</v>
      </c>
      <c r="O5" s="13" t="s">
        <v>22</v>
      </c>
    </row>
    <row r="6" spans="1:16" ht="15" customHeight="1" x14ac:dyDescent="0.2">
      <c r="A6" s="13" t="s">
        <v>18</v>
      </c>
      <c r="B6" s="13" t="s">
        <v>1537</v>
      </c>
      <c r="G6" s="13" t="s">
        <v>695</v>
      </c>
      <c r="H6" s="13" t="s">
        <v>3331</v>
      </c>
      <c r="I6" s="13">
        <v>64277</v>
      </c>
      <c r="J6" s="13">
        <v>331</v>
      </c>
      <c r="K6" s="13" t="s">
        <v>21</v>
      </c>
      <c r="L6" s="13">
        <v>1</v>
      </c>
      <c r="M6" s="21">
        <v>860040</v>
      </c>
      <c r="N6" s="21">
        <f t="shared" si="0"/>
        <v>860040</v>
      </c>
      <c r="O6" s="13" t="s">
        <v>22</v>
      </c>
    </row>
    <row r="7" spans="1:16" ht="15" customHeight="1" x14ac:dyDescent="0.2">
      <c r="A7" s="13" t="s">
        <v>368</v>
      </c>
      <c r="B7" s="13" t="s">
        <v>1481</v>
      </c>
      <c r="G7" s="13" t="s">
        <v>1727</v>
      </c>
      <c r="H7" s="13" t="s">
        <v>3789</v>
      </c>
      <c r="I7" s="13">
        <v>331</v>
      </c>
      <c r="J7" s="13">
        <v>1111</v>
      </c>
      <c r="K7" s="13" t="s">
        <v>21</v>
      </c>
      <c r="L7" s="13">
        <v>1</v>
      </c>
      <c r="M7" s="21">
        <v>6144600</v>
      </c>
      <c r="N7" s="21">
        <f>L7*M7</f>
        <v>6144600</v>
      </c>
      <c r="O7" s="13" t="s">
        <v>22</v>
      </c>
    </row>
    <row r="8" spans="1:16" ht="15" customHeight="1" x14ac:dyDescent="0.2">
      <c r="A8" s="13" t="s">
        <v>368</v>
      </c>
      <c r="B8" s="13" t="s">
        <v>1536</v>
      </c>
      <c r="G8" s="13" t="s">
        <v>695</v>
      </c>
      <c r="H8" s="13" t="s">
        <v>3790</v>
      </c>
      <c r="I8" s="13">
        <v>331</v>
      </c>
      <c r="J8" s="13">
        <v>1111</v>
      </c>
      <c r="K8" s="13" t="s">
        <v>21</v>
      </c>
      <c r="L8" s="13">
        <v>1</v>
      </c>
      <c r="M8" s="21">
        <v>99000</v>
      </c>
      <c r="N8" s="21">
        <f t="shared" ref="N8:N12" si="1">L8*M8</f>
        <v>99000</v>
      </c>
      <c r="O8" s="13" t="s">
        <v>22</v>
      </c>
    </row>
    <row r="9" spans="1:16" ht="15" customHeight="1" x14ac:dyDescent="0.2">
      <c r="A9" s="13" t="s">
        <v>368</v>
      </c>
      <c r="B9" s="13" t="s">
        <v>1537</v>
      </c>
      <c r="G9" s="13" t="s">
        <v>695</v>
      </c>
      <c r="H9" s="13" t="s">
        <v>3791</v>
      </c>
      <c r="I9" s="13">
        <v>331</v>
      </c>
      <c r="J9" s="13">
        <v>1111</v>
      </c>
      <c r="K9" s="13" t="s">
        <v>21</v>
      </c>
      <c r="L9" s="13">
        <v>1</v>
      </c>
      <c r="M9" s="21">
        <v>860040</v>
      </c>
      <c r="N9" s="21">
        <f t="shared" si="1"/>
        <v>860040</v>
      </c>
      <c r="O9" s="13" t="s">
        <v>22</v>
      </c>
    </row>
    <row r="10" spans="1:16" ht="15" customHeight="1" x14ac:dyDescent="0.2">
      <c r="A10" s="24" t="s">
        <v>18</v>
      </c>
      <c r="B10" s="36">
        <v>45869</v>
      </c>
      <c r="C10" s="24"/>
      <c r="D10" s="24"/>
      <c r="E10" s="24"/>
      <c r="F10" s="24"/>
      <c r="G10" s="24" t="s">
        <v>1235</v>
      </c>
      <c r="H10" s="24" t="s">
        <v>147</v>
      </c>
      <c r="I10" s="24">
        <v>64271</v>
      </c>
      <c r="J10" s="24">
        <v>3383</v>
      </c>
      <c r="K10" s="24" t="s">
        <v>21</v>
      </c>
      <c r="L10" s="24">
        <v>1</v>
      </c>
      <c r="M10" s="39">
        <v>690300</v>
      </c>
      <c r="N10" s="39">
        <f t="shared" si="1"/>
        <v>690300</v>
      </c>
      <c r="O10" s="24" t="s">
        <v>22</v>
      </c>
    </row>
    <row r="11" spans="1:16" ht="15" customHeight="1" x14ac:dyDescent="0.2">
      <c r="A11" s="24" t="s">
        <v>18</v>
      </c>
      <c r="B11" s="36">
        <v>45900</v>
      </c>
      <c r="C11" s="24"/>
      <c r="D11" s="24"/>
      <c r="E11" s="24"/>
      <c r="F11" s="24"/>
      <c r="G11" s="24" t="s">
        <v>1235</v>
      </c>
      <c r="H11" s="24" t="s">
        <v>280</v>
      </c>
      <c r="I11" s="24">
        <v>64271</v>
      </c>
      <c r="J11" s="24">
        <v>3383</v>
      </c>
      <c r="K11" s="24" t="s">
        <v>21</v>
      </c>
      <c r="L11" s="24">
        <v>1</v>
      </c>
      <c r="M11" s="39">
        <v>690300</v>
      </c>
      <c r="N11" s="39">
        <f t="shared" si="1"/>
        <v>690300</v>
      </c>
      <c r="O11" s="24" t="s">
        <v>22</v>
      </c>
    </row>
    <row r="12" spans="1:16" ht="15" customHeight="1" x14ac:dyDescent="0.2">
      <c r="A12" s="24" t="s">
        <v>18</v>
      </c>
      <c r="B12" s="36">
        <v>45930</v>
      </c>
      <c r="C12" s="24"/>
      <c r="D12" s="24"/>
      <c r="E12" s="24"/>
      <c r="F12" s="24"/>
      <c r="G12" s="24" t="s">
        <v>1235</v>
      </c>
      <c r="H12" s="24" t="s">
        <v>367</v>
      </c>
      <c r="I12" s="24">
        <v>64271</v>
      </c>
      <c r="J12" s="24">
        <v>3383</v>
      </c>
      <c r="K12" s="24" t="s">
        <v>21</v>
      </c>
      <c r="L12" s="24">
        <v>1</v>
      </c>
      <c r="M12" s="39">
        <v>690300</v>
      </c>
      <c r="N12" s="39">
        <f t="shared" si="1"/>
        <v>690300</v>
      </c>
      <c r="O12" s="24" t="s">
        <v>22</v>
      </c>
    </row>
  </sheetData>
  <autoFilter ref="A3:P29" xr:uid="{00000000-0009-0000-0000-000016000000}"/>
  <mergeCells count="13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I1:J1"/>
    <mergeCell ref="K1:K2"/>
    <mergeCell ref="L1:L2"/>
    <mergeCell ref="M1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8427727031-001</vt:lpstr>
      <vt:lpstr>8568979698-001</vt:lpstr>
      <vt:lpstr>8710040770-001</vt:lpstr>
      <vt:lpstr>8537932805-001</vt:lpstr>
      <vt:lpstr>8783523554-001</vt:lpstr>
      <vt:lpstr>079200020738</vt:lpstr>
      <vt:lpstr>8077953218-001</vt:lpstr>
      <vt:lpstr>8785516231-001</vt:lpstr>
      <vt:lpstr>8336384757-001</vt:lpstr>
      <vt:lpstr>8456794480-001</vt:lpstr>
      <vt:lpstr>8443847047-001</vt:lpstr>
      <vt:lpstr>8423525669-001</vt:lpstr>
      <vt:lpstr>070095006110</vt:lpstr>
      <vt:lpstr>072098001948</vt:lpstr>
      <vt:lpstr>014198000033</vt:lpstr>
      <vt:lpstr>8836978269-001</vt:lpstr>
      <vt:lpstr>079302004855</vt:lpstr>
      <vt:lpstr>8307704000-002</vt:lpstr>
      <vt:lpstr>8548655046-002</vt:lpstr>
      <vt:lpstr>079098009021</vt:lpstr>
      <vt:lpstr>8417307084-001</vt:lpstr>
      <vt:lpstr>8339629042-001</vt:lpstr>
      <vt:lpstr>Summary</vt:lpstr>
      <vt:lpstr>052300008705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Joker</dc:creator>
  <cp:keywords/>
  <dc:description/>
  <cp:lastModifiedBy>Joker</cp:lastModifiedBy>
  <cp:revision/>
  <dcterms:created xsi:type="dcterms:W3CDTF">2025-10-06T13:37:40Z</dcterms:created>
  <dcterms:modified xsi:type="dcterms:W3CDTF">2025-10-18T05:03:10Z</dcterms:modified>
  <cp:category/>
  <cp:contentStatus/>
</cp:coreProperties>
</file>