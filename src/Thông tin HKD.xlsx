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ELOPER\3.accounting_excel\src\"/>
    </mc:Choice>
  </mc:AlternateContent>
  <xr:revisionPtr revIDLastSave="0" documentId="13_ncr:1_{5BF33FCA-3D19-4A88-8FC4-6DCEE9E8C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Sheet1!$A$3:$Z$42</definedName>
  </definedNames>
  <calcPr calcId="191029"/>
  <extLst>
    <ext uri="GoogleSheetsCustomDataVersion2">
      <go:sheetsCustomData xmlns:go="http://customooxmlschemas.google.com/" r:id="rId5" roundtripDataChecksum="QbLw1xN/69RW4m0Y/3shiuAVu3vZgehGqLb0g3hdQXk="/>
    </ext>
  </extLst>
</workbook>
</file>

<file path=xl/calcChain.xml><?xml version="1.0" encoding="utf-8"?>
<calcChain xmlns="http://schemas.openxmlformats.org/spreadsheetml/2006/main">
  <c r="F1" i="1" l="1"/>
  <c r="E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E2" i="1" l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Admin</author>
  </authors>
  <commentList>
    <comment ref="R3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ID#AAABr6eyAME
admin    (2025-10-04 10:24:24)
Hạch toán hết 64721</t>
        </r>
      </text>
    </comment>
    <comment ref="V3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ID#AAABsWmJ-5s
admin    (2025-10-04 10:24:24)
Hạch toán hết 64721</t>
        </r>
      </text>
    </comment>
    <comment ref="W3" authorId="0" shapeId="0" xr:uid="{00000000-0006-0000-0000-000003000000}">
      <text>
        <r>
          <rPr>
            <sz val="11"/>
            <color theme="1"/>
            <rFont val="Aptos Narrow"/>
            <scheme val="minor"/>
          </rPr>
          <t>======
ID#AAABr6eyAMI
admin    (2025-10-04 10:24:24)
Hạch toán hết 64271</t>
        </r>
      </text>
    </comment>
    <comment ref="C17" authorId="1" shapeId="0" xr:uid="{B65EDCB4-C5AB-4B8E-BDAC-219B2D62BDD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Sao kê có vẻ bị thiếu</t>
        </r>
      </text>
    </comment>
    <comment ref="C42" authorId="1" shapeId="0" xr:uid="{03672AE1-88CC-4081-AE40-7760DEC91C8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Không phát sinh giao dịch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qtlNetGvHMAEB5aDg7rBA81xRg=="/>
    </ext>
  </extLst>
</comments>
</file>

<file path=xl/sharedStrings.xml><?xml version="1.0" encoding="utf-8"?>
<sst xmlns="http://schemas.openxmlformats.org/spreadsheetml/2006/main" count="645" uniqueCount="242">
  <si>
    <t>STT</t>
  </si>
  <si>
    <t>Tên HKD</t>
  </si>
  <si>
    <t>Trang hóa đơn đầu ra</t>
  </si>
  <si>
    <t>ID</t>
  </si>
  <si>
    <t>Mật khẩu</t>
  </si>
  <si>
    <t>Trang hóa đơn đầu vào</t>
  </si>
  <si>
    <t>Bảo hiểm</t>
  </si>
  <si>
    <t>Số Chủ HKD đóng BHXH</t>
  </si>
  <si>
    <t>Mức đóng BHXH chủ hộ</t>
  </si>
  <si>
    <t>Thời gian đóng BHXH</t>
  </si>
  <si>
    <t>Mail</t>
  </si>
  <si>
    <t>Mức lương (NET)</t>
  </si>
  <si>
    <t>Bảo hiểm (NET)</t>
  </si>
  <si>
    <t>Link sever</t>
  </si>
  <si>
    <t>Mật khẩu 3TSOFT</t>
  </si>
  <si>
    <t>Sao kê ngân hàng</t>
  </si>
  <si>
    <t>HỘ KINH DOANH REENCY NGÔ</t>
  </si>
  <si>
    <t>https://8443847047-001.matbao.in/</t>
  </si>
  <si>
    <t>admin</t>
  </si>
  <si>
    <t>123456789Aa@</t>
  </si>
  <si>
    <t>https://hoadondientu.gdt.gov.vn/</t>
  </si>
  <si>
    <t>8443847047-001</t>
  </si>
  <si>
    <t>https://dichvucong.baohiemxahoi.gov.vn/</t>
  </si>
  <si>
    <t>001300021652</t>
  </si>
  <si>
    <t>Q1, không phát sinh hợp đồng</t>
  </si>
  <si>
    <t>Done</t>
  </si>
  <si>
    <t>https://drive.google.com/drive/folders/10B2LBaI-Ivc00wuEtr8SyrLPY4UoRHmc</t>
  </si>
  <si>
    <t>reency_tc</t>
  </si>
  <si>
    <t>HỘ KINH DOANH HÀ BÁNH QUY</t>
  </si>
  <si>
    <t>https://8710040770-001.matbao.in/</t>
  </si>
  <si>
    <t>8710040770-001</t>
  </si>
  <si>
    <t>001303027720</t>
  </si>
  <si>
    <t>thuhaa2133@gmail.com</t>
  </si>
  <si>
    <t>https://drive.google.com/drive/folders/1RcD2-m3cTlEMpQ-q_lN6XvbUKBFkrkzc</t>
  </si>
  <si>
    <t>habanhquy_tc</t>
  </si>
  <si>
    <t>HỘ KINH DOANH KIỀU NGỌC LAN</t>
  </si>
  <si>
    <t>https://8785516231-001.matbao.in/</t>
  </si>
  <si>
    <t>8785516231-001</t>
  </si>
  <si>
    <t>025300006441</t>
  </si>
  <si>
    <t>kieulanbeauty@gmail.com</t>
  </si>
  <si>
    <t>https://drive.google.com/drive/folders/1hevD7Sbgbo5Cjm70wkb5G4t1MZUkmEIo</t>
  </si>
  <si>
    <t>kieulan_tc</t>
  </si>
  <si>
    <t>HỘ KINH DOANH TÂM TÀI TRÍ</t>
  </si>
  <si>
    <t>https://8417307084-001.matbao.in/</t>
  </si>
  <si>
    <t>8417307084-001</t>
  </si>
  <si>
    <t>034192000639</t>
  </si>
  <si>
    <t>phuongvh006@gmail.com;Tainguyen.nguyen1991@gmail.com</t>
  </si>
  <si>
    <t>https://drive.google.com/drive/folders/13N1eKOPJeSBluI9swmarwHQLpi9TbXB-</t>
  </si>
  <si>
    <t>tamtritai_tc</t>
  </si>
  <si>
    <t>HỘ KINH DOANH LƯƠNG LEE OFFICIAL</t>
  </si>
  <si>
    <t>https://8339629042-001.matbao.in/</t>
  </si>
  <si>
    <t>8339629042-001</t>
  </si>
  <si>
    <t>038192002704</t>
  </si>
  <si>
    <t>leluong2909@gmail.com</t>
  </si>
  <si>
    <t>https://drive.google.com/drive/folders/1YOs8AfovGBFxVy9JBLCbRSWaFrYU7hYd</t>
  </si>
  <si>
    <t>luonglee_tc</t>
  </si>
  <si>
    <t>HỘ KINH DOANH HUỲNH THUYÊN</t>
  </si>
  <si>
    <t>https://8077953218-001.matbao.in/</t>
  </si>
  <si>
    <t>8077953218-001</t>
  </si>
  <si>
    <t>Không đóng BHXH</t>
  </si>
  <si>
    <t>huynhthuyen.work@gmail.com;huynhthuyen28@gmail.com,</t>
  </si>
  <si>
    <t>https://drive.google.com/drive/folders/17p38StQpkmZ5yXGc61-WizGJo4bDJ4Xu</t>
  </si>
  <si>
    <t>huynhthuyen_tc</t>
  </si>
  <si>
    <t>HỘ KINH DOANH PU MÉT BẢY</t>
  </si>
  <si>
    <t>https://8307704000-002.matbao.in/</t>
  </si>
  <si>
    <t>8307704000-002</t>
  </si>
  <si>
    <t>056194006883</t>
  </si>
  <si>
    <t>pumetbay@gmail.com</t>
  </si>
  <si>
    <t>https://drive.google.com/drive/folders/1I13C-EhwboDA5JtQzqnjfWyy-mrUkFvj</t>
  </si>
  <si>
    <t>pumetbay_tc</t>
  </si>
  <si>
    <t>HỘ KINH DOANH ĐĂNG VI OFFICIAL</t>
  </si>
  <si>
    <t>https://8568979698-001.matbao.in/</t>
  </si>
  <si>
    <t>8568979698-001</t>
  </si>
  <si>
    <t>056195009149</t>
  </si>
  <si>
    <t>nguyenngocdangvi1709@gmail.com</t>
  </si>
  <si>
    <t>https://drive.google.com/drive/folders/1XvOfR3XrMWmjGh0wgG0DerBzR5THkwug</t>
  </si>
  <si>
    <t>dangvi_tc</t>
  </si>
  <si>
    <t>HỘ KINH DOANH NGUYỄN HUỆ MAKEUP</t>
  </si>
  <si>
    <t>https://8456794480-001.matbao.in/</t>
  </si>
  <si>
    <t>8456794480-001</t>
  </si>
  <si>
    <t>068196002329</t>
  </si>
  <si>
    <t>lhcv.nguyenhue@gmail.com;nguyenhue.uiiii@gmail.com</t>
  </si>
  <si>
    <t>https://drive.google.com/drive/folders/1BdRSgvmKog7l1Rmgm10T5BM96IVsynD0</t>
  </si>
  <si>
    <t>nguyenhue_tc</t>
  </si>
  <si>
    <t>HỘ KINH DOANH CỔ NGÂN OFFICIAL</t>
  </si>
  <si>
    <t>https://8427727031-001.matbao.in/</t>
  </si>
  <si>
    <t>8427727031-001</t>
  </si>
  <si>
    <t>079194032715</t>
  </si>
  <si>
    <t>ngancoforwork@gmail.com</t>
  </si>
  <si>
    <t>https://drive.google.com/drive/folders/1AzSYLy8TAZxHTc7OTzvALwgvuxSFoIs8</t>
  </si>
  <si>
    <t>congan_tc</t>
  </si>
  <si>
    <t>HỘ KINH DOANH TRƯƠNG NHÃ DINH</t>
  </si>
  <si>
    <t>https://8423525669-001.matbao.in/</t>
  </si>
  <si>
    <t>8423525669-001</t>
  </si>
  <si>
    <t>079195001626</t>
  </si>
  <si>
    <t>booking.truongnhadinh@gmail.com;nhadinh.truong@gmail.com</t>
  </si>
  <si>
    <t>https://drive.google.com/drive/folders/1AeVV-dwrvG2KWBYSz-3ro660eOh5M8VL</t>
  </si>
  <si>
    <t>nhadinh_tc</t>
  </si>
  <si>
    <t>HỘ KINH DOANH NGỌC TÚ ANH</t>
  </si>
  <si>
    <t>https://8336384757-001.matbao.in/</t>
  </si>
  <si>
    <t>8336384757-001</t>
  </si>
  <si>
    <t>079195003024</t>
  </si>
  <si>
    <t>ngoctuanh.forwork@gmail.com;imanh.cloudy@gmail.com</t>
  </si>
  <si>
    <t>https://drive.google.com/drive/folders/1-PSj1cyjNYOQHNhPZHghbVLGGvmZCqYR</t>
  </si>
  <si>
    <t>ngoctuanh_tc</t>
  </si>
  <si>
    <t>HỘ KINH DOANH HỌC NHÂN SKINCARE</t>
  </si>
  <si>
    <t>https://8783523554-001.matbao.in/</t>
  </si>
  <si>
    <t>8783523554-001</t>
  </si>
  <si>
    <t>087099001146</t>
  </si>
  <si>
    <t>lehocnhan@gmail.com</t>
  </si>
  <si>
    <t>https://drive.google.com/drive/folders/1AyNcejKrV-AST3HY8fe_rDB2gxDlxeq4</t>
  </si>
  <si>
    <t>hocnhan_tc</t>
  </si>
  <si>
    <t>HỘ KINH DOANH HOÀNG THẠCH</t>
  </si>
  <si>
    <t>https://8537932805-001.matbao.in/</t>
  </si>
  <si>
    <t>8537932805-001</t>
  </si>
  <si>
    <t>091098010465</t>
  </si>
  <si>
    <t>hoangthachhh@gmail.com</t>
  </si>
  <si>
    <t>https://drive.google.com/drive/folders/1ImGai80G9Uf6MlzpMiq_-XlN4PioVYGc</t>
  </si>
  <si>
    <t>hoangthach_tc</t>
  </si>
  <si>
    <t>HỘ KINH DOANH ÔNG THỈ BÀ LONG</t>
  </si>
  <si>
    <t>https://079200020738.matbao.in/</t>
  </si>
  <si>
    <t>079200020738</t>
  </si>
  <si>
    <t>ongthibalong@gmail.com</t>
  </si>
  <si>
    <t>https://drive.google.com/drive/folders/19UUoxYxh3ZAY0-x06uFv2MtP9RSe9ltp</t>
  </si>
  <si>
    <t>longthuy_tc</t>
  </si>
  <si>
    <t>HỘ KINH DOANH TRẦN HỒNG PHÚC</t>
  </si>
  <si>
    <t>https://072098001948.matbao.in/</t>
  </si>
  <si>
    <t>072098001948</t>
  </si>
  <si>
    <t>booking.hongphuc@gmail.com</t>
  </si>
  <si>
    <t>https://drive.google.com/drive/folders/1J33Lx8ezMkDnVxPYP34t7aorbu-dYePQ</t>
  </si>
  <si>
    <t>hongphuc_tc</t>
  </si>
  <si>
    <t>HỘ KINH DOANH NGỌC XUÂN NHI</t>
  </si>
  <si>
    <t>https://079302004855.matbao.in/</t>
  </si>
  <si>
    <t>079302004855</t>
  </si>
  <si>
    <t>luonghongminhanhh@gmail.com;nhinhinguyen04@gmail.com</t>
  </si>
  <si>
    <t>https://drive.google.com/drive/folders/1-UNQ5ITavdiSdvii5zAqk7bvoDslZyLg</t>
  </si>
  <si>
    <t>ngocxuannhi_tc</t>
  </si>
  <si>
    <t>HỘ KINH DOANH HẢI ĐĂNG OFFICIAL</t>
  </si>
  <si>
    <t>https://079098009021.matbao.in/</t>
  </si>
  <si>
    <t>079098009021</t>
  </si>
  <si>
    <t xml:space="preserve">Không cần gửi, </t>
  </si>
  <si>
    <t>https://drive.google.com/drive/folders/1PrNJ9oHajezeu0Dk3r0QnoPDTHhgeYMC</t>
  </si>
  <si>
    <t>haidang_tc</t>
  </si>
  <si>
    <t>HỘ KINH DOANH ĐOÀN VÂN ANH</t>
  </si>
  <si>
    <t>https://014198000033.matbao.in/</t>
  </si>
  <si>
    <t>014198000033</t>
  </si>
  <si>
    <t>vanjinka04198@gmail.com</t>
  </si>
  <si>
    <t>https://drive.google.com/drive/folders/1feeC1ekRMC4J0CCNJfqNqvNjwWN9ztHO</t>
  </si>
  <si>
    <t>vanjinka_tc</t>
  </si>
  <si>
    <t>HỘ KINH DOANH THÚY NGA OFFICIAL</t>
  </si>
  <si>
    <t>https://052300008705.matbao.in/</t>
  </si>
  <si>
    <t>052300008705</t>
  </si>
  <si>
    <t>thuyngareview@gmail.com;thuynga1692k@gmail.com</t>
  </si>
  <si>
    <t>https://drive.google.com/drive/folders/1f6Pc1Gx4rTqC1KNvmCWZuFWXQ1ytEwa4</t>
  </si>
  <si>
    <t>thuynga_tc</t>
  </si>
  <si>
    <t>HỘ KINH DOANH THIÊN KIM MINH CHÂU</t>
  </si>
  <si>
    <t>068199000053</t>
  </si>
  <si>
    <t>chauluoimakeup.contact@gmail.com</t>
  </si>
  <si>
    <t>https://drive.google.com/drive/folders/1O5AjTXx4D-siQhxiyVsFlAE8UZ4QLrJI</t>
  </si>
  <si>
    <t>minhchau_tc</t>
  </si>
  <si>
    <t>HỘ KINH DOANH VŨ DUY OFFICIAL</t>
  </si>
  <si>
    <t>092097002234</t>
  </si>
  <si>
    <t>thuyhuongwforwork@gmail.com</t>
  </si>
  <si>
    <t>https://drive.google.com/drive/folders/1MZXXBvKPRxmbLJVZiMypTIgzyuoO9Yqo</t>
  </si>
  <si>
    <t>HỘ KINH DOANH AN VY OFFICIAL</t>
  </si>
  <si>
    <t>082198013719</t>
  </si>
  <si>
    <t>guihiho123@gmail.com</t>
  </si>
  <si>
    <t>https://drive.google.com/drive/folders/1PnCw53gaao6cJfOHbak2pkqCW8EnE-Bz</t>
  </si>
  <si>
    <t>anvy_tc</t>
  </si>
  <si>
    <t>HỘ KINH DOANH VÂN PHẠM</t>
  </si>
  <si>
    <t>031196005568</t>
  </si>
  <si>
    <t>vanpham.contact@gmail.com;</t>
  </si>
  <si>
    <t>https://drive.google.com/drive/folders/1k6_VNcGiXinM3KJUFyS_pQU1cWbJ6fOE</t>
  </si>
  <si>
    <t>vanpham_tc</t>
  </si>
  <si>
    <t>HỘ KINH DOANH MINH NGHĨA OFFICIAL</t>
  </si>
  <si>
    <t>089200016993</t>
  </si>
  <si>
    <t>nghiamotlitson00@gmail.com</t>
  </si>
  <si>
    <t>https://drive.google.com/drive/folders/1d4VXcOvprHJZ8mJx8DfzlFhtHW98X8_o</t>
  </si>
  <si>
    <t>minhnghia_tc</t>
  </si>
  <si>
    <t>HỘ KINH DOANH THÚY VI</t>
  </si>
  <si>
    <t>079195008785</t>
  </si>
  <si>
    <t>thuyvi.buipham@gmail.com</t>
  </si>
  <si>
    <t>https://drive.google.com/drive/folders/18RdniJAi4vvWwR3kv3OweogrlSuy3liu</t>
  </si>
  <si>
    <t>HỘ KINH DOANH HÀ GIANG OFFICIAL</t>
  </si>
  <si>
    <t>019303002169</t>
  </si>
  <si>
    <t>gianght243@gmail.com</t>
  </si>
  <si>
    <t>https://drive.google.com/drive/folders/1MyoIZKGoBS9IbBzYwcwtPqmpdz1EQ0TU</t>
  </si>
  <si>
    <t>HỘ KINH DOANH KHA THANH DUY</t>
  </si>
  <si>
    <t>089202017472</t>
  </si>
  <si>
    <t>contact.khathanhduy@gmail.com</t>
  </si>
  <si>
    <t>https://drive.google.com/drive/folders/1gKE5DAW3SNefv9TvjRvZ5E8LxPukYapu</t>
  </si>
  <si>
    <t>HỘ KINH DOANH TRẦN BÍCH UYÊN</t>
  </si>
  <si>
    <t>079302025196</t>
  </si>
  <si>
    <t>bubutranxoxo@gmail.com</t>
  </si>
  <si>
    <t>https://drive.google.com/drive/folders/1c4ELrJX5FUDvJG6r8U6q6UU1jXsD8C29</t>
  </si>
  <si>
    <t>HỘ KINH DOANH NGỌC PHÁT</t>
  </si>
  <si>
    <t>031196013020</t>
  </si>
  <si>
    <t>ngocphat02122023@gmail.com</t>
  </si>
  <si>
    <t>HỘ KINH DOANH PHẠM HUỆ OFFICIAL</t>
  </si>
  <si>
    <t>051198010997</t>
  </si>
  <si>
    <t>booking.phamhue@gmail.com</t>
  </si>
  <si>
    <t>https://drive.google.com/drive/folders/1Hrl6tRKIWjbiqdAyJg1SKNs4W0IfDl60</t>
  </si>
  <si>
    <t>HỘ KINH DOANH SITA BEAUTY WORLD</t>
  </si>
  <si>
    <t>079186014383</t>
  </si>
  <si>
    <t>Không cần gửi quý này</t>
  </si>
  <si>
    <t>HỘ KINH DOANH VÕ DIỆU BEAUTY</t>
  </si>
  <si>
    <t>077300008197</t>
  </si>
  <si>
    <t>HỘ KINH DOANH PUNPUN</t>
  </si>
  <si>
    <t>001304004598</t>
  </si>
  <si>
    <t>HỘ KINH DOANH VŨ THANH HIỀN</t>
  </si>
  <si>
    <t>010199006750</t>
  </si>
  <si>
    <t>HỘ KINH DOANH SINCARE CÙNG QUIN</t>
  </si>
  <si>
    <t>033198001673</t>
  </si>
  <si>
    <t>HỘ KINH DOANH GIA ĐÌNH BÁNH GIÀY</t>
  </si>
  <si>
    <t>001196019980</t>
  </si>
  <si>
    <t>HỘ KINH DOANH SANDY QUỲNH ANH</t>
  </si>
  <si>
    <t>HỘ KINH DOANH LƯU THANH XUÂN</t>
  </si>
  <si>
    <t>AI Done</t>
  </si>
  <si>
    <t>Human check</t>
  </si>
  <si>
    <t>v</t>
  </si>
  <si>
    <t>thuyvi_tc</t>
  </si>
  <si>
    <t>hagiang_tc</t>
  </si>
  <si>
    <t>khathanhduy_tc</t>
  </si>
  <si>
    <t>bichuyen_tc</t>
  </si>
  <si>
    <t>https://drive.google.com/drive/u/0/folders/1r7wmpOdy8FwflKAjSa0hfcVMDyCI4M15</t>
  </si>
  <si>
    <t>phamhue_tc</t>
  </si>
  <si>
    <t>https://drive.google.com/drive/u/0/folders/15gGV7MhN5OwB05t1M2Gvful98JN1gTbW</t>
  </si>
  <si>
    <t>https://drive.google.com/drive/u/0/folders/1pdGCqx8zR1fHfGtWIXPU2XqmlgRkaGao</t>
  </si>
  <si>
    <t>https://drive.google.com/drive/u/0/folders/1drMJ_HzseeNj9wP8xdQXOthfEBEXNB43</t>
  </si>
  <si>
    <t>https://drive.google.com/drive/u/0/folders/13CY4QcZCxQoQlkw39T0QxB3pxALzqLEK</t>
  </si>
  <si>
    <t>https://drive.google.com/drive/u/0/folders/1XoaeVVbaXxNzH5kxJhA9hmNNlm38HeLJ</t>
  </si>
  <si>
    <t>https://drive.google.com/drive/u/0/folders/1MtlloD4A5thP5Z_VNtlLjZbur9gMFheh</t>
  </si>
  <si>
    <t>Q3 mới bắt đầu</t>
  </si>
  <si>
    <t>https://drive.google.com/drive/u/0/folders/1VMheZp8PRzpdlw8jFfS-psH8MbMSVEBL</t>
  </si>
  <si>
    <t>DS Hóa đơn</t>
  </si>
  <si>
    <t>Sao kê</t>
  </si>
  <si>
    <t>Data quý trước</t>
  </si>
  <si>
    <t>Chưa có back up</t>
  </si>
  <si>
    <t>-</t>
  </si>
  <si>
    <t>Tiến độ</t>
  </si>
  <si>
    <t>066194015688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</si>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</sst>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dd&quot;/&quot;mm&quot;/&quot;yy"/>
  </numFmts>
  <fonts count="20" x14ac:knownFonts="1">
    <font>
      <sz val="11"/>
      <color theme="1"/>
      <name val="Aptos Narrow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u/>
      <sz val="11"/>
      <color theme="1"/>
      <name val="Times New Roman"/>
    </font>
    <font>
      <u/>
      <sz val="11"/>
      <color theme="10"/>
      <name val="Aptos Narrow"/>
    </font>
    <font>
      <u/>
      <sz val="11"/>
      <color theme="1"/>
      <name val="Times New Roman"/>
    </font>
    <font>
      <u/>
      <sz val="11"/>
      <color theme="10"/>
      <name val="Aptos Narrow"/>
    </font>
    <font>
      <u/>
      <sz val="11"/>
      <color rgb="FF0000FF"/>
      <name val="Arial"/>
    </font>
    <font>
      <u/>
      <sz val="11"/>
      <color rgb="FF467886"/>
      <name val="Arial"/>
    </font>
    <font>
      <u/>
      <sz val="11"/>
      <color rgb="FF467886"/>
      <name val="Arial"/>
    </font>
    <font>
      <u/>
      <sz val="11"/>
      <color rgb="FF0000FF"/>
      <name val="Arial"/>
    </font>
    <font>
      <sz val="11"/>
      <color rgb="FF467886"/>
      <name val="Arial"/>
    </font>
    <font>
      <u/>
      <sz val="11"/>
      <color rgb="FF467886"/>
      <name val="Arial"/>
    </font>
    <font>
      <u/>
      <sz val="11"/>
      <color rgb="FF467886"/>
      <name val="Arial"/>
    </font>
    <font>
      <sz val="11"/>
      <color theme="1"/>
      <name val="Aptos Narrow"/>
      <scheme val="minor"/>
    </font>
    <font>
      <u/>
      <sz val="11"/>
      <color rgb="FF467886"/>
      <name val="Arial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/>
    <xf numFmtId="3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0" borderId="1" xfId="0" applyFont="1" applyBorder="1"/>
    <xf numFmtId="49" fontId="1" fillId="0" borderId="1" xfId="0" applyNumberFormat="1" applyFont="1" applyBorder="1"/>
    <xf numFmtId="164" fontId="1" fillId="0" borderId="1" xfId="0" applyNumberFormat="1" applyFont="1" applyBorder="1"/>
    <xf numFmtId="14" fontId="1" fillId="0" borderId="1" xfId="0" applyNumberFormat="1" applyFont="1" applyBorder="1"/>
    <xf numFmtId="0" fontId="15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165" fontId="1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49" fontId="1" fillId="0" borderId="1" xfId="0" quotePrefix="1" applyNumberFormat="1" applyFont="1" applyBorder="1"/>
    <xf numFmtId="0" fontId="13" fillId="0" borderId="1" xfId="0" applyFont="1" applyBorder="1"/>
    <xf numFmtId="0" fontId="14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49" fontId="1" fillId="3" borderId="1" xfId="0" applyNumberFormat="1" applyFont="1" applyFill="1" applyBorder="1"/>
    <xf numFmtId="164" fontId="1" fillId="3" borderId="1" xfId="0" applyNumberFormat="1" applyFont="1" applyFill="1" applyBorder="1"/>
    <xf numFmtId="165" fontId="1" fillId="3" borderId="1" xfId="0" applyNumberFormat="1" applyFont="1" applyFill="1" applyBorder="1"/>
    <xf numFmtId="14" fontId="1" fillId="3" borderId="1" xfId="0" applyNumberFormat="1" applyFont="1" applyFill="1" applyBorder="1"/>
    <xf numFmtId="0" fontId="1" fillId="3" borderId="0" xfId="0" applyFont="1" applyFill="1"/>
    <xf numFmtId="3" fontId="1" fillId="3" borderId="0" xfId="0" applyNumberFormat="1" applyFont="1" applyFill="1"/>
    <xf numFmtId="0" fontId="0" fillId="3" borderId="0" xfId="0" applyFill="1"/>
    <xf numFmtId="0" fontId="5" fillId="3" borderId="1" xfId="0" applyFont="1" applyFill="1" applyBorder="1"/>
    <xf numFmtId="0" fontId="6" fillId="3" borderId="1" xfId="0" applyFont="1" applyFill="1" applyBorder="1"/>
    <xf numFmtId="49" fontId="1" fillId="3" borderId="1" xfId="0" quotePrefix="1" applyNumberFormat="1" applyFont="1" applyFill="1" applyBorder="1"/>
    <xf numFmtId="0" fontId="16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" fillId="0" borderId="1" xfId="0" quotePrefix="1" applyFont="1" applyBorder="1"/>
    <xf numFmtId="0" fontId="1" fillId="3" borderId="1" xfId="0" quotePrefix="1" applyFont="1" applyFill="1" applyBorder="1"/>
    <xf numFmtId="0" fontId="8" fillId="3" borderId="1" xfId="0" applyFont="1" applyFill="1" applyBorder="1"/>
    <xf numFmtId="0" fontId="12" fillId="3" borderId="1" xfId="0" applyFont="1" applyFill="1" applyBorder="1"/>
    <xf numFmtId="0" fontId="15" fillId="3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0" fontId="16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10" fontId="1" fillId="0" borderId="0" xfId="0" applyNumberFormat="1" applyFont="1"/>
    <xf numFmtId="49" fontId="16" fillId="0" borderId="1" xfId="0" applyNumberFormat="1" applyFont="1" applyBorder="1"/>
    <xf numFmtId="0" fontId="16" fillId="0" borderId="1" xfId="0" applyFont="1" applyBorder="1"/>
    <xf numFmtId="49" fontId="16" fillId="0" borderId="1" xfId="0" quotePrefix="1" applyNumberFormat="1" applyFont="1" applyBorder="1"/>
    <xf numFmtId="0" fontId="11" fillId="3" borderId="1" xfId="0" applyFont="1" applyFill="1" applyBorder="1"/>
    <xf numFmtId="0" fontId="13" fillId="3" borderId="1" xfId="0" applyFont="1" applyFill="1" applyBorder="1"/>
    <xf numFmtId="0" fontId="14" fillId="3" borderId="0" xfId="0" applyFont="1" applyFill="1"/>
    <xf numFmtId="49" fontId="16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8077953218-001.matbao.in/" TargetMode="External"/><Relationship Id="rId18" Type="http://schemas.openxmlformats.org/officeDocument/2006/relationships/hyperlink" Target="https://drive.google.com/drive/folders/1XvOfR3XrMWmjGh0wgG0DerBzR5THkwug" TargetMode="External"/><Relationship Id="rId26" Type="http://schemas.openxmlformats.org/officeDocument/2006/relationships/hyperlink" Target="https://drive.google.com/drive/folders/1-PSj1cyjNYOQHNhPZHghbVLGGvmZCqYR" TargetMode="External"/><Relationship Id="rId39" Type="http://schemas.openxmlformats.org/officeDocument/2006/relationships/hyperlink" Target="https://014198000033.matbao.in/" TargetMode="External"/><Relationship Id="rId21" Type="http://schemas.openxmlformats.org/officeDocument/2006/relationships/hyperlink" Target="https://8427727031-001.matbao.in/" TargetMode="External"/><Relationship Id="rId34" Type="http://schemas.openxmlformats.org/officeDocument/2006/relationships/hyperlink" Target="https://drive.google.com/drive/folders/1J33Lx8ezMkDnVxPYP34t7aorbu-dYePQ" TargetMode="External"/><Relationship Id="rId42" Type="http://schemas.openxmlformats.org/officeDocument/2006/relationships/hyperlink" Target="https://drive.google.com/drive/folders/1f6Pc1Gx4rTqC1KNvmCWZuFWXQ1ytEwa4" TargetMode="External"/><Relationship Id="rId47" Type="http://schemas.openxmlformats.org/officeDocument/2006/relationships/hyperlink" Target="https://052300008705.matbao.in/" TargetMode="External"/><Relationship Id="rId50" Type="http://schemas.openxmlformats.org/officeDocument/2006/relationships/hyperlink" Target="https://drive.google.com/drive/folders/1k6_VNcGiXinM3KJUFyS_pQU1cWbJ6fOE" TargetMode="External"/><Relationship Id="rId55" Type="http://schemas.openxmlformats.org/officeDocument/2006/relationships/hyperlink" Target="https://drive.google.com/drive/folders/1Hrl6tRKIWjbiqdAyJg1SKNs4W0IfDl60" TargetMode="External"/><Relationship Id="rId7" Type="http://schemas.openxmlformats.org/officeDocument/2006/relationships/hyperlink" Target="https://8785516231-001.matbao.in/" TargetMode="External"/><Relationship Id="rId2" Type="http://schemas.openxmlformats.org/officeDocument/2006/relationships/hyperlink" Target="https://hoadondientu.gdt.gov.vn/" TargetMode="External"/><Relationship Id="rId16" Type="http://schemas.openxmlformats.org/officeDocument/2006/relationships/hyperlink" Target="https://drive.google.com/drive/folders/1I13C-EhwboDA5JtQzqnjfWyy-mrUkFvj" TargetMode="External"/><Relationship Id="rId29" Type="http://schemas.openxmlformats.org/officeDocument/2006/relationships/hyperlink" Target="https://8537932805-001.matbao.in/" TargetMode="External"/><Relationship Id="rId11" Type="http://schemas.openxmlformats.org/officeDocument/2006/relationships/hyperlink" Target="https://8339629042-001.matbao.in/" TargetMode="External"/><Relationship Id="rId24" Type="http://schemas.openxmlformats.org/officeDocument/2006/relationships/hyperlink" Target="https://drive.google.com/drive/folders/1AeVV-dwrvG2KWBYSz-3ro660eOh5M8VL" TargetMode="External"/><Relationship Id="rId32" Type="http://schemas.openxmlformats.org/officeDocument/2006/relationships/hyperlink" Target="https://drive.google.com/drive/folders/19UUoxYxh3ZAY0-x06uFv2MtP9RSe9ltp" TargetMode="External"/><Relationship Id="rId37" Type="http://schemas.openxmlformats.org/officeDocument/2006/relationships/hyperlink" Target="https://079098009021.matbao.in/" TargetMode="External"/><Relationship Id="rId40" Type="http://schemas.openxmlformats.org/officeDocument/2006/relationships/hyperlink" Target="https://drive.google.com/drive/folders/1feeC1ekRMC4J0CCNJfqNqvNjwWN9ztHO" TargetMode="External"/><Relationship Id="rId45" Type="http://schemas.openxmlformats.org/officeDocument/2006/relationships/hyperlink" Target="https://052300008705.matbao.in/" TargetMode="External"/><Relationship Id="rId53" Type="http://schemas.openxmlformats.org/officeDocument/2006/relationships/hyperlink" Target="https://drive.google.com/drive/folders/1gKE5DAW3SNefv9TvjRvZ5E8LxPukYapu" TargetMode="External"/><Relationship Id="rId58" Type="http://schemas.openxmlformats.org/officeDocument/2006/relationships/comments" Target="../comments1.xml"/><Relationship Id="rId5" Type="http://schemas.openxmlformats.org/officeDocument/2006/relationships/hyperlink" Target="https://8710040770-001.matbao.in/" TargetMode="External"/><Relationship Id="rId19" Type="http://schemas.openxmlformats.org/officeDocument/2006/relationships/hyperlink" Target="https://8456794480-001.matbao.in/" TargetMode="External"/><Relationship Id="rId4" Type="http://schemas.openxmlformats.org/officeDocument/2006/relationships/hyperlink" Target="https://drive.google.com/drive/folders/10B2LBaI-Ivc00wuEtr8SyrLPY4UoRHmc" TargetMode="External"/><Relationship Id="rId9" Type="http://schemas.openxmlformats.org/officeDocument/2006/relationships/hyperlink" Target="https://8417307084-001.matbao.in/" TargetMode="External"/><Relationship Id="rId14" Type="http://schemas.openxmlformats.org/officeDocument/2006/relationships/hyperlink" Target="https://drive.google.com/drive/folders/17p38StQpkmZ5yXGc61-WizGJo4bDJ4Xu" TargetMode="External"/><Relationship Id="rId22" Type="http://schemas.openxmlformats.org/officeDocument/2006/relationships/hyperlink" Target="https://drive.google.com/drive/folders/1AzSYLy8TAZxHTc7OTzvALwgvuxSFoIs8" TargetMode="External"/><Relationship Id="rId27" Type="http://schemas.openxmlformats.org/officeDocument/2006/relationships/hyperlink" Target="https://8783523554-001.matbao.in/" TargetMode="External"/><Relationship Id="rId30" Type="http://schemas.openxmlformats.org/officeDocument/2006/relationships/hyperlink" Target="https://drive.google.com/drive/folders/1ImGai80G9Uf6MlzpMiq_-XlN4PioVYGc" TargetMode="External"/><Relationship Id="rId35" Type="http://schemas.openxmlformats.org/officeDocument/2006/relationships/hyperlink" Target="https://079302004855.matbao.in/" TargetMode="External"/><Relationship Id="rId43" Type="http://schemas.openxmlformats.org/officeDocument/2006/relationships/hyperlink" Target="https://052300008705.matbao.in/" TargetMode="External"/><Relationship Id="rId48" Type="http://schemas.openxmlformats.org/officeDocument/2006/relationships/hyperlink" Target="https://drive.google.com/drive/folders/1PnCw53gaao6cJfOHbak2pkqCW8EnE-Bz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drive.google.com/drive/folders/1hevD7Sbgbo5Cjm70wkb5G4t1MZUkmEIo" TargetMode="External"/><Relationship Id="rId51" Type="http://schemas.openxmlformats.org/officeDocument/2006/relationships/hyperlink" Target="https://drive.google.com/drive/folders/18RdniJAi4vvWwR3kv3OweogrlSuy3liu" TargetMode="External"/><Relationship Id="rId3" Type="http://schemas.openxmlformats.org/officeDocument/2006/relationships/hyperlink" Target="https://dichvucong.baohiemxahoi.gov.vn/" TargetMode="External"/><Relationship Id="rId12" Type="http://schemas.openxmlformats.org/officeDocument/2006/relationships/hyperlink" Target="https://drive.google.com/drive/folders/1YOs8AfovGBFxVy9JBLCbRSWaFrYU7hYd" TargetMode="External"/><Relationship Id="rId17" Type="http://schemas.openxmlformats.org/officeDocument/2006/relationships/hyperlink" Target="https://8568979698-001.matbao.in/" TargetMode="External"/><Relationship Id="rId25" Type="http://schemas.openxmlformats.org/officeDocument/2006/relationships/hyperlink" Target="https://8336384757-001.matbao.in/" TargetMode="External"/><Relationship Id="rId33" Type="http://schemas.openxmlformats.org/officeDocument/2006/relationships/hyperlink" Target="https://072098001948.matbao.in/" TargetMode="External"/><Relationship Id="rId38" Type="http://schemas.openxmlformats.org/officeDocument/2006/relationships/hyperlink" Target="https://drive.google.com/drive/folders/1PrNJ9oHajezeu0Dk3r0QnoPDTHhgeYMC" TargetMode="External"/><Relationship Id="rId46" Type="http://schemas.openxmlformats.org/officeDocument/2006/relationships/hyperlink" Target="https://drive.google.com/drive/folders/1MZXXBvKPRxmbLJVZiMypTIgzyuoO9Yqo" TargetMode="External"/><Relationship Id="rId20" Type="http://schemas.openxmlformats.org/officeDocument/2006/relationships/hyperlink" Target="https://drive.google.com/drive/folders/1BdRSgvmKog7l1Rmgm10T5BM96IVsynD0" TargetMode="External"/><Relationship Id="rId41" Type="http://schemas.openxmlformats.org/officeDocument/2006/relationships/hyperlink" Target="https://052300008705.matbao.in/" TargetMode="External"/><Relationship Id="rId54" Type="http://schemas.openxmlformats.org/officeDocument/2006/relationships/hyperlink" Target="https://drive.google.com/drive/folders/1c4ELrJX5FUDvJG6r8U6q6UU1jXsD8C29" TargetMode="External"/><Relationship Id="rId1" Type="http://schemas.openxmlformats.org/officeDocument/2006/relationships/hyperlink" Target="https://8443847047-001.matbao.in/" TargetMode="External"/><Relationship Id="rId6" Type="http://schemas.openxmlformats.org/officeDocument/2006/relationships/hyperlink" Target="https://drive.google.com/drive/folders/1RcD2-m3cTlEMpQ-q_lN6XvbUKBFkrkzc" TargetMode="External"/><Relationship Id="rId15" Type="http://schemas.openxmlformats.org/officeDocument/2006/relationships/hyperlink" Target="https://8307704000-002.matbao.in/" TargetMode="External"/><Relationship Id="rId23" Type="http://schemas.openxmlformats.org/officeDocument/2006/relationships/hyperlink" Target="https://8423525669-001.matbao.in/" TargetMode="External"/><Relationship Id="rId28" Type="http://schemas.openxmlformats.org/officeDocument/2006/relationships/hyperlink" Target="https://drive.google.com/drive/folders/1AyNcejKrV-AST3HY8fe_rDB2gxDlxeq4" TargetMode="External"/><Relationship Id="rId36" Type="http://schemas.openxmlformats.org/officeDocument/2006/relationships/hyperlink" Target="https://drive.google.com/drive/folders/1-UNQ5ITavdiSdvii5zAqk7bvoDslZyLg" TargetMode="External"/><Relationship Id="rId49" Type="http://schemas.openxmlformats.org/officeDocument/2006/relationships/hyperlink" Target="https://052300008705.matbao.in/" TargetMode="External"/><Relationship Id="rId57" Type="http://schemas.openxmlformats.org/officeDocument/2006/relationships/vmlDrawing" Target="../drawings/vmlDrawing1.vml"/><Relationship Id="rId10" Type="http://schemas.openxmlformats.org/officeDocument/2006/relationships/hyperlink" Target="https://drive.google.com/drive/folders/13N1eKOPJeSBluI9swmarwHQLpi9TbXB-" TargetMode="External"/><Relationship Id="rId31" Type="http://schemas.openxmlformats.org/officeDocument/2006/relationships/hyperlink" Target="https://079200020738.matbao.in/" TargetMode="External"/><Relationship Id="rId44" Type="http://schemas.openxmlformats.org/officeDocument/2006/relationships/hyperlink" Target="https://drive.google.com/drive/folders/1O5AjTXx4D-siQhxiyVsFlAE8UZ4QLrJI" TargetMode="External"/><Relationship Id="rId52" Type="http://schemas.openxmlformats.org/officeDocument/2006/relationships/hyperlink" Target="https://drive.google.com/drive/folders/1MyoIZKGoBS9IbBzYwcwtPqmpdz1EQ0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008"/>
  <sheetViews>
    <sheetView tabSelected="1" workbookViewId="0">
      <pane xSplit="7" topLeftCell="L1" activePane="topRight" state="frozen"/>
      <selection pane="topRight" activeCell="C28" sqref="C28"/>
    </sheetView>
  </sheetViews>
  <sheetFormatPr defaultColWidth="12.5703125" defaultRowHeight="15" customHeight="1" x14ac:dyDescent="0.25"/>
  <cols>
    <col min="1" max="6" width="9.140625" customWidth="1"/>
    <col min="7" max="7" width="59" customWidth="1"/>
    <col min="8" max="8" width="30.28515625" hidden="1" customWidth="1"/>
    <col min="9" max="9" width="9.140625" hidden="1" customWidth="1"/>
    <col min="10" max="10" width="15.85546875" hidden="1" customWidth="1"/>
    <col min="11" max="11" width="28" hidden="1" customWidth="1"/>
    <col min="12" max="12" width="14.85546875" customWidth="1"/>
    <col min="13" max="13" width="14.7109375" customWidth="1"/>
    <col min="14" max="14" width="41.7109375" customWidth="1"/>
    <col min="15" max="16" width="14.140625" customWidth="1"/>
    <col min="17" max="17" width="10.85546875" customWidth="1"/>
    <col min="18" max="18" width="16.42578125" customWidth="1"/>
    <col min="19" max="19" width="11.28515625" customWidth="1"/>
    <col min="20" max="20" width="27.5703125" customWidth="1"/>
    <col min="21" max="21" width="11.28515625" customWidth="1"/>
    <col min="22" max="22" width="13.5703125" customWidth="1"/>
    <col min="23" max="23" width="11.42578125" customWidth="1"/>
    <col min="24" max="24" width="76.85546875" customWidth="1"/>
    <col min="25" max="25" width="12.7109375" customWidth="1"/>
    <col min="26" max="29" width="8.5703125" customWidth="1"/>
    <col min="30" max="30" width="10.5703125" customWidth="1"/>
  </cols>
  <sheetData>
    <row r="1" spans="1:31" x14ac:dyDescent="0.25">
      <c r="A1" s="1"/>
      <c r="B1" s="1"/>
      <c r="C1" s="1"/>
      <c r="D1" s="1"/>
      <c r="E1" s="1">
        <f>COUNTIF(E$4:E$42,"v")</f>
        <v>32</v>
      </c>
      <c r="F1" s="1">
        <f>COUNTIF(F$4:F$42,"v")</f>
        <v>30</v>
      </c>
      <c r="G1" s="1"/>
      <c r="H1" s="1"/>
      <c r="I1" s="2"/>
      <c r="J1" s="2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 spans="1:31" x14ac:dyDescent="0.25">
      <c r="A2" s="1"/>
      <c r="B2" s="1"/>
      <c r="C2" s="1"/>
      <c r="D2" s="42" t="s">
        <v>239</v>
      </c>
      <c r="E2" s="47">
        <f>E1/(MAX($A$4:$A$42)-COUNTIF(E$4:E$42,"-"))</f>
        <v>0.84210526315789469</v>
      </c>
      <c r="F2" s="47">
        <f>F1/(MAX($A$4:$A$42)-COUNTIF(F$4:F$42,"-"))</f>
        <v>0.78947368421052633</v>
      </c>
      <c r="G2" s="1"/>
      <c r="H2" s="1"/>
      <c r="I2" s="2"/>
      <c r="J2" s="2"/>
      <c r="K2" s="1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4"/>
    </row>
    <row r="3" spans="1:31" ht="54.75" customHeight="1" x14ac:dyDescent="0.25">
      <c r="A3" s="5" t="s">
        <v>0</v>
      </c>
      <c r="B3" s="41" t="s">
        <v>234</v>
      </c>
      <c r="C3" s="41" t="s">
        <v>235</v>
      </c>
      <c r="D3" s="41" t="s">
        <v>236</v>
      </c>
      <c r="E3" s="5" t="s">
        <v>217</v>
      </c>
      <c r="F3" s="5" t="s">
        <v>218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3</v>
      </c>
      <c r="M3" s="5" t="s">
        <v>4</v>
      </c>
      <c r="N3" s="5" t="s">
        <v>6</v>
      </c>
      <c r="O3" s="5" t="s">
        <v>3</v>
      </c>
      <c r="P3" s="5" t="s">
        <v>4</v>
      </c>
      <c r="Q3" s="5" t="s">
        <v>7</v>
      </c>
      <c r="R3" s="5" t="s">
        <v>8</v>
      </c>
      <c r="S3" s="5" t="s">
        <v>9</v>
      </c>
      <c r="T3" s="5" t="s">
        <v>10</v>
      </c>
      <c r="U3" s="5" t="s">
        <v>9</v>
      </c>
      <c r="V3" s="5" t="s">
        <v>11</v>
      </c>
      <c r="W3" s="5" t="s">
        <v>12</v>
      </c>
      <c r="X3" s="5" t="s">
        <v>13</v>
      </c>
      <c r="Y3" s="5" t="s">
        <v>14</v>
      </c>
      <c r="Z3" s="5" t="s">
        <v>15</v>
      </c>
      <c r="AA3" s="6"/>
      <c r="AB3" s="6"/>
      <c r="AC3" s="6"/>
      <c r="AD3" s="7"/>
    </row>
    <row r="4" spans="1:31" hidden="1" x14ac:dyDescent="0.25">
      <c r="A4" s="13">
        <v>1</v>
      </c>
      <c r="B4" s="34" t="s">
        <v>219</v>
      </c>
      <c r="C4" s="34" t="s">
        <v>219</v>
      </c>
      <c r="D4" s="34" t="s">
        <v>219</v>
      </c>
      <c r="E4" s="13" t="s">
        <v>219</v>
      </c>
      <c r="F4" s="13" t="s">
        <v>219</v>
      </c>
      <c r="G4" s="8" t="s">
        <v>16</v>
      </c>
      <c r="H4" s="14" t="s">
        <v>17</v>
      </c>
      <c r="I4" s="13" t="s">
        <v>18</v>
      </c>
      <c r="J4" s="13" t="s">
        <v>19</v>
      </c>
      <c r="K4" s="14" t="s">
        <v>20</v>
      </c>
      <c r="L4" s="9" t="s">
        <v>21</v>
      </c>
      <c r="M4" s="8" t="s">
        <v>19</v>
      </c>
      <c r="N4" s="14" t="s">
        <v>22</v>
      </c>
      <c r="O4" s="36" t="s">
        <v>23</v>
      </c>
      <c r="P4" s="8" t="s">
        <v>19</v>
      </c>
      <c r="Q4" s="10">
        <v>3</v>
      </c>
      <c r="R4" s="10">
        <v>690300</v>
      </c>
      <c r="S4" s="15">
        <v>45839</v>
      </c>
      <c r="T4" s="8" t="s">
        <v>24</v>
      </c>
      <c r="U4" s="11"/>
      <c r="V4" s="8" t="s">
        <v>25</v>
      </c>
      <c r="W4" s="10"/>
      <c r="X4" s="16" t="s">
        <v>26</v>
      </c>
      <c r="Y4" s="8" t="s">
        <v>27</v>
      </c>
      <c r="Z4" s="8"/>
      <c r="AA4" s="1"/>
      <c r="AB4" s="1"/>
      <c r="AC4" s="1"/>
      <c r="AD4" s="4"/>
      <c r="AE4" s="4"/>
    </row>
    <row r="5" spans="1:31" s="30" customFormat="1" x14ac:dyDescent="0.25">
      <c r="A5" s="22">
        <f t="shared" ref="A5:A42" si="0">+A4+1</f>
        <v>2</v>
      </c>
      <c r="B5" s="22" t="s">
        <v>219</v>
      </c>
      <c r="C5" s="35" t="s">
        <v>219</v>
      </c>
      <c r="D5" s="35" t="s">
        <v>219</v>
      </c>
      <c r="E5" s="35" t="s">
        <v>219</v>
      </c>
      <c r="F5" s="22"/>
      <c r="G5" s="23" t="s">
        <v>28</v>
      </c>
      <c r="H5" s="31" t="s">
        <v>29</v>
      </c>
      <c r="I5" s="22" t="s">
        <v>18</v>
      </c>
      <c r="J5" s="22" t="s">
        <v>19</v>
      </c>
      <c r="K5" s="23" t="s">
        <v>20</v>
      </c>
      <c r="L5" s="54" t="s">
        <v>30</v>
      </c>
      <c r="M5" s="23" t="s">
        <v>19</v>
      </c>
      <c r="N5" s="23" t="s">
        <v>22</v>
      </c>
      <c r="O5" s="37" t="s">
        <v>31</v>
      </c>
      <c r="P5" s="23" t="s">
        <v>19</v>
      </c>
      <c r="Q5" s="25">
        <v>3</v>
      </c>
      <c r="R5" s="25">
        <v>690300</v>
      </c>
      <c r="S5" s="26">
        <v>45839</v>
      </c>
      <c r="T5" s="23" t="s">
        <v>32</v>
      </c>
      <c r="U5" s="27"/>
      <c r="V5" s="23" t="s">
        <v>25</v>
      </c>
      <c r="W5" s="25"/>
      <c r="X5" s="32" t="s">
        <v>33</v>
      </c>
      <c r="Y5" s="23" t="s">
        <v>34</v>
      </c>
      <c r="Z5" s="23"/>
      <c r="AA5" s="28"/>
      <c r="AB5" s="28"/>
      <c r="AC5" s="28"/>
      <c r="AD5" s="29"/>
      <c r="AE5" s="29"/>
    </row>
    <row r="6" spans="1:31" hidden="1" x14ac:dyDescent="0.25">
      <c r="A6" s="13">
        <f t="shared" si="0"/>
        <v>3</v>
      </c>
      <c r="B6" s="34" t="s">
        <v>219</v>
      </c>
      <c r="C6" s="34" t="s">
        <v>219</v>
      </c>
      <c r="D6" s="34" t="s">
        <v>219</v>
      </c>
      <c r="E6" s="13" t="s">
        <v>219</v>
      </c>
      <c r="F6" s="34" t="s">
        <v>219</v>
      </c>
      <c r="G6" s="8" t="s">
        <v>35</v>
      </c>
      <c r="H6" s="14" t="s">
        <v>36</v>
      </c>
      <c r="I6" s="13" t="s">
        <v>18</v>
      </c>
      <c r="J6" s="13" t="s">
        <v>19</v>
      </c>
      <c r="K6" s="8" t="s">
        <v>20</v>
      </c>
      <c r="L6" s="9" t="s">
        <v>37</v>
      </c>
      <c r="M6" s="8" t="s">
        <v>19</v>
      </c>
      <c r="N6" s="8" t="s">
        <v>22</v>
      </c>
      <c r="O6" s="19" t="s">
        <v>38</v>
      </c>
      <c r="P6" s="8" t="s">
        <v>19</v>
      </c>
      <c r="Q6" s="10">
        <v>3</v>
      </c>
      <c r="R6" s="10">
        <v>690300</v>
      </c>
      <c r="S6" s="15">
        <v>45839</v>
      </c>
      <c r="T6" s="8" t="s">
        <v>39</v>
      </c>
      <c r="U6" s="11"/>
      <c r="V6" s="8" t="s">
        <v>25</v>
      </c>
      <c r="W6" s="10"/>
      <c r="X6" s="16" t="s">
        <v>40</v>
      </c>
      <c r="Y6" s="8" t="s">
        <v>41</v>
      </c>
      <c r="Z6" s="8"/>
      <c r="AA6" s="1"/>
      <c r="AB6" s="1"/>
      <c r="AC6" s="1"/>
      <c r="AD6" s="4"/>
      <c r="AE6" s="4"/>
    </row>
    <row r="7" spans="1:31" hidden="1" x14ac:dyDescent="0.25">
      <c r="A7" s="13">
        <f t="shared" si="0"/>
        <v>4</v>
      </c>
      <c r="B7" s="34" t="s">
        <v>219</v>
      </c>
      <c r="C7" s="34" t="s">
        <v>219</v>
      </c>
      <c r="D7" s="34" t="s">
        <v>219</v>
      </c>
      <c r="E7" s="13" t="s">
        <v>219</v>
      </c>
      <c r="F7" s="34" t="s">
        <v>219</v>
      </c>
      <c r="G7" s="8" t="s">
        <v>42</v>
      </c>
      <c r="H7" s="17" t="s">
        <v>43</v>
      </c>
      <c r="I7" s="13" t="s">
        <v>18</v>
      </c>
      <c r="J7" s="13" t="s">
        <v>19</v>
      </c>
      <c r="K7" s="8" t="s">
        <v>20</v>
      </c>
      <c r="L7" s="9" t="s">
        <v>44</v>
      </c>
      <c r="M7" s="8" t="s">
        <v>19</v>
      </c>
      <c r="N7" s="8" t="s">
        <v>22</v>
      </c>
      <c r="O7" s="9" t="s">
        <v>45</v>
      </c>
      <c r="P7" s="8" t="s">
        <v>19</v>
      </c>
      <c r="Q7" s="10">
        <v>3</v>
      </c>
      <c r="R7" s="10">
        <v>2950000</v>
      </c>
      <c r="S7" s="15">
        <v>45839</v>
      </c>
      <c r="T7" s="8" t="s">
        <v>46</v>
      </c>
      <c r="U7" s="11"/>
      <c r="V7" s="11"/>
      <c r="W7" s="10"/>
      <c r="X7" s="18" t="s">
        <v>47</v>
      </c>
      <c r="Y7" s="8" t="s">
        <v>48</v>
      </c>
      <c r="Z7" s="8"/>
      <c r="AA7" s="1"/>
      <c r="AB7" s="1"/>
      <c r="AC7" s="1"/>
      <c r="AD7" s="4"/>
      <c r="AE7" s="4"/>
    </row>
    <row r="8" spans="1:31" hidden="1" x14ac:dyDescent="0.25">
      <c r="A8" s="13">
        <f t="shared" si="0"/>
        <v>5</v>
      </c>
      <c r="B8" s="34" t="s">
        <v>219</v>
      </c>
      <c r="C8" s="34" t="s">
        <v>219</v>
      </c>
      <c r="D8" s="34" t="s">
        <v>219</v>
      </c>
      <c r="E8" s="13" t="s">
        <v>219</v>
      </c>
      <c r="F8" s="34" t="s">
        <v>219</v>
      </c>
      <c r="G8" s="8" t="s">
        <v>49</v>
      </c>
      <c r="H8" s="17" t="s">
        <v>50</v>
      </c>
      <c r="I8" s="13" t="s">
        <v>18</v>
      </c>
      <c r="J8" s="13" t="s">
        <v>19</v>
      </c>
      <c r="K8" s="8" t="s">
        <v>20</v>
      </c>
      <c r="L8" s="9" t="s">
        <v>51</v>
      </c>
      <c r="M8" s="8" t="s">
        <v>19</v>
      </c>
      <c r="N8" s="8" t="s">
        <v>22</v>
      </c>
      <c r="O8" s="9" t="s">
        <v>52</v>
      </c>
      <c r="P8" s="8" t="s">
        <v>19</v>
      </c>
      <c r="Q8" s="10">
        <v>3</v>
      </c>
      <c r="R8" s="10">
        <v>690300</v>
      </c>
      <c r="S8" s="15">
        <v>45839</v>
      </c>
      <c r="T8" s="8" t="s">
        <v>53</v>
      </c>
      <c r="U8" s="11"/>
      <c r="V8" s="8" t="s">
        <v>25</v>
      </c>
      <c r="W8" s="10"/>
      <c r="X8" s="18" t="s">
        <v>54</v>
      </c>
      <c r="Y8" s="8" t="s">
        <v>55</v>
      </c>
      <c r="Z8" s="8"/>
      <c r="AA8" s="1"/>
      <c r="AB8" s="1"/>
      <c r="AC8" s="1"/>
      <c r="AD8" s="4"/>
      <c r="AE8" s="4"/>
    </row>
    <row r="9" spans="1:31" hidden="1" x14ac:dyDescent="0.25">
      <c r="A9" s="13">
        <f t="shared" si="0"/>
        <v>6</v>
      </c>
      <c r="B9" s="34" t="s">
        <v>219</v>
      </c>
      <c r="C9" s="34" t="s">
        <v>219</v>
      </c>
      <c r="D9" s="34" t="s">
        <v>219</v>
      </c>
      <c r="E9" s="13" t="s">
        <v>219</v>
      </c>
      <c r="F9" s="34" t="s">
        <v>219</v>
      </c>
      <c r="G9" s="8" t="s">
        <v>56</v>
      </c>
      <c r="H9" s="17" t="s">
        <v>57</v>
      </c>
      <c r="I9" s="13" t="s">
        <v>18</v>
      </c>
      <c r="J9" s="13" t="s">
        <v>19</v>
      </c>
      <c r="K9" s="8" t="s">
        <v>20</v>
      </c>
      <c r="L9" s="9" t="s">
        <v>58</v>
      </c>
      <c r="M9" s="8" t="s">
        <v>19</v>
      </c>
      <c r="N9" s="8" t="s">
        <v>59</v>
      </c>
      <c r="O9" s="9"/>
      <c r="P9" s="8"/>
      <c r="Q9" s="10">
        <v>3</v>
      </c>
      <c r="R9" s="10"/>
      <c r="S9" s="15"/>
      <c r="T9" s="8" t="s">
        <v>60</v>
      </c>
      <c r="U9" s="11"/>
      <c r="V9" s="8" t="s">
        <v>25</v>
      </c>
      <c r="W9" s="10"/>
      <c r="X9" s="18" t="s">
        <v>61</v>
      </c>
      <c r="Y9" s="8" t="s">
        <v>62</v>
      </c>
      <c r="Z9" s="8"/>
      <c r="AA9" s="1"/>
      <c r="AB9" s="1"/>
      <c r="AC9" s="1"/>
      <c r="AD9" s="4"/>
      <c r="AE9" s="4"/>
    </row>
    <row r="10" spans="1:31" s="30" customFormat="1" hidden="1" x14ac:dyDescent="0.25">
      <c r="A10" s="22">
        <f t="shared" si="0"/>
        <v>7</v>
      </c>
      <c r="B10" s="22" t="s">
        <v>219</v>
      </c>
      <c r="C10" s="35" t="s">
        <v>219</v>
      </c>
      <c r="D10" s="35" t="s">
        <v>219</v>
      </c>
      <c r="E10" s="35" t="s">
        <v>219</v>
      </c>
      <c r="F10" s="35" t="s">
        <v>219</v>
      </c>
      <c r="G10" s="23" t="s">
        <v>63</v>
      </c>
      <c r="H10" s="31" t="s">
        <v>64</v>
      </c>
      <c r="I10" s="22" t="s">
        <v>18</v>
      </c>
      <c r="J10" s="22" t="s">
        <v>19</v>
      </c>
      <c r="K10" s="23" t="s">
        <v>20</v>
      </c>
      <c r="L10" s="54" t="s">
        <v>65</v>
      </c>
      <c r="M10" s="23" t="s">
        <v>19</v>
      </c>
      <c r="N10" s="23" t="s">
        <v>22</v>
      </c>
      <c r="O10" s="33" t="s">
        <v>66</v>
      </c>
      <c r="P10" s="23" t="s">
        <v>19</v>
      </c>
      <c r="Q10" s="25">
        <v>3</v>
      </c>
      <c r="R10" s="25">
        <v>690300</v>
      </c>
      <c r="S10" s="26">
        <v>45839</v>
      </c>
      <c r="T10" s="23" t="s">
        <v>67</v>
      </c>
      <c r="U10" s="27"/>
      <c r="V10" s="27"/>
      <c r="W10" s="25"/>
      <c r="X10" s="32" t="s">
        <v>68</v>
      </c>
      <c r="Y10" s="23" t="s">
        <v>69</v>
      </c>
      <c r="Z10" s="23"/>
      <c r="AA10" s="28"/>
      <c r="AB10" s="28"/>
      <c r="AC10" s="28"/>
      <c r="AD10" s="29"/>
      <c r="AE10" s="29"/>
    </row>
    <row r="11" spans="1:31" hidden="1" x14ac:dyDescent="0.25">
      <c r="A11" s="13">
        <f t="shared" si="0"/>
        <v>8</v>
      </c>
      <c r="B11" s="34" t="s">
        <v>219</v>
      </c>
      <c r="C11" s="34" t="s">
        <v>219</v>
      </c>
      <c r="D11" s="34" t="s">
        <v>219</v>
      </c>
      <c r="E11" s="34" t="s">
        <v>219</v>
      </c>
      <c r="F11" s="34" t="s">
        <v>219</v>
      </c>
      <c r="G11" s="8" t="s">
        <v>70</v>
      </c>
      <c r="H11" s="14" t="s">
        <v>71</v>
      </c>
      <c r="I11" s="13" t="s">
        <v>18</v>
      </c>
      <c r="J11" s="13" t="s">
        <v>19</v>
      </c>
      <c r="K11" s="8" t="s">
        <v>20</v>
      </c>
      <c r="L11" s="48" t="s">
        <v>72</v>
      </c>
      <c r="M11" s="8" t="s">
        <v>19</v>
      </c>
      <c r="N11" s="8" t="s">
        <v>22</v>
      </c>
      <c r="O11" s="19" t="s">
        <v>73</v>
      </c>
      <c r="P11" s="8" t="s">
        <v>19</v>
      </c>
      <c r="Q11" s="10">
        <v>3</v>
      </c>
      <c r="R11" s="10">
        <v>690300</v>
      </c>
      <c r="S11" s="15">
        <v>45839</v>
      </c>
      <c r="T11" s="8" t="s">
        <v>74</v>
      </c>
      <c r="U11" s="11"/>
      <c r="V11" s="8" t="s">
        <v>25</v>
      </c>
      <c r="W11" s="10"/>
      <c r="X11" s="16" t="s">
        <v>75</v>
      </c>
      <c r="Y11" s="8" t="s">
        <v>76</v>
      </c>
      <c r="Z11" s="8"/>
      <c r="AA11" s="1"/>
      <c r="AB11" s="1"/>
      <c r="AC11" s="1"/>
      <c r="AD11" s="4"/>
      <c r="AE11" s="4"/>
    </row>
    <row r="12" spans="1:31" hidden="1" x14ac:dyDescent="0.25">
      <c r="A12" s="13">
        <f t="shared" si="0"/>
        <v>9</v>
      </c>
      <c r="B12" s="34" t="s">
        <v>219</v>
      </c>
      <c r="C12" s="34" t="s">
        <v>219</v>
      </c>
      <c r="D12" s="34" t="s">
        <v>219</v>
      </c>
      <c r="E12" s="13" t="s">
        <v>219</v>
      </c>
      <c r="F12" s="34" t="s">
        <v>219</v>
      </c>
      <c r="G12" s="8" t="s">
        <v>77</v>
      </c>
      <c r="H12" s="14" t="s">
        <v>78</v>
      </c>
      <c r="I12" s="13" t="s">
        <v>18</v>
      </c>
      <c r="J12" s="13" t="s">
        <v>19</v>
      </c>
      <c r="K12" s="8" t="s">
        <v>20</v>
      </c>
      <c r="L12" s="9" t="s">
        <v>79</v>
      </c>
      <c r="M12" s="8" t="s">
        <v>19</v>
      </c>
      <c r="N12" s="8" t="s">
        <v>22</v>
      </c>
      <c r="O12" s="19" t="s">
        <v>80</v>
      </c>
      <c r="P12" s="8" t="s">
        <v>19</v>
      </c>
      <c r="Q12" s="10">
        <v>3</v>
      </c>
      <c r="R12" s="10">
        <v>690300</v>
      </c>
      <c r="S12" s="15">
        <v>45839</v>
      </c>
      <c r="T12" s="8" t="s">
        <v>81</v>
      </c>
      <c r="U12" s="11"/>
      <c r="V12" s="8" t="s">
        <v>25</v>
      </c>
      <c r="W12" s="10"/>
      <c r="X12" s="16" t="s">
        <v>82</v>
      </c>
      <c r="Y12" s="8" t="s">
        <v>83</v>
      </c>
      <c r="Z12" s="8"/>
      <c r="AA12" s="1"/>
      <c r="AB12" s="1"/>
      <c r="AC12" s="1"/>
      <c r="AD12" s="4"/>
      <c r="AE12" s="4"/>
    </row>
    <row r="13" spans="1:31" hidden="1" x14ac:dyDescent="0.25">
      <c r="A13" s="13">
        <f t="shared" si="0"/>
        <v>10</v>
      </c>
      <c r="B13" s="34" t="s">
        <v>219</v>
      </c>
      <c r="C13" s="34" t="s">
        <v>219</v>
      </c>
      <c r="D13" s="34" t="s">
        <v>219</v>
      </c>
      <c r="E13" s="34" t="s">
        <v>219</v>
      </c>
      <c r="F13" s="34" t="s">
        <v>219</v>
      </c>
      <c r="G13" s="8" t="s">
        <v>84</v>
      </c>
      <c r="H13" s="17" t="s">
        <v>85</v>
      </c>
      <c r="I13" s="13" t="s">
        <v>18</v>
      </c>
      <c r="J13" s="13" t="s">
        <v>19</v>
      </c>
      <c r="K13" s="8" t="s">
        <v>20</v>
      </c>
      <c r="L13" s="9" t="s">
        <v>86</v>
      </c>
      <c r="M13" s="8" t="s">
        <v>19</v>
      </c>
      <c r="N13" s="8" t="s">
        <v>22</v>
      </c>
      <c r="O13" s="19" t="s">
        <v>87</v>
      </c>
      <c r="P13" s="8" t="s">
        <v>19</v>
      </c>
      <c r="Q13" s="10">
        <v>3</v>
      </c>
      <c r="R13" s="10">
        <v>690300</v>
      </c>
      <c r="S13" s="15">
        <v>45839</v>
      </c>
      <c r="T13" s="8" t="s">
        <v>88</v>
      </c>
      <c r="U13" s="11"/>
      <c r="V13" s="8" t="s">
        <v>25</v>
      </c>
      <c r="W13" s="10"/>
      <c r="X13" s="18" t="s">
        <v>89</v>
      </c>
      <c r="Y13" s="8" t="s">
        <v>90</v>
      </c>
      <c r="Z13" s="8"/>
      <c r="AA13" s="1"/>
      <c r="AB13" s="1"/>
      <c r="AC13" s="1"/>
      <c r="AD13" s="4"/>
      <c r="AE13" s="4"/>
    </row>
    <row r="14" spans="1:31" hidden="1" x14ac:dyDescent="0.25">
      <c r="A14" s="13">
        <f t="shared" si="0"/>
        <v>11</v>
      </c>
      <c r="B14" s="34" t="s">
        <v>219</v>
      </c>
      <c r="C14" s="34" t="s">
        <v>219</v>
      </c>
      <c r="D14" s="34" t="s">
        <v>219</v>
      </c>
      <c r="E14" s="34" t="s">
        <v>219</v>
      </c>
      <c r="F14" s="34" t="s">
        <v>219</v>
      </c>
      <c r="G14" s="8" t="s">
        <v>91</v>
      </c>
      <c r="H14" s="14" t="s">
        <v>92</v>
      </c>
      <c r="I14" s="13" t="s">
        <v>18</v>
      </c>
      <c r="J14" s="13" t="s">
        <v>19</v>
      </c>
      <c r="K14" s="8" t="s">
        <v>20</v>
      </c>
      <c r="L14" s="9" t="s">
        <v>93</v>
      </c>
      <c r="M14" s="8" t="s">
        <v>19</v>
      </c>
      <c r="N14" s="8" t="s">
        <v>22</v>
      </c>
      <c r="O14" s="19" t="s">
        <v>94</v>
      </c>
      <c r="P14" s="8" t="s">
        <v>19</v>
      </c>
      <c r="Q14" s="10">
        <v>3</v>
      </c>
      <c r="R14" s="10">
        <v>690300</v>
      </c>
      <c r="S14" s="15">
        <v>45839</v>
      </c>
      <c r="T14" s="8" t="s">
        <v>95</v>
      </c>
      <c r="U14" s="11"/>
      <c r="V14" s="8" t="s">
        <v>25</v>
      </c>
      <c r="W14" s="10"/>
      <c r="X14" s="16" t="s">
        <v>96</v>
      </c>
      <c r="Y14" s="8" t="s">
        <v>97</v>
      </c>
      <c r="Z14" s="8"/>
      <c r="AA14" s="1"/>
      <c r="AB14" s="1"/>
      <c r="AC14" s="1"/>
      <c r="AD14" s="4"/>
      <c r="AE14" s="4"/>
    </row>
    <row r="15" spans="1:31" hidden="1" x14ac:dyDescent="0.25">
      <c r="A15" s="13">
        <f t="shared" si="0"/>
        <v>12</v>
      </c>
      <c r="B15" s="34" t="s">
        <v>219</v>
      </c>
      <c r="C15" s="34" t="s">
        <v>219</v>
      </c>
      <c r="D15" s="34" t="s">
        <v>219</v>
      </c>
      <c r="E15" s="34" t="s">
        <v>219</v>
      </c>
      <c r="F15" s="34" t="s">
        <v>219</v>
      </c>
      <c r="G15" s="8" t="s">
        <v>98</v>
      </c>
      <c r="H15" s="14" t="s">
        <v>99</v>
      </c>
      <c r="I15" s="13" t="s">
        <v>18</v>
      </c>
      <c r="J15" s="13" t="s">
        <v>19</v>
      </c>
      <c r="K15" s="8" t="s">
        <v>20</v>
      </c>
      <c r="L15" s="9" t="s">
        <v>100</v>
      </c>
      <c r="M15" s="8" t="s">
        <v>19</v>
      </c>
      <c r="N15" s="8" t="s">
        <v>22</v>
      </c>
      <c r="O15" s="9" t="s">
        <v>101</v>
      </c>
      <c r="P15" s="8" t="s">
        <v>19</v>
      </c>
      <c r="Q15" s="10">
        <v>3</v>
      </c>
      <c r="R15" s="10">
        <v>690300</v>
      </c>
      <c r="S15" s="15">
        <v>45839</v>
      </c>
      <c r="T15" s="8" t="s">
        <v>102</v>
      </c>
      <c r="U15" s="11"/>
      <c r="V15" s="8" t="s">
        <v>25</v>
      </c>
      <c r="W15" s="10"/>
      <c r="X15" s="16" t="s">
        <v>103</v>
      </c>
      <c r="Y15" s="8" t="s">
        <v>104</v>
      </c>
      <c r="Z15" s="8"/>
      <c r="AA15" s="1"/>
      <c r="AB15" s="1"/>
      <c r="AC15" s="1"/>
      <c r="AD15" s="4"/>
      <c r="AE15" s="4"/>
    </row>
    <row r="16" spans="1:31" hidden="1" x14ac:dyDescent="0.25">
      <c r="A16" s="13">
        <f t="shared" si="0"/>
        <v>13</v>
      </c>
      <c r="B16" s="34" t="s">
        <v>219</v>
      </c>
      <c r="C16" s="34" t="s">
        <v>219</v>
      </c>
      <c r="D16" s="34" t="s">
        <v>219</v>
      </c>
      <c r="E16" s="13" t="s">
        <v>219</v>
      </c>
      <c r="F16" s="34" t="s">
        <v>219</v>
      </c>
      <c r="G16" s="8" t="s">
        <v>105</v>
      </c>
      <c r="H16" s="14" t="s">
        <v>106</v>
      </c>
      <c r="I16" s="13" t="s">
        <v>18</v>
      </c>
      <c r="J16" s="13" t="s">
        <v>19</v>
      </c>
      <c r="K16" s="8" t="s">
        <v>20</v>
      </c>
      <c r="L16" s="9" t="s">
        <v>107</v>
      </c>
      <c r="M16" s="8" t="s">
        <v>19</v>
      </c>
      <c r="N16" s="8" t="s">
        <v>22</v>
      </c>
      <c r="O16" s="19" t="s">
        <v>108</v>
      </c>
      <c r="P16" s="8" t="s">
        <v>19</v>
      </c>
      <c r="Q16" s="10">
        <v>3</v>
      </c>
      <c r="R16" s="10">
        <v>690300</v>
      </c>
      <c r="S16" s="15">
        <v>45839</v>
      </c>
      <c r="T16" s="8" t="s">
        <v>109</v>
      </c>
      <c r="U16" s="11"/>
      <c r="V16" s="8" t="s">
        <v>25</v>
      </c>
      <c r="W16" s="10"/>
      <c r="X16" s="16" t="s">
        <v>110</v>
      </c>
      <c r="Y16" s="8" t="s">
        <v>111</v>
      </c>
      <c r="Z16" s="8"/>
      <c r="AA16" s="1"/>
      <c r="AB16" s="1"/>
      <c r="AC16" s="1"/>
      <c r="AD16" s="4"/>
      <c r="AE16" s="4"/>
    </row>
    <row r="17" spans="1:31" s="30" customFormat="1" x14ac:dyDescent="0.25">
      <c r="A17" s="22">
        <f t="shared" si="0"/>
        <v>14</v>
      </c>
      <c r="B17" s="35" t="s">
        <v>219</v>
      </c>
      <c r="C17" s="35" t="s">
        <v>219</v>
      </c>
      <c r="D17" s="35" t="s">
        <v>219</v>
      </c>
      <c r="E17" s="35" t="s">
        <v>219</v>
      </c>
      <c r="F17" s="35"/>
      <c r="G17" s="23" t="s">
        <v>112</v>
      </c>
      <c r="H17" s="31" t="s">
        <v>113</v>
      </c>
      <c r="I17" s="22" t="s">
        <v>18</v>
      </c>
      <c r="J17" s="22" t="s">
        <v>19</v>
      </c>
      <c r="K17" s="23" t="s">
        <v>20</v>
      </c>
      <c r="L17" s="54" t="s">
        <v>114</v>
      </c>
      <c r="M17" s="23" t="s">
        <v>19</v>
      </c>
      <c r="N17" s="23" t="s">
        <v>22</v>
      </c>
      <c r="O17" s="33" t="s">
        <v>115</v>
      </c>
      <c r="P17" s="23" t="s">
        <v>19</v>
      </c>
      <c r="Q17" s="25">
        <v>3</v>
      </c>
      <c r="R17" s="25">
        <v>690300</v>
      </c>
      <c r="S17" s="26">
        <v>45839</v>
      </c>
      <c r="T17" s="23" t="s">
        <v>116</v>
      </c>
      <c r="U17" s="27"/>
      <c r="V17" s="23" t="s">
        <v>25</v>
      </c>
      <c r="W17" s="25"/>
      <c r="X17" s="32" t="s">
        <v>117</v>
      </c>
      <c r="Y17" s="23" t="s">
        <v>118</v>
      </c>
      <c r="Z17" s="23"/>
      <c r="AA17" s="28"/>
      <c r="AB17" s="28"/>
      <c r="AC17" s="28"/>
      <c r="AD17" s="29"/>
      <c r="AE17" s="29"/>
    </row>
    <row r="18" spans="1:31" ht="15.75" hidden="1" customHeight="1" x14ac:dyDescent="0.25">
      <c r="A18" s="13">
        <f t="shared" si="0"/>
        <v>15</v>
      </c>
      <c r="B18" s="34" t="s">
        <v>219</v>
      </c>
      <c r="C18" s="34" t="s">
        <v>219</v>
      </c>
      <c r="D18" s="34" t="s">
        <v>219</v>
      </c>
      <c r="E18" s="13" t="s">
        <v>219</v>
      </c>
      <c r="F18" s="34" t="s">
        <v>219</v>
      </c>
      <c r="G18" s="8" t="s">
        <v>119</v>
      </c>
      <c r="H18" s="17" t="s">
        <v>120</v>
      </c>
      <c r="I18" s="13" t="s">
        <v>18</v>
      </c>
      <c r="J18" s="13" t="s">
        <v>19</v>
      </c>
      <c r="K18" s="8" t="s">
        <v>20</v>
      </c>
      <c r="L18" s="9" t="s">
        <v>121</v>
      </c>
      <c r="M18" s="8" t="s">
        <v>19</v>
      </c>
      <c r="N18" s="8" t="s">
        <v>22</v>
      </c>
      <c r="O18" s="9" t="s">
        <v>121</v>
      </c>
      <c r="P18" s="8" t="s">
        <v>19</v>
      </c>
      <c r="Q18" s="10">
        <v>3</v>
      </c>
      <c r="R18" s="10">
        <v>690300</v>
      </c>
      <c r="S18" s="15">
        <v>45870</v>
      </c>
      <c r="T18" s="8" t="s">
        <v>122</v>
      </c>
      <c r="U18" s="11"/>
      <c r="V18" s="8" t="s">
        <v>25</v>
      </c>
      <c r="W18" s="10"/>
      <c r="X18" s="43" t="s">
        <v>123</v>
      </c>
      <c r="Y18" s="8" t="s">
        <v>124</v>
      </c>
      <c r="Z18" s="8"/>
      <c r="AA18" s="1"/>
      <c r="AB18" s="1"/>
      <c r="AC18" s="1"/>
      <c r="AD18" s="4"/>
      <c r="AE18" s="4"/>
    </row>
    <row r="19" spans="1:31" s="30" customFormat="1" ht="15.75" hidden="1" customHeight="1" x14ac:dyDescent="0.25">
      <c r="A19" s="22">
        <f t="shared" si="0"/>
        <v>16</v>
      </c>
      <c r="B19" s="22" t="s">
        <v>219</v>
      </c>
      <c r="C19" s="35" t="s">
        <v>219</v>
      </c>
      <c r="D19" s="35" t="s">
        <v>219</v>
      </c>
      <c r="E19" s="35" t="s">
        <v>219</v>
      </c>
      <c r="F19" s="35" t="s">
        <v>219</v>
      </c>
      <c r="G19" s="23" t="s">
        <v>125</v>
      </c>
      <c r="H19" s="31" t="s">
        <v>126</v>
      </c>
      <c r="I19" s="22" t="s">
        <v>18</v>
      </c>
      <c r="J19" s="22" t="s">
        <v>19</v>
      </c>
      <c r="K19" s="23" t="s">
        <v>20</v>
      </c>
      <c r="L19" s="24" t="s">
        <v>127</v>
      </c>
      <c r="M19" s="23" t="s">
        <v>19</v>
      </c>
      <c r="N19" s="23" t="s">
        <v>22</v>
      </c>
      <c r="O19" s="24" t="s">
        <v>127</v>
      </c>
      <c r="P19" s="23" t="s">
        <v>19</v>
      </c>
      <c r="Q19" s="25">
        <v>3</v>
      </c>
      <c r="R19" s="25">
        <v>690300</v>
      </c>
      <c r="S19" s="26">
        <v>45870</v>
      </c>
      <c r="T19" s="23" t="s">
        <v>128</v>
      </c>
      <c r="U19" s="27"/>
      <c r="V19" s="23" t="s">
        <v>25</v>
      </c>
      <c r="W19" s="25"/>
      <c r="X19" s="32" t="s">
        <v>129</v>
      </c>
      <c r="Y19" s="23" t="s">
        <v>130</v>
      </c>
      <c r="Z19" s="23"/>
      <c r="AA19" s="28"/>
      <c r="AB19" s="28"/>
      <c r="AC19" s="28"/>
      <c r="AD19" s="29"/>
      <c r="AE19" s="29"/>
    </row>
    <row r="20" spans="1:31" ht="15.75" hidden="1" customHeight="1" x14ac:dyDescent="0.25">
      <c r="A20" s="13">
        <f t="shared" si="0"/>
        <v>17</v>
      </c>
      <c r="B20" s="13" t="s">
        <v>219</v>
      </c>
      <c r="C20" s="34" t="s">
        <v>219</v>
      </c>
      <c r="D20" s="34" t="s">
        <v>219</v>
      </c>
      <c r="E20" s="13" t="s">
        <v>219</v>
      </c>
      <c r="F20" s="34" t="s">
        <v>219</v>
      </c>
      <c r="G20" s="8" t="s">
        <v>131</v>
      </c>
      <c r="H20" s="14" t="s">
        <v>132</v>
      </c>
      <c r="I20" s="13" t="s">
        <v>18</v>
      </c>
      <c r="J20" s="13" t="s">
        <v>19</v>
      </c>
      <c r="K20" s="8" t="s">
        <v>20</v>
      </c>
      <c r="L20" s="9" t="s">
        <v>133</v>
      </c>
      <c r="M20" s="8" t="s">
        <v>19</v>
      </c>
      <c r="N20" s="8" t="s">
        <v>22</v>
      </c>
      <c r="O20" s="9" t="s">
        <v>133</v>
      </c>
      <c r="P20" s="8" t="s">
        <v>19</v>
      </c>
      <c r="Q20" s="10">
        <v>3</v>
      </c>
      <c r="R20" s="10">
        <v>690300</v>
      </c>
      <c r="S20" s="15">
        <v>45901</v>
      </c>
      <c r="T20" s="8" t="s">
        <v>134</v>
      </c>
      <c r="U20" s="11"/>
      <c r="V20" s="8" t="s">
        <v>25</v>
      </c>
      <c r="W20" s="10"/>
      <c r="X20" s="16" t="s">
        <v>135</v>
      </c>
      <c r="Y20" s="8" t="s">
        <v>136</v>
      </c>
      <c r="Z20" s="8"/>
      <c r="AA20" s="1"/>
      <c r="AB20" s="1"/>
      <c r="AC20" s="1"/>
      <c r="AD20" s="4"/>
      <c r="AE20" s="4"/>
    </row>
    <row r="21" spans="1:31" ht="15.75" hidden="1" customHeight="1" x14ac:dyDescent="0.25">
      <c r="A21" s="13">
        <f t="shared" si="0"/>
        <v>18</v>
      </c>
      <c r="B21" s="13" t="s">
        <v>219</v>
      </c>
      <c r="C21" s="34" t="s">
        <v>219</v>
      </c>
      <c r="D21" s="34" t="s">
        <v>219</v>
      </c>
      <c r="E21" s="13" t="s">
        <v>219</v>
      </c>
      <c r="F21" s="34" t="s">
        <v>219</v>
      </c>
      <c r="G21" s="8" t="s">
        <v>137</v>
      </c>
      <c r="H21" s="17" t="s">
        <v>138</v>
      </c>
      <c r="I21" s="13" t="s">
        <v>18</v>
      </c>
      <c r="J21" s="13" t="s">
        <v>19</v>
      </c>
      <c r="K21" s="8" t="s">
        <v>20</v>
      </c>
      <c r="L21" s="9" t="s">
        <v>139</v>
      </c>
      <c r="M21" s="8" t="s">
        <v>19</v>
      </c>
      <c r="N21" s="8" t="s">
        <v>22</v>
      </c>
      <c r="O21" s="9" t="s">
        <v>139</v>
      </c>
      <c r="P21" s="8" t="s">
        <v>19</v>
      </c>
      <c r="Q21" s="10">
        <v>3</v>
      </c>
      <c r="R21" s="10">
        <v>690300</v>
      </c>
      <c r="S21" s="15">
        <v>45901</v>
      </c>
      <c r="T21" s="8" t="s">
        <v>140</v>
      </c>
      <c r="U21" s="11"/>
      <c r="V21" s="11"/>
      <c r="W21" s="10"/>
      <c r="X21" s="18" t="s">
        <v>141</v>
      </c>
      <c r="Y21" s="8" t="s">
        <v>142</v>
      </c>
      <c r="Z21" s="8"/>
      <c r="AA21" s="1"/>
      <c r="AB21" s="1"/>
      <c r="AC21" s="1"/>
      <c r="AD21" s="4"/>
      <c r="AE21" s="4"/>
    </row>
    <row r="22" spans="1:31" ht="15.75" hidden="1" customHeight="1" x14ac:dyDescent="0.25">
      <c r="A22" s="13">
        <f t="shared" si="0"/>
        <v>19</v>
      </c>
      <c r="B22" s="13" t="s">
        <v>219</v>
      </c>
      <c r="C22" s="34" t="s">
        <v>219</v>
      </c>
      <c r="D22" s="34" t="s">
        <v>219</v>
      </c>
      <c r="E22" s="13" t="s">
        <v>219</v>
      </c>
      <c r="F22" s="34" t="s">
        <v>219</v>
      </c>
      <c r="G22" s="8" t="s">
        <v>143</v>
      </c>
      <c r="H22" s="17" t="s">
        <v>144</v>
      </c>
      <c r="I22" s="13" t="s">
        <v>18</v>
      </c>
      <c r="J22" s="13" t="s">
        <v>19</v>
      </c>
      <c r="K22" s="8" t="s">
        <v>20</v>
      </c>
      <c r="L22" s="9" t="s">
        <v>145</v>
      </c>
      <c r="M22" s="8" t="s">
        <v>19</v>
      </c>
      <c r="N22" s="8" t="s">
        <v>22</v>
      </c>
      <c r="O22" s="9" t="s">
        <v>145</v>
      </c>
      <c r="P22" s="8" t="s">
        <v>19</v>
      </c>
      <c r="Q22" s="10">
        <v>3</v>
      </c>
      <c r="R22" s="10">
        <v>690300</v>
      </c>
      <c r="S22" s="15">
        <v>45901</v>
      </c>
      <c r="T22" s="8" t="s">
        <v>146</v>
      </c>
      <c r="U22" s="11"/>
      <c r="V22" s="8" t="s">
        <v>25</v>
      </c>
      <c r="W22" s="10"/>
      <c r="X22" s="18" t="s">
        <v>147</v>
      </c>
      <c r="Y22" s="8" t="s">
        <v>148</v>
      </c>
      <c r="Z22" s="8"/>
      <c r="AA22" s="1"/>
      <c r="AB22" s="1"/>
      <c r="AC22" s="1"/>
      <c r="AD22" s="4"/>
      <c r="AE22" s="4"/>
    </row>
    <row r="23" spans="1:31" ht="15.75" hidden="1" customHeight="1" x14ac:dyDescent="0.25">
      <c r="A23" s="13">
        <f t="shared" si="0"/>
        <v>20</v>
      </c>
      <c r="B23" s="13" t="s">
        <v>219</v>
      </c>
      <c r="C23" s="34" t="s">
        <v>219</v>
      </c>
      <c r="D23" s="34" t="s">
        <v>219</v>
      </c>
      <c r="E23" s="13" t="s">
        <v>219</v>
      </c>
      <c r="F23" s="34" t="s">
        <v>219</v>
      </c>
      <c r="G23" s="8" t="s">
        <v>149</v>
      </c>
      <c r="H23" s="14" t="s">
        <v>150</v>
      </c>
      <c r="I23" s="13" t="s">
        <v>18</v>
      </c>
      <c r="J23" s="13" t="s">
        <v>19</v>
      </c>
      <c r="K23" s="8" t="s">
        <v>20</v>
      </c>
      <c r="L23" s="9" t="s">
        <v>151</v>
      </c>
      <c r="M23" s="8" t="s">
        <v>19</v>
      </c>
      <c r="N23" s="8" t="s">
        <v>22</v>
      </c>
      <c r="O23" s="9" t="s">
        <v>151</v>
      </c>
      <c r="P23" s="8" t="s">
        <v>19</v>
      </c>
      <c r="Q23" s="10">
        <v>3</v>
      </c>
      <c r="R23" s="10">
        <v>690300</v>
      </c>
      <c r="S23" s="15">
        <v>45901</v>
      </c>
      <c r="T23" s="8" t="s">
        <v>152</v>
      </c>
      <c r="U23" s="11"/>
      <c r="V23" s="8" t="s">
        <v>25</v>
      </c>
      <c r="W23" s="10"/>
      <c r="X23" s="16" t="s">
        <v>153</v>
      </c>
      <c r="Y23" s="8" t="s">
        <v>154</v>
      </c>
      <c r="Z23" s="8"/>
      <c r="AA23" s="1"/>
      <c r="AB23" s="1"/>
      <c r="AC23" s="1"/>
      <c r="AD23" s="4"/>
      <c r="AE23" s="4"/>
    </row>
    <row r="24" spans="1:31" ht="15.75" hidden="1" customHeight="1" x14ac:dyDescent="0.25">
      <c r="A24" s="13">
        <f t="shared" si="0"/>
        <v>21</v>
      </c>
      <c r="B24" s="13" t="s">
        <v>219</v>
      </c>
      <c r="C24" s="34" t="s">
        <v>219</v>
      </c>
      <c r="D24" s="34" t="s">
        <v>219</v>
      </c>
      <c r="E24" s="13" t="s">
        <v>219</v>
      </c>
      <c r="F24" s="34" t="s">
        <v>219</v>
      </c>
      <c r="G24" s="8" t="s">
        <v>155</v>
      </c>
      <c r="H24" s="17" t="s">
        <v>150</v>
      </c>
      <c r="I24" s="13" t="s">
        <v>18</v>
      </c>
      <c r="J24" s="13" t="s">
        <v>19</v>
      </c>
      <c r="K24" s="8" t="s">
        <v>20</v>
      </c>
      <c r="L24" s="9" t="s">
        <v>156</v>
      </c>
      <c r="M24" s="8" t="s">
        <v>19</v>
      </c>
      <c r="N24" s="8" t="s">
        <v>22</v>
      </c>
      <c r="O24" s="9" t="s">
        <v>156</v>
      </c>
      <c r="P24" s="8" t="s">
        <v>19</v>
      </c>
      <c r="Q24" s="10">
        <v>3</v>
      </c>
      <c r="R24" s="10">
        <v>690300</v>
      </c>
      <c r="S24" s="15">
        <v>45931</v>
      </c>
      <c r="T24" s="8" t="s">
        <v>157</v>
      </c>
      <c r="U24" s="11"/>
      <c r="V24" s="8" t="s">
        <v>25</v>
      </c>
      <c r="W24" s="10"/>
      <c r="X24" s="44" t="s">
        <v>158</v>
      </c>
      <c r="Y24" s="8" t="s">
        <v>159</v>
      </c>
      <c r="Z24" s="8"/>
      <c r="AA24" s="1"/>
      <c r="AB24" s="1"/>
      <c r="AC24" s="1"/>
      <c r="AD24" s="4"/>
      <c r="AE24" s="4"/>
    </row>
    <row r="25" spans="1:31" s="30" customFormat="1" ht="15.75" customHeight="1" x14ac:dyDescent="0.25">
      <c r="A25" s="22">
        <f t="shared" si="0"/>
        <v>22</v>
      </c>
      <c r="B25" s="22" t="s">
        <v>219</v>
      </c>
      <c r="C25" s="22"/>
      <c r="D25" s="22"/>
      <c r="E25" s="22"/>
      <c r="F25" s="22"/>
      <c r="G25" s="23" t="s">
        <v>160</v>
      </c>
      <c r="H25" s="31" t="s">
        <v>150</v>
      </c>
      <c r="I25" s="22" t="s">
        <v>18</v>
      </c>
      <c r="J25" s="22" t="s">
        <v>19</v>
      </c>
      <c r="K25" s="23" t="s">
        <v>20</v>
      </c>
      <c r="L25" s="24" t="s">
        <v>161</v>
      </c>
      <c r="M25" s="23" t="s">
        <v>19</v>
      </c>
      <c r="N25" s="23" t="s">
        <v>22</v>
      </c>
      <c r="O25" s="24" t="s">
        <v>161</v>
      </c>
      <c r="P25" s="23" t="s">
        <v>19</v>
      </c>
      <c r="Q25" s="25">
        <v>3</v>
      </c>
      <c r="R25" s="25">
        <v>5900000</v>
      </c>
      <c r="S25" s="26">
        <v>45931</v>
      </c>
      <c r="T25" s="23" t="s">
        <v>162</v>
      </c>
      <c r="U25" s="27"/>
      <c r="V25" s="23" t="s">
        <v>25</v>
      </c>
      <c r="W25" s="25"/>
      <c r="X25" s="38" t="s">
        <v>163</v>
      </c>
      <c r="Y25" s="23"/>
      <c r="Z25" s="23"/>
      <c r="AA25" s="28"/>
      <c r="AB25" s="28"/>
      <c r="AC25" s="28"/>
      <c r="AD25" s="29"/>
      <c r="AE25" s="29"/>
    </row>
    <row r="26" spans="1:31" ht="15.75" hidden="1" customHeight="1" x14ac:dyDescent="0.25">
      <c r="A26" s="13">
        <f t="shared" si="0"/>
        <v>23</v>
      </c>
      <c r="B26" s="13" t="s">
        <v>219</v>
      </c>
      <c r="C26" s="34" t="s">
        <v>219</v>
      </c>
      <c r="D26" s="34" t="s">
        <v>219</v>
      </c>
      <c r="E26" s="13" t="s">
        <v>219</v>
      </c>
      <c r="F26" s="34" t="s">
        <v>219</v>
      </c>
      <c r="G26" s="8" t="s">
        <v>164</v>
      </c>
      <c r="H26" s="14" t="s">
        <v>150</v>
      </c>
      <c r="I26" s="13" t="s">
        <v>18</v>
      </c>
      <c r="J26" s="13" t="s">
        <v>19</v>
      </c>
      <c r="K26" s="8" t="s">
        <v>20</v>
      </c>
      <c r="L26" s="9" t="s">
        <v>165</v>
      </c>
      <c r="M26" s="8" t="s">
        <v>19</v>
      </c>
      <c r="N26" s="8" t="s">
        <v>22</v>
      </c>
      <c r="O26" s="9" t="s">
        <v>165</v>
      </c>
      <c r="P26" s="8" t="s">
        <v>19</v>
      </c>
      <c r="Q26" s="10">
        <v>3</v>
      </c>
      <c r="R26" s="10">
        <v>690300</v>
      </c>
      <c r="S26" s="15">
        <v>45962</v>
      </c>
      <c r="T26" s="8" t="s">
        <v>166</v>
      </c>
      <c r="U26" s="11"/>
      <c r="V26" s="11"/>
      <c r="W26" s="10"/>
      <c r="X26" s="45" t="s">
        <v>167</v>
      </c>
      <c r="Y26" s="8" t="s">
        <v>168</v>
      </c>
      <c r="Z26" s="8"/>
      <c r="AA26" s="1"/>
      <c r="AB26" s="1"/>
      <c r="AC26" s="1"/>
      <c r="AD26" s="4"/>
      <c r="AE26" s="4"/>
    </row>
    <row r="27" spans="1:31" ht="15.75" hidden="1" customHeight="1" x14ac:dyDescent="0.25">
      <c r="A27" s="13">
        <f t="shared" si="0"/>
        <v>24</v>
      </c>
      <c r="B27" s="13" t="s">
        <v>219</v>
      </c>
      <c r="C27" s="34" t="s">
        <v>219</v>
      </c>
      <c r="D27" s="34" t="s">
        <v>219</v>
      </c>
      <c r="E27" s="13" t="s">
        <v>219</v>
      </c>
      <c r="F27" s="34" t="s">
        <v>219</v>
      </c>
      <c r="G27" s="8" t="s">
        <v>169</v>
      </c>
      <c r="H27" s="14" t="s">
        <v>150</v>
      </c>
      <c r="I27" s="13" t="s">
        <v>18</v>
      </c>
      <c r="J27" s="13" t="s">
        <v>19</v>
      </c>
      <c r="K27" s="8" t="s">
        <v>20</v>
      </c>
      <c r="L27" s="9" t="s">
        <v>170</v>
      </c>
      <c r="M27" s="8" t="s">
        <v>19</v>
      </c>
      <c r="N27" s="8" t="s">
        <v>22</v>
      </c>
      <c r="O27" s="9" t="s">
        <v>170</v>
      </c>
      <c r="P27" s="8" t="s">
        <v>19</v>
      </c>
      <c r="Q27" s="10">
        <v>3</v>
      </c>
      <c r="R27" s="10">
        <v>690300</v>
      </c>
      <c r="S27" s="15">
        <v>45992</v>
      </c>
      <c r="T27" s="8" t="s">
        <v>171</v>
      </c>
      <c r="U27" s="11"/>
      <c r="V27" s="8" t="s">
        <v>25</v>
      </c>
      <c r="W27" s="10"/>
      <c r="X27" s="46" t="s">
        <v>172</v>
      </c>
      <c r="Y27" s="8" t="s">
        <v>173</v>
      </c>
      <c r="Z27" s="8"/>
      <c r="AA27" s="1"/>
      <c r="AB27" s="1"/>
      <c r="AC27" s="1"/>
      <c r="AD27" s="4"/>
      <c r="AE27" s="4"/>
    </row>
    <row r="28" spans="1:31" s="30" customFormat="1" ht="15.75" customHeight="1" x14ac:dyDescent="0.25">
      <c r="A28" s="22">
        <f t="shared" si="0"/>
        <v>25</v>
      </c>
      <c r="B28" s="22" t="s">
        <v>219</v>
      </c>
      <c r="C28" s="35" t="s">
        <v>241</v>
      </c>
      <c r="D28" s="35" t="s">
        <v>241</v>
      </c>
      <c r="E28" s="22"/>
      <c r="F28" s="22"/>
      <c r="G28" s="23" t="s">
        <v>174</v>
      </c>
      <c r="H28" s="23"/>
      <c r="I28" s="22"/>
      <c r="J28" s="22"/>
      <c r="K28" s="23"/>
      <c r="L28" s="24" t="s">
        <v>175</v>
      </c>
      <c r="M28" s="23" t="s">
        <v>19</v>
      </c>
      <c r="N28" s="23" t="s">
        <v>22</v>
      </c>
      <c r="O28" s="24" t="s">
        <v>175</v>
      </c>
      <c r="P28" s="23" t="s">
        <v>19</v>
      </c>
      <c r="Q28" s="25">
        <v>3</v>
      </c>
      <c r="R28" s="25">
        <v>690300</v>
      </c>
      <c r="S28" s="26">
        <v>46082</v>
      </c>
      <c r="T28" s="23" t="s">
        <v>176</v>
      </c>
      <c r="U28" s="27"/>
      <c r="V28" s="23" t="s">
        <v>25</v>
      </c>
      <c r="W28" s="25"/>
      <c r="X28" s="51" t="s">
        <v>177</v>
      </c>
      <c r="Y28" s="23" t="s">
        <v>178</v>
      </c>
      <c r="Z28" s="23"/>
      <c r="AA28" s="28"/>
      <c r="AB28" s="28"/>
      <c r="AC28" s="28"/>
      <c r="AD28" s="29"/>
      <c r="AE28" s="29"/>
    </row>
    <row r="29" spans="1:31" s="30" customFormat="1" ht="15.75" customHeight="1" x14ac:dyDescent="0.25">
      <c r="A29" s="22">
        <f t="shared" si="0"/>
        <v>26</v>
      </c>
      <c r="B29" s="22" t="s">
        <v>219</v>
      </c>
      <c r="C29" s="22"/>
      <c r="D29" s="22"/>
      <c r="E29" s="22"/>
      <c r="F29" s="22"/>
      <c r="G29" s="23" t="s">
        <v>179</v>
      </c>
      <c r="H29" s="23"/>
      <c r="I29" s="22"/>
      <c r="J29" s="22"/>
      <c r="K29" s="23"/>
      <c r="L29" s="24" t="s">
        <v>180</v>
      </c>
      <c r="M29" s="23" t="s">
        <v>19</v>
      </c>
      <c r="N29" s="23" t="s">
        <v>22</v>
      </c>
      <c r="O29" s="24" t="s">
        <v>180</v>
      </c>
      <c r="P29" s="23" t="s">
        <v>19</v>
      </c>
      <c r="Q29" s="25">
        <v>3</v>
      </c>
      <c r="R29" s="25">
        <v>690300</v>
      </c>
      <c r="S29" s="26">
        <v>46023</v>
      </c>
      <c r="T29" s="23" t="s">
        <v>181</v>
      </c>
      <c r="U29" s="27"/>
      <c r="V29" s="23" t="s">
        <v>25</v>
      </c>
      <c r="W29" s="25"/>
      <c r="X29" s="39" t="s">
        <v>182</v>
      </c>
      <c r="Y29" s="23" t="s">
        <v>220</v>
      </c>
      <c r="Z29" s="23"/>
      <c r="AA29" s="28"/>
      <c r="AB29" s="28"/>
      <c r="AC29" s="28"/>
      <c r="AD29" s="29"/>
      <c r="AE29" s="29"/>
    </row>
    <row r="30" spans="1:31" ht="15.75" hidden="1" customHeight="1" x14ac:dyDescent="0.25">
      <c r="A30" s="13">
        <f t="shared" si="0"/>
        <v>27</v>
      </c>
      <c r="B30" s="13" t="s">
        <v>219</v>
      </c>
      <c r="C30" s="34" t="s">
        <v>219</v>
      </c>
      <c r="D30" s="34" t="s">
        <v>219</v>
      </c>
      <c r="E30" s="34" t="s">
        <v>219</v>
      </c>
      <c r="F30" s="34" t="s">
        <v>219</v>
      </c>
      <c r="G30" s="8" t="s">
        <v>183</v>
      </c>
      <c r="H30" s="8"/>
      <c r="I30" s="13"/>
      <c r="J30" s="13"/>
      <c r="K30" s="8"/>
      <c r="L30" s="48" t="s">
        <v>184</v>
      </c>
      <c r="M30" s="8" t="s">
        <v>19</v>
      </c>
      <c r="N30" s="8" t="s">
        <v>22</v>
      </c>
      <c r="O30" s="9" t="s">
        <v>184</v>
      </c>
      <c r="P30" s="8" t="s">
        <v>19</v>
      </c>
      <c r="Q30" s="10">
        <v>3</v>
      </c>
      <c r="R30" s="10">
        <v>690300</v>
      </c>
      <c r="S30" s="15">
        <v>46143</v>
      </c>
      <c r="T30" s="8" t="s">
        <v>185</v>
      </c>
      <c r="U30" s="11"/>
      <c r="V30" s="8" t="s">
        <v>25</v>
      </c>
      <c r="W30" s="10"/>
      <c r="X30" s="20" t="s">
        <v>186</v>
      </c>
      <c r="Y30" s="8" t="s">
        <v>221</v>
      </c>
      <c r="Z30" s="8"/>
      <c r="AA30" s="1"/>
      <c r="AB30" s="1"/>
      <c r="AC30" s="1"/>
      <c r="AD30" s="4"/>
      <c r="AE30" s="21"/>
    </row>
    <row r="31" spans="1:31" ht="15.75" hidden="1" customHeight="1" x14ac:dyDescent="0.25">
      <c r="A31" s="13">
        <f t="shared" si="0"/>
        <v>28</v>
      </c>
      <c r="B31" s="13" t="s">
        <v>219</v>
      </c>
      <c r="C31" s="34" t="s">
        <v>219</v>
      </c>
      <c r="D31" s="34" t="s">
        <v>219</v>
      </c>
      <c r="E31" s="34" t="s">
        <v>219</v>
      </c>
      <c r="F31" s="34" t="s">
        <v>219</v>
      </c>
      <c r="G31" s="8" t="s">
        <v>187</v>
      </c>
      <c r="H31" s="8"/>
      <c r="I31" s="13"/>
      <c r="J31" s="13"/>
      <c r="K31" s="8"/>
      <c r="L31" s="9" t="s">
        <v>188</v>
      </c>
      <c r="M31" s="8" t="s">
        <v>19</v>
      </c>
      <c r="N31" s="8" t="s">
        <v>22</v>
      </c>
      <c r="O31" s="9" t="s">
        <v>180</v>
      </c>
      <c r="P31" s="8" t="s">
        <v>19</v>
      </c>
      <c r="Q31" s="10">
        <v>3</v>
      </c>
      <c r="R31" s="10">
        <v>690300</v>
      </c>
      <c r="S31" s="15">
        <v>46054</v>
      </c>
      <c r="T31" s="8" t="s">
        <v>189</v>
      </c>
      <c r="U31" s="11"/>
      <c r="V31" s="8" t="s">
        <v>25</v>
      </c>
      <c r="W31" s="10"/>
      <c r="X31" s="20" t="s">
        <v>190</v>
      </c>
      <c r="Y31" s="8" t="s">
        <v>222</v>
      </c>
      <c r="Z31" s="8"/>
      <c r="AA31" s="1"/>
      <c r="AB31" s="1"/>
      <c r="AC31" s="1"/>
      <c r="AD31" s="4"/>
      <c r="AE31" s="21"/>
    </row>
    <row r="32" spans="1:31" ht="15.75" hidden="1" customHeight="1" x14ac:dyDescent="0.25">
      <c r="A32" s="13">
        <f t="shared" si="0"/>
        <v>29</v>
      </c>
      <c r="B32" s="13" t="s">
        <v>219</v>
      </c>
      <c r="C32" s="34" t="s">
        <v>219</v>
      </c>
      <c r="D32" s="34" t="s">
        <v>219</v>
      </c>
      <c r="E32" s="34" t="s">
        <v>219</v>
      </c>
      <c r="F32" s="13" t="s">
        <v>219</v>
      </c>
      <c r="G32" s="8" t="s">
        <v>191</v>
      </c>
      <c r="H32" s="8"/>
      <c r="I32" s="13"/>
      <c r="J32" s="13"/>
      <c r="K32" s="8"/>
      <c r="L32" s="9" t="s">
        <v>192</v>
      </c>
      <c r="M32" s="8" t="s">
        <v>19</v>
      </c>
      <c r="N32" s="8" t="s">
        <v>22</v>
      </c>
      <c r="O32" s="9" t="s">
        <v>192</v>
      </c>
      <c r="P32" s="8" t="s">
        <v>19</v>
      </c>
      <c r="Q32" s="10">
        <v>3</v>
      </c>
      <c r="R32" s="10">
        <v>690300</v>
      </c>
      <c r="S32" s="11">
        <v>46113</v>
      </c>
      <c r="T32" s="8" t="s">
        <v>193</v>
      </c>
      <c r="U32" s="11"/>
      <c r="V32" s="8" t="s">
        <v>25</v>
      </c>
      <c r="W32" s="10"/>
      <c r="X32" s="46" t="s">
        <v>194</v>
      </c>
      <c r="Y32" s="8" t="s">
        <v>223</v>
      </c>
      <c r="Z32" s="8"/>
      <c r="AA32" s="1"/>
      <c r="AB32" s="1"/>
      <c r="AC32" s="1"/>
      <c r="AD32" s="4"/>
      <c r="AE32" s="21"/>
    </row>
    <row r="33" spans="1:31" ht="15.75" hidden="1" customHeight="1" x14ac:dyDescent="0.25">
      <c r="A33" s="13">
        <f t="shared" si="0"/>
        <v>30</v>
      </c>
      <c r="B33" s="13" t="s">
        <v>219</v>
      </c>
      <c r="C33" s="34" t="s">
        <v>219</v>
      </c>
      <c r="D33" s="34" t="s">
        <v>237</v>
      </c>
      <c r="E33" s="13" t="s">
        <v>219</v>
      </c>
      <c r="F33" s="13" t="s">
        <v>219</v>
      </c>
      <c r="G33" s="8" t="s">
        <v>195</v>
      </c>
      <c r="H33" s="8"/>
      <c r="I33" s="13"/>
      <c r="J33" s="13"/>
      <c r="K33" s="8"/>
      <c r="L33" s="9" t="s">
        <v>196</v>
      </c>
      <c r="M33" s="8" t="s">
        <v>19</v>
      </c>
      <c r="N33" s="8" t="s">
        <v>22</v>
      </c>
      <c r="O33" s="9" t="s">
        <v>196</v>
      </c>
      <c r="P33" s="8" t="s">
        <v>19</v>
      </c>
      <c r="Q33" s="10">
        <v>3</v>
      </c>
      <c r="R33" s="10">
        <v>690300</v>
      </c>
      <c r="S33" s="11">
        <v>46113</v>
      </c>
      <c r="T33" s="8" t="s">
        <v>197</v>
      </c>
      <c r="U33" s="11"/>
      <c r="V33" s="8" t="s">
        <v>25</v>
      </c>
      <c r="W33" s="10"/>
      <c r="X33" s="20" t="s">
        <v>224</v>
      </c>
      <c r="Y33" s="8"/>
      <c r="Z33" s="8"/>
      <c r="AA33" s="1"/>
      <c r="AB33" s="1"/>
      <c r="AC33" s="1"/>
      <c r="AD33" s="4"/>
      <c r="AE33" s="21"/>
    </row>
    <row r="34" spans="1:31" ht="15.75" hidden="1" customHeight="1" x14ac:dyDescent="0.25">
      <c r="A34" s="13">
        <f t="shared" si="0"/>
        <v>31</v>
      </c>
      <c r="B34" s="13" t="s">
        <v>219</v>
      </c>
      <c r="C34" s="34" t="s">
        <v>219</v>
      </c>
      <c r="D34" s="34" t="s">
        <v>219</v>
      </c>
      <c r="E34" s="34" t="s">
        <v>219</v>
      </c>
      <c r="F34" s="34" t="s">
        <v>219</v>
      </c>
      <c r="G34" s="8" t="s">
        <v>198</v>
      </c>
      <c r="H34" s="8"/>
      <c r="I34" s="13"/>
      <c r="J34" s="13"/>
      <c r="K34" s="8"/>
      <c r="L34" s="9" t="s">
        <v>199</v>
      </c>
      <c r="M34" s="8" t="s">
        <v>19</v>
      </c>
      <c r="N34" s="8" t="s">
        <v>22</v>
      </c>
      <c r="O34" s="9" t="s">
        <v>199</v>
      </c>
      <c r="P34" s="8" t="s">
        <v>19</v>
      </c>
      <c r="Q34" s="10">
        <v>3</v>
      </c>
      <c r="R34" s="10"/>
      <c r="S34" s="11">
        <v>46113</v>
      </c>
      <c r="T34" s="8" t="s">
        <v>200</v>
      </c>
      <c r="U34" s="11"/>
      <c r="V34" s="8" t="s">
        <v>25</v>
      </c>
      <c r="W34" s="10"/>
      <c r="X34" s="20" t="s">
        <v>201</v>
      </c>
      <c r="Y34" s="8" t="s">
        <v>225</v>
      </c>
      <c r="Z34" s="8"/>
      <c r="AA34" s="1"/>
      <c r="AB34" s="1"/>
      <c r="AC34" s="1"/>
      <c r="AD34" s="4"/>
    </row>
    <row r="35" spans="1:31" s="30" customFormat="1" ht="15.75" customHeight="1" x14ac:dyDescent="0.25">
      <c r="A35" s="22">
        <f t="shared" si="0"/>
        <v>32</v>
      </c>
      <c r="B35" s="22" t="s">
        <v>219</v>
      </c>
      <c r="C35" s="22"/>
      <c r="D35" s="35" t="s">
        <v>237</v>
      </c>
      <c r="E35" s="22"/>
      <c r="F35" s="22"/>
      <c r="G35" s="23" t="s">
        <v>202</v>
      </c>
      <c r="H35" s="23"/>
      <c r="I35" s="22"/>
      <c r="J35" s="22"/>
      <c r="K35" s="23"/>
      <c r="L35" s="24" t="s">
        <v>203</v>
      </c>
      <c r="M35" s="23" t="s">
        <v>19</v>
      </c>
      <c r="N35" s="23" t="s">
        <v>22</v>
      </c>
      <c r="O35" s="24" t="s">
        <v>203</v>
      </c>
      <c r="P35" s="23" t="s">
        <v>19</v>
      </c>
      <c r="Q35" s="25">
        <v>3</v>
      </c>
      <c r="R35" s="25"/>
      <c r="S35" s="27">
        <v>46113</v>
      </c>
      <c r="T35" s="23" t="s">
        <v>204</v>
      </c>
      <c r="U35" s="27"/>
      <c r="V35" s="27"/>
      <c r="W35" s="25"/>
      <c r="X35" s="52" t="s">
        <v>226</v>
      </c>
      <c r="Y35" s="23"/>
      <c r="Z35" s="23"/>
      <c r="AA35" s="28"/>
      <c r="AB35" s="28"/>
      <c r="AC35" s="28"/>
      <c r="AD35" s="29"/>
      <c r="AE35" s="53"/>
    </row>
    <row r="36" spans="1:31" s="30" customFormat="1" ht="15.75" customHeight="1" x14ac:dyDescent="0.25">
      <c r="A36" s="22">
        <f t="shared" si="0"/>
        <v>33</v>
      </c>
      <c r="B36" s="22" t="s">
        <v>219</v>
      </c>
      <c r="C36" s="22"/>
      <c r="D36" s="35" t="s">
        <v>237</v>
      </c>
      <c r="E36" s="22"/>
      <c r="F36" s="22"/>
      <c r="G36" s="23" t="s">
        <v>205</v>
      </c>
      <c r="H36" s="23"/>
      <c r="I36" s="22"/>
      <c r="J36" s="22"/>
      <c r="K36" s="23"/>
      <c r="L36" s="24" t="s">
        <v>206</v>
      </c>
      <c r="M36" s="23" t="s">
        <v>19</v>
      </c>
      <c r="N36" s="23" t="s">
        <v>22</v>
      </c>
      <c r="O36" s="24" t="s">
        <v>206</v>
      </c>
      <c r="P36" s="23" t="s">
        <v>19</v>
      </c>
      <c r="Q36" s="25">
        <v>3</v>
      </c>
      <c r="R36" s="25"/>
      <c r="S36" s="27">
        <v>46113</v>
      </c>
      <c r="T36" s="23" t="s">
        <v>204</v>
      </c>
      <c r="U36" s="27"/>
      <c r="V36" s="27"/>
      <c r="W36" s="25"/>
      <c r="X36" s="40" t="s">
        <v>227</v>
      </c>
      <c r="Y36" s="23"/>
      <c r="Z36" s="23"/>
      <c r="AA36" s="28"/>
      <c r="AB36" s="28"/>
      <c r="AC36" s="28"/>
      <c r="AD36" s="29"/>
    </row>
    <row r="37" spans="1:31" s="30" customFormat="1" ht="15.75" customHeight="1" x14ac:dyDescent="0.25">
      <c r="A37" s="22">
        <f t="shared" si="0"/>
        <v>34</v>
      </c>
      <c r="B37" s="22" t="s">
        <v>219</v>
      </c>
      <c r="C37" s="22"/>
      <c r="D37" s="35" t="s">
        <v>237</v>
      </c>
      <c r="E37" s="22"/>
      <c r="F37" s="22"/>
      <c r="G37" s="23" t="s">
        <v>207</v>
      </c>
      <c r="H37" s="23"/>
      <c r="I37" s="22"/>
      <c r="J37" s="22"/>
      <c r="K37" s="23"/>
      <c r="L37" s="24" t="s">
        <v>208</v>
      </c>
      <c r="M37" s="23" t="s">
        <v>19</v>
      </c>
      <c r="N37" s="23" t="s">
        <v>22</v>
      </c>
      <c r="O37" s="24" t="s">
        <v>208</v>
      </c>
      <c r="P37" s="23" t="s">
        <v>19</v>
      </c>
      <c r="Q37" s="25">
        <v>3</v>
      </c>
      <c r="R37" s="25"/>
      <c r="S37" s="27">
        <v>46143</v>
      </c>
      <c r="T37" s="23"/>
      <c r="U37" s="27"/>
      <c r="V37" s="27"/>
      <c r="W37" s="25"/>
      <c r="X37" s="40" t="s">
        <v>228</v>
      </c>
      <c r="Y37" s="23"/>
      <c r="Z37" s="23"/>
      <c r="AA37" s="28"/>
      <c r="AB37" s="28"/>
      <c r="AC37" s="28"/>
      <c r="AD37" s="29"/>
    </row>
    <row r="38" spans="1:31" ht="15.75" hidden="1" customHeight="1" x14ac:dyDescent="0.25">
      <c r="A38" s="13">
        <f t="shared" si="0"/>
        <v>35</v>
      </c>
      <c r="B38" s="13" t="s">
        <v>219</v>
      </c>
      <c r="C38" s="13" t="s">
        <v>219</v>
      </c>
      <c r="D38" s="34" t="s">
        <v>237</v>
      </c>
      <c r="E38" s="13" t="s">
        <v>219</v>
      </c>
      <c r="F38" s="13" t="s">
        <v>219</v>
      </c>
      <c r="G38" s="8" t="s">
        <v>209</v>
      </c>
      <c r="H38" s="8"/>
      <c r="I38" s="13"/>
      <c r="J38" s="13"/>
      <c r="K38" s="8"/>
      <c r="L38" s="9" t="s">
        <v>210</v>
      </c>
      <c r="M38" s="8" t="s">
        <v>19</v>
      </c>
      <c r="N38" s="8" t="s">
        <v>59</v>
      </c>
      <c r="O38" s="9"/>
      <c r="P38" s="8"/>
      <c r="Q38" s="10">
        <v>3</v>
      </c>
      <c r="R38" s="10"/>
      <c r="S38" s="11"/>
      <c r="T38" s="8"/>
      <c r="U38" s="11"/>
      <c r="V38" s="11"/>
      <c r="W38" s="10"/>
      <c r="X38" s="12" t="s">
        <v>229</v>
      </c>
      <c r="Y38" s="8"/>
      <c r="Z38" s="8"/>
      <c r="AA38" s="1"/>
      <c r="AB38" s="1"/>
      <c r="AC38" s="1"/>
      <c r="AD38" s="4"/>
    </row>
    <row r="39" spans="1:31" ht="15.75" hidden="1" customHeight="1" x14ac:dyDescent="0.25">
      <c r="A39" s="13">
        <f t="shared" si="0"/>
        <v>36</v>
      </c>
      <c r="B39" s="13" t="s">
        <v>219</v>
      </c>
      <c r="C39" s="13" t="s">
        <v>219</v>
      </c>
      <c r="D39" s="34" t="s">
        <v>237</v>
      </c>
      <c r="E39" s="13" t="s">
        <v>219</v>
      </c>
      <c r="F39" s="13" t="s">
        <v>219</v>
      </c>
      <c r="G39" s="8" t="s">
        <v>211</v>
      </c>
      <c r="H39" s="8"/>
      <c r="I39" s="13"/>
      <c r="J39" s="13"/>
      <c r="K39" s="8"/>
      <c r="L39" s="9" t="s">
        <v>212</v>
      </c>
      <c r="M39" s="8" t="s">
        <v>19</v>
      </c>
      <c r="N39" s="8" t="s">
        <v>59</v>
      </c>
      <c r="O39" s="9"/>
      <c r="P39" s="8"/>
      <c r="Q39" s="10">
        <v>3</v>
      </c>
      <c r="R39" s="10"/>
      <c r="S39" s="11"/>
      <c r="T39" s="8"/>
      <c r="U39" s="11"/>
      <c r="V39" s="11"/>
      <c r="W39" s="10"/>
      <c r="X39" s="20" t="s">
        <v>230</v>
      </c>
      <c r="Y39" s="8"/>
      <c r="Z39" s="8"/>
      <c r="AA39" s="1"/>
      <c r="AB39" s="1"/>
      <c r="AC39" s="1"/>
      <c r="AD39" s="4"/>
      <c r="AE39" s="21"/>
    </row>
    <row r="40" spans="1:31" ht="15.75" hidden="1" customHeight="1" x14ac:dyDescent="0.25">
      <c r="A40" s="13">
        <f t="shared" si="0"/>
        <v>37</v>
      </c>
      <c r="B40" s="34" t="s">
        <v>219</v>
      </c>
      <c r="C40" s="13" t="s">
        <v>219</v>
      </c>
      <c r="D40" s="13" t="s">
        <v>237</v>
      </c>
      <c r="E40" s="13" t="s">
        <v>219</v>
      </c>
      <c r="F40" s="13" t="s">
        <v>219</v>
      </c>
      <c r="G40" s="8" t="s">
        <v>213</v>
      </c>
      <c r="H40" s="23"/>
      <c r="I40" s="22"/>
      <c r="J40" s="22"/>
      <c r="K40" s="23"/>
      <c r="L40" s="9" t="s">
        <v>214</v>
      </c>
      <c r="M40" s="8" t="s">
        <v>19</v>
      </c>
      <c r="N40" s="8" t="s">
        <v>22</v>
      </c>
      <c r="O40" s="9" t="s">
        <v>214</v>
      </c>
      <c r="P40" s="8" t="s">
        <v>19</v>
      </c>
      <c r="Q40" s="10">
        <v>3</v>
      </c>
      <c r="R40" s="10"/>
      <c r="S40" s="11">
        <v>46029</v>
      </c>
      <c r="T40" s="8"/>
      <c r="U40" s="11"/>
      <c r="V40" s="11"/>
      <c r="W40" s="10"/>
      <c r="X40" s="12" t="s">
        <v>231</v>
      </c>
      <c r="Y40" s="8"/>
      <c r="Z40" s="8"/>
      <c r="AA40" s="1"/>
      <c r="AB40" s="1"/>
      <c r="AC40" s="1"/>
      <c r="AD40" s="4"/>
    </row>
    <row r="41" spans="1:31" ht="15.75" customHeight="1" x14ac:dyDescent="0.25">
      <c r="A41" s="13">
        <f t="shared" si="0"/>
        <v>38</v>
      </c>
      <c r="B41" s="34" t="s">
        <v>238</v>
      </c>
      <c r="C41" s="34" t="s">
        <v>238</v>
      </c>
      <c r="D41" s="34" t="s">
        <v>238</v>
      </c>
      <c r="E41" s="34" t="s">
        <v>238</v>
      </c>
      <c r="F41" s="34" t="s">
        <v>238</v>
      </c>
      <c r="G41" s="8" t="s">
        <v>215</v>
      </c>
      <c r="H41" s="23"/>
      <c r="I41" s="22"/>
      <c r="J41" s="22"/>
      <c r="K41" s="23"/>
      <c r="L41" s="9"/>
      <c r="M41" s="8"/>
      <c r="N41" s="8"/>
      <c r="O41" s="9"/>
      <c r="P41" s="8"/>
      <c r="Q41" s="10">
        <v>3</v>
      </c>
      <c r="R41" s="10"/>
      <c r="S41" s="11"/>
      <c r="T41" s="8"/>
      <c r="U41" s="11"/>
      <c r="V41" s="11"/>
      <c r="W41" s="10"/>
      <c r="X41" s="12" t="s">
        <v>232</v>
      </c>
      <c r="Y41" s="8"/>
      <c r="Z41" s="8"/>
      <c r="AA41" s="1"/>
      <c r="AB41" s="1"/>
      <c r="AC41" s="1"/>
      <c r="AD41" s="4"/>
    </row>
    <row r="42" spans="1:31" ht="15.75" hidden="1" customHeight="1" x14ac:dyDescent="0.25">
      <c r="A42" s="13">
        <f t="shared" si="0"/>
        <v>39</v>
      </c>
      <c r="B42" s="34" t="s">
        <v>219</v>
      </c>
      <c r="C42" s="13" t="s">
        <v>219</v>
      </c>
      <c r="D42" s="13" t="s">
        <v>237</v>
      </c>
      <c r="E42" s="13" t="s">
        <v>219</v>
      </c>
      <c r="F42" s="13" t="s">
        <v>219</v>
      </c>
      <c r="G42" s="49" t="s">
        <v>216</v>
      </c>
      <c r="H42" s="23"/>
      <c r="I42" s="22"/>
      <c r="J42" s="22"/>
      <c r="K42" s="23"/>
      <c r="L42" s="50" t="s">
        <v>240</v>
      </c>
      <c r="M42" s="8" t="s">
        <v>19</v>
      </c>
      <c r="N42" s="8"/>
      <c r="O42" s="9"/>
      <c r="P42" s="8"/>
      <c r="Q42" s="10">
        <v>3</v>
      </c>
      <c r="R42" s="10"/>
      <c r="S42" s="11"/>
      <c r="T42" s="8"/>
      <c r="U42" s="11"/>
      <c r="V42" s="11"/>
      <c r="W42" s="10"/>
      <c r="X42" s="12" t="s">
        <v>233</v>
      </c>
      <c r="Y42" s="8"/>
      <c r="Z42" s="8"/>
      <c r="AA42" s="1"/>
      <c r="AB42" s="1"/>
      <c r="AC42" s="1"/>
      <c r="AD42" s="4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1"/>
      <c r="L43" s="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4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1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1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1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4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1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4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1"/>
      <c r="L48" s="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"/>
    </row>
    <row r="49" spans="1:30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1"/>
      <c r="L49" s="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4"/>
    </row>
    <row r="50" spans="1:30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1"/>
      <c r="L50" s="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4"/>
    </row>
    <row r="51" spans="1:30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1"/>
      <c r="L51" s="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/>
    </row>
    <row r="52" spans="1:30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1"/>
      <c r="L52" s="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spans="1:30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1"/>
      <c r="L53" s="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/>
    </row>
    <row r="54" spans="1:30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1"/>
      <c r="L54" s="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"/>
    </row>
    <row r="55" spans="1:30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1"/>
      <c r="L55" s="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/>
    </row>
    <row r="56" spans="1:30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1"/>
      <c r="L56" s="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/>
    </row>
    <row r="57" spans="1:30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1"/>
      <c r="L57" s="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/>
    </row>
    <row r="58" spans="1:30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1"/>
      <c r="L58" s="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"/>
    </row>
    <row r="59" spans="1:30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1"/>
      <c r="L59" s="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"/>
    </row>
    <row r="60" spans="1:30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1"/>
      <c r="L60" s="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/>
    </row>
    <row r="61" spans="1:30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1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4"/>
    </row>
    <row r="62" spans="1:30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1"/>
      <c r="L62" s="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4"/>
    </row>
    <row r="63" spans="1:30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1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/>
    </row>
    <row r="64" spans="1:30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1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4"/>
    </row>
    <row r="65" spans="1:30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1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4"/>
    </row>
    <row r="66" spans="1:30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1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4"/>
    </row>
    <row r="67" spans="1:30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1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/>
    </row>
    <row r="68" spans="1:30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1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4"/>
    </row>
    <row r="69" spans="1:30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1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4"/>
    </row>
    <row r="70" spans="1:30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1"/>
      <c r="L70" s="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4"/>
    </row>
    <row r="71" spans="1:30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1"/>
      <c r="L71" s="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4"/>
    </row>
    <row r="72" spans="1:30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1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4"/>
    </row>
    <row r="73" spans="1:30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1"/>
      <c r="L73" s="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4"/>
    </row>
    <row r="74" spans="1:30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1"/>
      <c r="L74" s="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4"/>
    </row>
    <row r="75" spans="1:30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1"/>
      <c r="L75" s="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4"/>
    </row>
    <row r="76" spans="1:30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1"/>
      <c r="L76" s="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/>
    </row>
    <row r="77" spans="1:30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1"/>
      <c r="L77" s="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4"/>
    </row>
    <row r="78" spans="1:30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1"/>
      <c r="L78" s="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4"/>
    </row>
    <row r="79" spans="1:30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1"/>
      <c r="L79" s="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4"/>
    </row>
    <row r="80" spans="1:30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1"/>
      <c r="L80" s="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4"/>
    </row>
    <row r="81" spans="1:30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1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4"/>
    </row>
    <row r="82" spans="1:30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1"/>
      <c r="L82" s="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4"/>
    </row>
    <row r="83" spans="1:30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1"/>
      <c r="L83" s="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4"/>
    </row>
    <row r="84" spans="1:30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1"/>
      <c r="L84" s="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4"/>
    </row>
    <row r="85" spans="1:30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1"/>
      <c r="L85" s="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4"/>
    </row>
    <row r="86" spans="1:30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1"/>
      <c r="L86" s="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4"/>
    </row>
    <row r="87" spans="1:30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1"/>
      <c r="L87" s="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4"/>
    </row>
    <row r="88" spans="1:30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1"/>
      <c r="L88" s="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4"/>
    </row>
    <row r="89" spans="1:30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1"/>
      <c r="L89" s="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4"/>
    </row>
    <row r="90" spans="1:30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1"/>
      <c r="L90" s="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4"/>
    </row>
    <row r="91" spans="1:30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1"/>
      <c r="L91" s="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4"/>
    </row>
    <row r="92" spans="1:30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1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4"/>
    </row>
    <row r="93" spans="1:30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1"/>
      <c r="L93" s="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4"/>
    </row>
    <row r="94" spans="1:30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1"/>
      <c r="L94" s="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"/>
    </row>
    <row r="95" spans="1:30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1"/>
      <c r="L95" s="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4"/>
    </row>
    <row r="96" spans="1:30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1"/>
      <c r="L96" s="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4"/>
    </row>
    <row r="97" spans="1:30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1"/>
      <c r="L97" s="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4"/>
    </row>
    <row r="98" spans="1:30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1"/>
      <c r="L98" s="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"/>
    </row>
    <row r="99" spans="1:30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1"/>
      <c r="L99" s="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"/>
    </row>
    <row r="100" spans="1:3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1"/>
      <c r="L100" s="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"/>
    </row>
    <row r="101" spans="1:3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1"/>
      <c r="L101" s="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4"/>
    </row>
    <row r="102" spans="1:3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1"/>
      <c r="L102" s="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4"/>
    </row>
    <row r="103" spans="1:3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1"/>
      <c r="L103" s="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4"/>
    </row>
    <row r="104" spans="1:3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1"/>
      <c r="L104" s="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4"/>
    </row>
    <row r="105" spans="1:3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1"/>
      <c r="L105" s="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4"/>
    </row>
    <row r="106" spans="1:3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1"/>
      <c r="L106" s="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4"/>
    </row>
    <row r="107" spans="1:3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1"/>
      <c r="L107" s="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4"/>
    </row>
    <row r="108" spans="1:3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1"/>
      <c r="L108" s="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4"/>
    </row>
    <row r="109" spans="1:3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1"/>
      <c r="L109" s="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"/>
    </row>
    <row r="110" spans="1:3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1"/>
      <c r="L110" s="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4"/>
    </row>
    <row r="111" spans="1:3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1"/>
      <c r="L111" s="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4"/>
    </row>
    <row r="112" spans="1:3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1"/>
      <c r="L112" s="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4"/>
    </row>
    <row r="113" spans="1:3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1"/>
      <c r="L113" s="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4"/>
    </row>
    <row r="114" spans="1:3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1"/>
      <c r="L114" s="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4"/>
    </row>
    <row r="115" spans="1:3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1"/>
      <c r="L115" s="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"/>
    </row>
    <row r="116" spans="1:3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1"/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4"/>
    </row>
    <row r="117" spans="1:3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1"/>
      <c r="L117" s="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4"/>
    </row>
    <row r="118" spans="1:3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1"/>
      <c r="L118" s="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4"/>
    </row>
    <row r="119" spans="1:3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1"/>
      <c r="L119" s="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4"/>
    </row>
    <row r="120" spans="1:3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1"/>
      <c r="L120" s="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4"/>
    </row>
    <row r="121" spans="1:3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1"/>
      <c r="L121" s="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4"/>
    </row>
    <row r="122" spans="1:3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1"/>
      <c r="L122" s="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4"/>
    </row>
    <row r="123" spans="1:3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1"/>
      <c r="L123" s="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4"/>
    </row>
    <row r="124" spans="1:3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1"/>
      <c r="L124" s="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4"/>
    </row>
    <row r="125" spans="1:3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1"/>
      <c r="L125" s="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4"/>
    </row>
    <row r="126" spans="1:3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1"/>
      <c r="L126" s="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4"/>
    </row>
    <row r="127" spans="1:3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1"/>
      <c r="L127" s="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4"/>
    </row>
    <row r="128" spans="1:3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1"/>
      <c r="L128" s="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4"/>
    </row>
    <row r="129" spans="1:3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1"/>
      <c r="L129" s="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4"/>
    </row>
    <row r="130" spans="1:3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1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4"/>
    </row>
    <row r="131" spans="1:3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1"/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4"/>
    </row>
    <row r="132" spans="1:3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1"/>
      <c r="L132" s="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4"/>
    </row>
    <row r="133" spans="1:3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1"/>
      <c r="L133" s="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4"/>
    </row>
    <row r="134" spans="1:3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1"/>
      <c r="L134" s="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4"/>
    </row>
    <row r="135" spans="1:3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1"/>
      <c r="L135" s="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4"/>
    </row>
    <row r="136" spans="1:3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1"/>
      <c r="L136" s="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4"/>
    </row>
    <row r="137" spans="1:3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1"/>
      <c r="L137" s="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4"/>
    </row>
    <row r="138" spans="1:3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1"/>
      <c r="L138" s="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4"/>
    </row>
    <row r="139" spans="1:3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1"/>
      <c r="L139" s="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4"/>
    </row>
    <row r="140" spans="1:3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1"/>
      <c r="L140" s="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4"/>
    </row>
    <row r="141" spans="1:3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1"/>
      <c r="L141" s="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4"/>
    </row>
    <row r="142" spans="1:3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1"/>
      <c r="L142" s="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4"/>
    </row>
    <row r="143" spans="1:3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1"/>
      <c r="L143" s="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4"/>
    </row>
    <row r="144" spans="1:3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1"/>
      <c r="L144" s="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4"/>
    </row>
    <row r="145" spans="1:3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1"/>
      <c r="L145" s="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4"/>
    </row>
    <row r="146" spans="1:3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1"/>
      <c r="L146" s="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4"/>
    </row>
    <row r="147" spans="1:3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1"/>
      <c r="L147" s="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4"/>
    </row>
    <row r="148" spans="1:3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1"/>
      <c r="L148" s="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4"/>
    </row>
    <row r="149" spans="1:3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1"/>
      <c r="L149" s="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4"/>
    </row>
    <row r="150" spans="1:3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1"/>
      <c r="L150" s="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4"/>
    </row>
    <row r="151" spans="1:3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1"/>
      <c r="L151" s="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4"/>
    </row>
    <row r="152" spans="1:3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1"/>
      <c r="L152" s="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4"/>
    </row>
    <row r="153" spans="1:3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1"/>
      <c r="L153" s="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4"/>
    </row>
    <row r="154" spans="1:3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1"/>
      <c r="L154" s="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4"/>
    </row>
    <row r="155" spans="1:3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1"/>
      <c r="L155" s="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4"/>
    </row>
    <row r="156" spans="1:3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1"/>
      <c r="L156" s="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4"/>
    </row>
    <row r="157" spans="1:3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1"/>
      <c r="L157" s="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4"/>
    </row>
    <row r="158" spans="1:3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1"/>
      <c r="L158" s="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4"/>
    </row>
    <row r="159" spans="1:3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1"/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4"/>
    </row>
    <row r="160" spans="1:3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1"/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4"/>
    </row>
    <row r="161" spans="1:3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1"/>
      <c r="L161" s="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4"/>
    </row>
    <row r="162" spans="1:3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1"/>
      <c r="L162" s="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4"/>
    </row>
    <row r="163" spans="1:3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1"/>
      <c r="L163" s="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4"/>
    </row>
    <row r="164" spans="1:3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1"/>
      <c r="L164" s="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4"/>
    </row>
    <row r="165" spans="1:3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1"/>
      <c r="L165" s="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4"/>
    </row>
    <row r="166" spans="1:3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1"/>
      <c r="L166" s="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4"/>
    </row>
    <row r="167" spans="1:3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1"/>
      <c r="L167" s="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4"/>
    </row>
    <row r="168" spans="1:3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1"/>
      <c r="L168" s="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4"/>
    </row>
    <row r="169" spans="1:3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1"/>
      <c r="L169" s="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4"/>
    </row>
    <row r="170" spans="1:3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1"/>
      <c r="L170" s="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4"/>
    </row>
    <row r="171" spans="1:3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1"/>
      <c r="L171" s="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4"/>
    </row>
    <row r="172" spans="1:3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1"/>
      <c r="L172" s="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4"/>
    </row>
    <row r="173" spans="1:3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1"/>
      <c r="L173" s="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4"/>
    </row>
    <row r="174" spans="1:3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1"/>
      <c r="L174" s="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4"/>
    </row>
    <row r="175" spans="1:3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1"/>
      <c r="L175" s="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4"/>
    </row>
    <row r="176" spans="1:3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1"/>
      <c r="L176" s="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4"/>
    </row>
    <row r="177" spans="1:3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1"/>
      <c r="L177" s="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4"/>
    </row>
    <row r="178" spans="1:3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1"/>
      <c r="L178" s="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4"/>
    </row>
    <row r="179" spans="1:3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1"/>
      <c r="L179" s="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4"/>
    </row>
    <row r="180" spans="1:3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1"/>
      <c r="L180" s="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4"/>
    </row>
    <row r="181" spans="1:3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1"/>
      <c r="L181" s="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4"/>
    </row>
    <row r="182" spans="1:3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1"/>
      <c r="L182" s="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4"/>
    </row>
    <row r="183" spans="1:3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1"/>
      <c r="L183" s="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4"/>
    </row>
    <row r="184" spans="1:3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1"/>
      <c r="L184" s="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4"/>
    </row>
    <row r="185" spans="1:3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1"/>
      <c r="L185" s="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4"/>
    </row>
    <row r="186" spans="1:3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1"/>
      <c r="L186" s="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4"/>
    </row>
    <row r="187" spans="1:3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1"/>
      <c r="L187" s="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4"/>
    </row>
    <row r="188" spans="1:3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1"/>
      <c r="L188" s="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4"/>
    </row>
    <row r="189" spans="1:3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1"/>
      <c r="L189" s="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4"/>
    </row>
    <row r="190" spans="1:3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1"/>
      <c r="L190" s="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4"/>
    </row>
    <row r="191" spans="1:3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1"/>
      <c r="L191" s="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4"/>
    </row>
    <row r="192" spans="1:3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1"/>
      <c r="L192" s="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4"/>
    </row>
    <row r="193" spans="1:3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1"/>
      <c r="L193" s="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4"/>
    </row>
    <row r="194" spans="1:3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1"/>
      <c r="L194" s="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4"/>
    </row>
    <row r="195" spans="1:3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1"/>
      <c r="L195" s="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4"/>
    </row>
    <row r="196" spans="1:3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1"/>
      <c r="L196" s="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4"/>
    </row>
    <row r="197" spans="1:3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1"/>
      <c r="L197" s="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4"/>
    </row>
    <row r="198" spans="1:3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1"/>
      <c r="L198" s="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4"/>
    </row>
    <row r="199" spans="1:3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1"/>
      <c r="L199" s="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4"/>
    </row>
    <row r="200" spans="1:3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1"/>
      <c r="L200" s="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4"/>
    </row>
    <row r="201" spans="1:3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1"/>
      <c r="L201" s="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4"/>
    </row>
    <row r="202" spans="1:3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1"/>
      <c r="L202" s="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4"/>
    </row>
    <row r="203" spans="1:3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1"/>
      <c r="L203" s="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4"/>
    </row>
    <row r="204" spans="1:3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1"/>
      <c r="L204" s="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4"/>
    </row>
    <row r="205" spans="1:3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1"/>
      <c r="L205" s="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4"/>
    </row>
    <row r="206" spans="1:3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1"/>
      <c r="L206" s="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4"/>
    </row>
    <row r="207" spans="1:3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1"/>
      <c r="L207" s="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4"/>
    </row>
    <row r="208" spans="1:3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1"/>
      <c r="L208" s="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4"/>
    </row>
    <row r="209" spans="1:3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1"/>
      <c r="L209" s="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4"/>
    </row>
    <row r="210" spans="1:3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1"/>
      <c r="L210" s="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4"/>
    </row>
    <row r="211" spans="1:3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1"/>
      <c r="L211" s="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4"/>
    </row>
    <row r="212" spans="1:3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1"/>
      <c r="L212" s="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4"/>
    </row>
    <row r="213" spans="1:3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1"/>
      <c r="L213" s="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4"/>
    </row>
    <row r="214" spans="1:3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1"/>
      <c r="L214" s="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4"/>
    </row>
    <row r="215" spans="1:3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1"/>
      <c r="L215" s="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4"/>
    </row>
    <row r="216" spans="1:3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1"/>
      <c r="L216" s="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4"/>
    </row>
    <row r="217" spans="1:3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1"/>
      <c r="L217" s="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4"/>
    </row>
    <row r="218" spans="1:3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1"/>
      <c r="L218" s="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4"/>
    </row>
    <row r="219" spans="1:3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1"/>
      <c r="L219" s="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4"/>
    </row>
    <row r="220" spans="1:3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1"/>
      <c r="L220" s="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4"/>
    </row>
    <row r="221" spans="1:3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1"/>
      <c r="L221" s="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4"/>
    </row>
    <row r="222" spans="1:3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1"/>
      <c r="L222" s="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4"/>
    </row>
    <row r="223" spans="1:3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1"/>
      <c r="L223" s="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4"/>
    </row>
    <row r="224" spans="1:3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1"/>
      <c r="L224" s="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4"/>
    </row>
    <row r="225" spans="1:3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1"/>
      <c r="L225" s="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4"/>
    </row>
    <row r="226" spans="1:3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1"/>
      <c r="L226" s="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4"/>
    </row>
    <row r="227" spans="1:3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1"/>
      <c r="L227" s="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4"/>
    </row>
    <row r="228" spans="1:3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1"/>
      <c r="L228" s="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4"/>
    </row>
    <row r="229" spans="1:3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1"/>
      <c r="L229" s="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4"/>
    </row>
    <row r="230" spans="1:3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1"/>
      <c r="L230" s="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4"/>
    </row>
    <row r="231" spans="1:3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1"/>
      <c r="L231" s="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4"/>
    </row>
    <row r="232" spans="1:3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1"/>
      <c r="L232" s="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4"/>
    </row>
    <row r="233" spans="1:3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1"/>
      <c r="L233" s="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4"/>
    </row>
    <row r="234" spans="1:3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1"/>
      <c r="L234" s="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4"/>
    </row>
    <row r="235" spans="1:3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1"/>
      <c r="L235" s="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4"/>
    </row>
    <row r="236" spans="1:3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1"/>
      <c r="L236" s="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4"/>
    </row>
    <row r="237" spans="1:3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1"/>
      <c r="L237" s="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4"/>
    </row>
    <row r="238" spans="1:3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1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4"/>
    </row>
    <row r="239" spans="1:3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1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4"/>
    </row>
    <row r="240" spans="1:3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1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4"/>
    </row>
    <row r="241" spans="1:3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1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4"/>
    </row>
    <row r="242" spans="1:3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1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4"/>
    </row>
    <row r="243" spans="1:3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1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4"/>
    </row>
    <row r="244" spans="1:3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1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4"/>
    </row>
    <row r="245" spans="1:3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1"/>
      <c r="L245" s="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4"/>
    </row>
    <row r="246" spans="1:3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1"/>
      <c r="L246" s="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4"/>
    </row>
    <row r="247" spans="1:3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1"/>
      <c r="L247" s="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4"/>
    </row>
    <row r="248" spans="1:3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1"/>
      <c r="L248" s="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4"/>
    </row>
    <row r="249" spans="1:3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1"/>
      <c r="L249" s="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4"/>
    </row>
    <row r="250" spans="1:3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1"/>
      <c r="L250" s="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4"/>
    </row>
    <row r="251" spans="1:3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1"/>
      <c r="L251" s="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4"/>
    </row>
    <row r="252" spans="1:3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1"/>
      <c r="L252" s="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4"/>
    </row>
    <row r="253" spans="1:3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1"/>
      <c r="L253" s="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4"/>
    </row>
    <row r="254" spans="1:3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1"/>
      <c r="L254" s="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4"/>
    </row>
    <row r="255" spans="1:3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1"/>
      <c r="L255" s="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4"/>
    </row>
    <row r="256" spans="1:3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1"/>
      <c r="L256" s="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4"/>
    </row>
    <row r="257" spans="1:3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1"/>
      <c r="L257" s="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4"/>
    </row>
    <row r="258" spans="1:3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1"/>
      <c r="L258" s="3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4"/>
    </row>
    <row r="259" spans="1:3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1"/>
      <c r="L259" s="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4"/>
    </row>
    <row r="260" spans="1:3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1"/>
      <c r="L260" s="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4"/>
    </row>
    <row r="261" spans="1:3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1"/>
      <c r="L261" s="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4"/>
    </row>
    <row r="262" spans="1:3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1"/>
      <c r="L262" s="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4"/>
    </row>
    <row r="263" spans="1:3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1"/>
      <c r="L263" s="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4"/>
    </row>
    <row r="264" spans="1:3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1"/>
      <c r="L264" s="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4"/>
    </row>
    <row r="265" spans="1:3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1"/>
      <c r="L265" s="3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4"/>
    </row>
    <row r="266" spans="1:3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1"/>
      <c r="L266" s="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4"/>
    </row>
    <row r="267" spans="1:3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1"/>
      <c r="L267" s="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4"/>
    </row>
    <row r="268" spans="1:3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1"/>
      <c r="L268" s="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4"/>
    </row>
    <row r="269" spans="1:3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1"/>
      <c r="L269" s="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4"/>
    </row>
    <row r="270" spans="1:3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1"/>
      <c r="L270" s="3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4"/>
    </row>
    <row r="271" spans="1:3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1"/>
      <c r="L271" s="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4"/>
    </row>
    <row r="272" spans="1:3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1"/>
      <c r="L272" s="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4"/>
    </row>
    <row r="273" spans="1:3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1"/>
      <c r="L273" s="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4"/>
    </row>
    <row r="274" spans="1:3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1"/>
      <c r="L274" s="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4"/>
    </row>
    <row r="275" spans="1:3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1"/>
      <c r="L275" s="3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4"/>
    </row>
    <row r="276" spans="1:3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1"/>
      <c r="L276" s="3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4"/>
    </row>
    <row r="277" spans="1:3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1"/>
      <c r="L277" s="3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4"/>
    </row>
    <row r="278" spans="1:3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1"/>
      <c r="L278" s="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4"/>
    </row>
    <row r="279" spans="1:3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1"/>
      <c r="L279" s="3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4"/>
    </row>
    <row r="280" spans="1:3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1"/>
      <c r="L280" s="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4"/>
    </row>
    <row r="281" spans="1:3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1"/>
      <c r="L281" s="3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4"/>
    </row>
    <row r="282" spans="1:3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1"/>
      <c r="L282" s="3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4"/>
    </row>
    <row r="283" spans="1:3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1"/>
      <c r="L283" s="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4"/>
    </row>
    <row r="284" spans="1:3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1"/>
      <c r="L284" s="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4"/>
    </row>
    <row r="285" spans="1:3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1"/>
      <c r="L285" s="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4"/>
    </row>
    <row r="286" spans="1:3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1"/>
      <c r="L286" s="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4"/>
    </row>
    <row r="287" spans="1:3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1"/>
      <c r="L287" s="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4"/>
    </row>
    <row r="288" spans="1:30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1"/>
      <c r="L288" s="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4"/>
    </row>
    <row r="289" spans="1:30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1"/>
      <c r="L289" s="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4"/>
    </row>
    <row r="290" spans="1:30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1"/>
      <c r="L290" s="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4"/>
    </row>
    <row r="291" spans="1:30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1"/>
      <c r="L291" s="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4"/>
    </row>
    <row r="292" spans="1:30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1"/>
      <c r="L292" s="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4"/>
    </row>
    <row r="293" spans="1:30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1"/>
      <c r="L293" s="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4"/>
    </row>
    <row r="294" spans="1:30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1"/>
      <c r="L294" s="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4"/>
    </row>
    <row r="295" spans="1:30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1"/>
      <c r="L295" s="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4"/>
    </row>
    <row r="296" spans="1:30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1"/>
      <c r="L296" s="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4"/>
    </row>
    <row r="297" spans="1:30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1"/>
      <c r="L297" s="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4"/>
    </row>
    <row r="298" spans="1:30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1"/>
      <c r="L298" s="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4"/>
    </row>
    <row r="299" spans="1:30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1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4"/>
    </row>
    <row r="300" spans="1:30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1"/>
      <c r="L300" s="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4"/>
    </row>
    <row r="301" spans="1:30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1"/>
      <c r="L301" s="3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4"/>
    </row>
    <row r="302" spans="1:30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1"/>
      <c r="L302" s="3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4"/>
    </row>
    <row r="303" spans="1:30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1"/>
      <c r="L303" s="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4"/>
    </row>
    <row r="304" spans="1:30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1"/>
      <c r="L304" s="3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4"/>
    </row>
    <row r="305" spans="1:30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1"/>
      <c r="L305" s="3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4"/>
    </row>
    <row r="306" spans="1:30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1"/>
      <c r="L306" s="3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4"/>
    </row>
    <row r="307" spans="1:30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1"/>
      <c r="L307" s="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4"/>
    </row>
    <row r="308" spans="1:30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1"/>
      <c r="L308" s="3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4"/>
    </row>
    <row r="309" spans="1:30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1"/>
      <c r="L309" s="3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4"/>
    </row>
    <row r="310" spans="1:30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1"/>
      <c r="L310" s="3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4"/>
    </row>
    <row r="311" spans="1:30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1"/>
      <c r="L311" s="3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4"/>
    </row>
    <row r="312" spans="1:30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4"/>
    </row>
    <row r="313" spans="1:30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1"/>
      <c r="L313" s="3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4"/>
    </row>
    <row r="314" spans="1:30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1"/>
      <c r="L314" s="3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4"/>
    </row>
    <row r="315" spans="1:30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1"/>
      <c r="L315" s="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4"/>
    </row>
    <row r="316" spans="1:30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3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4"/>
    </row>
    <row r="317" spans="1:30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1"/>
      <c r="L317" s="3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4"/>
    </row>
    <row r="318" spans="1:30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1"/>
      <c r="L318" s="3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4"/>
    </row>
    <row r="319" spans="1:30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1"/>
      <c r="L319" s="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4"/>
    </row>
    <row r="320" spans="1:30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1"/>
      <c r="L320" s="3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4"/>
    </row>
    <row r="321" spans="1:30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1"/>
      <c r="L321" s="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4"/>
    </row>
    <row r="322" spans="1:30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1"/>
      <c r="L322" s="3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4"/>
    </row>
    <row r="323" spans="1:30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1"/>
      <c r="L323" s="3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4"/>
    </row>
    <row r="324" spans="1:30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1"/>
      <c r="L324" s="3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4"/>
    </row>
    <row r="325" spans="1:30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1"/>
      <c r="L325" s="3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4"/>
    </row>
    <row r="326" spans="1:30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1"/>
      <c r="L326" s="3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4"/>
    </row>
    <row r="327" spans="1:30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1"/>
      <c r="L327" s="3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4"/>
    </row>
    <row r="328" spans="1:30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1"/>
      <c r="L328" s="3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4"/>
    </row>
    <row r="329" spans="1:30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1"/>
      <c r="L329" s="3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4"/>
    </row>
    <row r="330" spans="1:30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1"/>
      <c r="L330" s="3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4"/>
    </row>
    <row r="331" spans="1:30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1"/>
      <c r="L331" s="3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4"/>
    </row>
    <row r="332" spans="1:30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1"/>
      <c r="L332" s="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4"/>
    </row>
    <row r="333" spans="1:30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1"/>
      <c r="L333" s="3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4"/>
    </row>
    <row r="334" spans="1:30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1"/>
      <c r="L334" s="3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4"/>
    </row>
    <row r="335" spans="1:30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1"/>
      <c r="L335" s="3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4"/>
    </row>
    <row r="336" spans="1:30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1"/>
      <c r="L336" s="3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4"/>
    </row>
    <row r="337" spans="1:30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1"/>
      <c r="L337" s="3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4"/>
    </row>
    <row r="338" spans="1:30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1"/>
      <c r="L338" s="3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4"/>
    </row>
    <row r="339" spans="1:30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1"/>
      <c r="L339" s="3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4"/>
    </row>
    <row r="340" spans="1:30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1"/>
      <c r="L340" s="3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4"/>
    </row>
    <row r="341" spans="1:30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1"/>
      <c r="L341" s="3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4"/>
    </row>
    <row r="342" spans="1:30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1"/>
      <c r="L342" s="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4"/>
    </row>
    <row r="343" spans="1:30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1"/>
      <c r="L343" s="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4"/>
    </row>
    <row r="344" spans="1:30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1"/>
      <c r="L344" s="3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4"/>
    </row>
    <row r="345" spans="1:30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1"/>
      <c r="L345" s="3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4"/>
    </row>
    <row r="346" spans="1:30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1"/>
      <c r="L346" s="3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4"/>
    </row>
    <row r="347" spans="1:30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1"/>
      <c r="L347" s="3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4"/>
    </row>
    <row r="348" spans="1:30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1"/>
      <c r="L348" s="3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4"/>
    </row>
    <row r="349" spans="1:30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1"/>
      <c r="L349" s="3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4"/>
    </row>
    <row r="350" spans="1:30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1"/>
      <c r="L350" s="3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4"/>
    </row>
    <row r="351" spans="1:30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1"/>
      <c r="L351" s="3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4"/>
    </row>
    <row r="352" spans="1:30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1"/>
      <c r="L352" s="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4"/>
    </row>
    <row r="353" spans="1:30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1"/>
      <c r="L353" s="3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4"/>
    </row>
    <row r="354" spans="1:30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1"/>
      <c r="L354" s="3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4"/>
    </row>
    <row r="355" spans="1:30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1"/>
      <c r="L355" s="3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4"/>
    </row>
    <row r="356" spans="1:30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1"/>
      <c r="L356" s="3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4"/>
    </row>
    <row r="357" spans="1:30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1"/>
      <c r="L357" s="3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4"/>
    </row>
    <row r="358" spans="1:30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1"/>
      <c r="L358" s="3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4"/>
    </row>
    <row r="359" spans="1:30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1"/>
      <c r="L359" s="3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4"/>
    </row>
    <row r="360" spans="1:30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1"/>
      <c r="L360" s="3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4"/>
    </row>
    <row r="361" spans="1:30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1"/>
      <c r="L361" s="3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4"/>
    </row>
    <row r="362" spans="1:30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1"/>
      <c r="L362" s="3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4"/>
    </row>
    <row r="363" spans="1:30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1"/>
      <c r="L363" s="3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4"/>
    </row>
    <row r="364" spans="1:30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1"/>
      <c r="L364" s="3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4"/>
    </row>
    <row r="365" spans="1:30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1"/>
      <c r="L365" s="3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4"/>
    </row>
    <row r="366" spans="1:30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1"/>
      <c r="L366" s="3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4"/>
    </row>
    <row r="367" spans="1:30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1"/>
      <c r="L367" s="3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4"/>
    </row>
    <row r="368" spans="1:30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1"/>
      <c r="L368" s="3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4"/>
    </row>
    <row r="369" spans="1:3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1"/>
      <c r="L369" s="3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4"/>
    </row>
    <row r="370" spans="1:3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1"/>
      <c r="L370" s="3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4"/>
    </row>
    <row r="371" spans="1:3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1"/>
      <c r="L371" s="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4"/>
    </row>
    <row r="372" spans="1:3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1"/>
      <c r="L372" s="3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4"/>
    </row>
    <row r="373" spans="1:3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1"/>
      <c r="L373" s="3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4"/>
    </row>
    <row r="374" spans="1:3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1"/>
      <c r="L374" s="3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4"/>
    </row>
    <row r="375" spans="1:3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1"/>
      <c r="L375" s="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4"/>
    </row>
    <row r="376" spans="1:3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1"/>
      <c r="L376" s="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4"/>
    </row>
    <row r="377" spans="1:3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1"/>
      <c r="L377" s="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4"/>
    </row>
    <row r="378" spans="1:3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1"/>
      <c r="L378" s="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4"/>
    </row>
    <row r="379" spans="1:3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1"/>
      <c r="L379" s="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4"/>
    </row>
    <row r="380" spans="1:3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1"/>
      <c r="L380" s="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4"/>
    </row>
    <row r="381" spans="1:3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1"/>
      <c r="L381" s="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4"/>
    </row>
    <row r="382" spans="1:3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1"/>
      <c r="L382" s="3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4"/>
    </row>
    <row r="383" spans="1:3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1"/>
      <c r="L383" s="3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4"/>
    </row>
    <row r="384" spans="1:3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1"/>
      <c r="L384" s="3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4"/>
    </row>
    <row r="385" spans="1:3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1"/>
      <c r="L385" s="3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4"/>
    </row>
    <row r="386" spans="1:3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1"/>
      <c r="L386" s="3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4"/>
    </row>
    <row r="387" spans="1:3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1"/>
      <c r="L387" s="3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4"/>
    </row>
    <row r="388" spans="1:3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1"/>
      <c r="L388" s="3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4"/>
    </row>
    <row r="389" spans="1:3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1"/>
      <c r="L389" s="3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4"/>
    </row>
    <row r="390" spans="1:3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1"/>
      <c r="L390" s="3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4"/>
    </row>
    <row r="391" spans="1:3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1"/>
      <c r="L391" s="3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4"/>
    </row>
    <row r="392" spans="1:3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1"/>
      <c r="L392" s="3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4"/>
    </row>
    <row r="393" spans="1:3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1"/>
      <c r="L393" s="3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4"/>
    </row>
    <row r="394" spans="1:3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1"/>
      <c r="L394" s="3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4"/>
    </row>
    <row r="395" spans="1:3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1"/>
      <c r="L395" s="3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4"/>
    </row>
    <row r="396" spans="1:3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1"/>
      <c r="L396" s="3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4"/>
    </row>
    <row r="397" spans="1:3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1"/>
      <c r="L397" s="3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4"/>
    </row>
    <row r="398" spans="1:3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1"/>
      <c r="L398" s="3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4"/>
    </row>
    <row r="399" spans="1:3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1"/>
      <c r="L399" s="3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4"/>
    </row>
    <row r="400" spans="1:3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1"/>
      <c r="L400" s="3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4"/>
    </row>
    <row r="401" spans="1:3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1"/>
      <c r="L401" s="3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4"/>
    </row>
    <row r="402" spans="1:3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1"/>
      <c r="L402" s="3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4"/>
    </row>
    <row r="403" spans="1:3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1"/>
      <c r="L403" s="3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4"/>
    </row>
    <row r="404" spans="1:3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1"/>
      <c r="L404" s="3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4"/>
    </row>
    <row r="405" spans="1:3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1"/>
      <c r="L405" s="3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4"/>
    </row>
    <row r="406" spans="1:3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1"/>
      <c r="L406" s="3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4"/>
    </row>
    <row r="407" spans="1:3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1"/>
      <c r="L407" s="3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4"/>
    </row>
    <row r="408" spans="1:3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1"/>
      <c r="L408" s="3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4"/>
    </row>
    <row r="409" spans="1:3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1"/>
      <c r="L409" s="3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4"/>
    </row>
    <row r="410" spans="1:3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1"/>
      <c r="L410" s="3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4"/>
    </row>
    <row r="411" spans="1:3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1"/>
      <c r="L411" s="3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4"/>
    </row>
    <row r="412" spans="1:3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1"/>
      <c r="L412" s="3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4"/>
    </row>
    <row r="413" spans="1:3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1"/>
      <c r="L413" s="3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4"/>
    </row>
    <row r="414" spans="1:3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1"/>
      <c r="L414" s="3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4"/>
    </row>
    <row r="415" spans="1:3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1"/>
      <c r="L415" s="3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4"/>
    </row>
    <row r="416" spans="1:3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1"/>
      <c r="L416" s="3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4"/>
    </row>
    <row r="417" spans="1:3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1"/>
      <c r="L417" s="3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4"/>
    </row>
    <row r="418" spans="1:3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1"/>
      <c r="L418" s="3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4"/>
    </row>
    <row r="419" spans="1:3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1"/>
      <c r="L419" s="3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4"/>
    </row>
    <row r="420" spans="1:3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1"/>
      <c r="L420" s="3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4"/>
    </row>
    <row r="421" spans="1:3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1"/>
      <c r="L421" s="3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4"/>
    </row>
    <row r="422" spans="1:3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1"/>
      <c r="L422" s="3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4"/>
    </row>
    <row r="423" spans="1:3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1"/>
      <c r="L423" s="3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4"/>
    </row>
    <row r="424" spans="1:3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1"/>
      <c r="L424" s="3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4"/>
    </row>
    <row r="425" spans="1:3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1"/>
      <c r="L425" s="3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4"/>
    </row>
    <row r="426" spans="1:3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1"/>
      <c r="L426" s="3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4"/>
    </row>
    <row r="427" spans="1:3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1"/>
      <c r="L427" s="3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4"/>
    </row>
    <row r="428" spans="1:3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1"/>
      <c r="L428" s="3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4"/>
    </row>
    <row r="429" spans="1:3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1"/>
      <c r="L429" s="3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4"/>
    </row>
    <row r="430" spans="1:3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1"/>
      <c r="L430" s="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4"/>
    </row>
    <row r="431" spans="1:3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1"/>
      <c r="L431" s="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4"/>
    </row>
    <row r="432" spans="1:3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1"/>
      <c r="L432" s="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4"/>
    </row>
    <row r="433" spans="1:3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1"/>
      <c r="L433" s="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4"/>
    </row>
    <row r="434" spans="1:3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1"/>
      <c r="L434" s="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4"/>
    </row>
    <row r="435" spans="1:3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1"/>
      <c r="L435" s="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4"/>
    </row>
    <row r="436" spans="1:3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1"/>
      <c r="L436" s="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4"/>
    </row>
    <row r="437" spans="1:3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1"/>
      <c r="L437" s="3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4"/>
    </row>
    <row r="438" spans="1:3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1"/>
      <c r="L438" s="3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4"/>
    </row>
    <row r="439" spans="1:3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1"/>
      <c r="L439" s="3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4"/>
    </row>
    <row r="440" spans="1:3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1"/>
      <c r="L440" s="3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4"/>
    </row>
    <row r="441" spans="1:3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1"/>
      <c r="L441" s="3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4"/>
    </row>
    <row r="442" spans="1:3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1"/>
      <c r="L442" s="3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4"/>
    </row>
    <row r="443" spans="1:3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1"/>
      <c r="L443" s="3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4"/>
    </row>
    <row r="444" spans="1:3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1"/>
      <c r="L444" s="3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4"/>
    </row>
    <row r="445" spans="1:3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1"/>
      <c r="L445" s="3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4"/>
    </row>
    <row r="446" spans="1:3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1"/>
      <c r="L446" s="3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4"/>
    </row>
    <row r="447" spans="1:3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1"/>
      <c r="L447" s="3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4"/>
    </row>
    <row r="448" spans="1:3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1"/>
      <c r="L448" s="3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4"/>
    </row>
    <row r="449" spans="1:3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1"/>
      <c r="L449" s="3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4"/>
    </row>
    <row r="450" spans="1:3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1"/>
      <c r="L450" s="3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4"/>
    </row>
    <row r="451" spans="1:3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1"/>
      <c r="L451" s="3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4"/>
    </row>
    <row r="452" spans="1:3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1"/>
      <c r="L452" s="3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4"/>
    </row>
    <row r="453" spans="1:3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1"/>
      <c r="L453" s="3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4"/>
    </row>
    <row r="454" spans="1:3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1"/>
      <c r="L454" s="3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4"/>
    </row>
    <row r="455" spans="1:3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1"/>
      <c r="L455" s="3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4"/>
    </row>
    <row r="456" spans="1:3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1"/>
      <c r="L456" s="3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4"/>
    </row>
    <row r="457" spans="1:3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1"/>
      <c r="L457" s="3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4"/>
    </row>
    <row r="458" spans="1:3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1"/>
      <c r="L458" s="3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4"/>
    </row>
    <row r="459" spans="1:3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1"/>
      <c r="L459" s="3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4"/>
    </row>
    <row r="460" spans="1:3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1"/>
      <c r="L460" s="3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4"/>
    </row>
    <row r="461" spans="1:3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1"/>
      <c r="L461" s="3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4"/>
    </row>
    <row r="462" spans="1:3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1"/>
      <c r="L462" s="3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4"/>
    </row>
    <row r="463" spans="1:3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1"/>
      <c r="L463" s="3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4"/>
    </row>
    <row r="464" spans="1:3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1"/>
      <c r="L464" s="3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4"/>
    </row>
    <row r="465" spans="1:3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1"/>
      <c r="L465" s="3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4"/>
    </row>
    <row r="466" spans="1:3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1"/>
      <c r="L466" s="3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4"/>
    </row>
    <row r="467" spans="1:3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1"/>
      <c r="L467" s="3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4"/>
    </row>
    <row r="468" spans="1:3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1"/>
      <c r="L468" s="3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4"/>
    </row>
    <row r="469" spans="1:3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1"/>
      <c r="L469" s="3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4"/>
    </row>
    <row r="470" spans="1:3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1"/>
      <c r="L470" s="3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4"/>
    </row>
    <row r="471" spans="1:3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1"/>
      <c r="L471" s="3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4"/>
    </row>
    <row r="472" spans="1:3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1"/>
      <c r="L472" s="3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4"/>
    </row>
    <row r="473" spans="1:3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1"/>
      <c r="L473" s="3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4"/>
    </row>
    <row r="474" spans="1:3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1"/>
      <c r="L474" s="3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4"/>
    </row>
    <row r="475" spans="1:3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1"/>
      <c r="L475" s="3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4"/>
    </row>
    <row r="476" spans="1:3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1"/>
      <c r="L476" s="3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4"/>
    </row>
    <row r="477" spans="1:3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1"/>
      <c r="L477" s="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4"/>
    </row>
    <row r="478" spans="1:3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1"/>
      <c r="L478" s="3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4"/>
    </row>
    <row r="479" spans="1:3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1"/>
      <c r="L479" s="3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4"/>
    </row>
    <row r="480" spans="1:3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1"/>
      <c r="L480" s="3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4"/>
    </row>
    <row r="481" spans="1:3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1"/>
      <c r="L481" s="3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4"/>
    </row>
    <row r="482" spans="1:3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1"/>
      <c r="L482" s="3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4"/>
    </row>
    <row r="483" spans="1:3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1"/>
      <c r="L483" s="3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4"/>
    </row>
    <row r="484" spans="1:3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1"/>
      <c r="L484" s="3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4"/>
    </row>
    <row r="485" spans="1:3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1"/>
      <c r="L485" s="3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4"/>
    </row>
    <row r="486" spans="1:3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1"/>
      <c r="L486" s="3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4"/>
    </row>
    <row r="487" spans="1:3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1"/>
      <c r="L487" s="3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4"/>
    </row>
    <row r="488" spans="1:3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1"/>
      <c r="L488" s="3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4"/>
    </row>
    <row r="489" spans="1:3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1"/>
      <c r="L489" s="3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4"/>
    </row>
    <row r="490" spans="1:3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1"/>
      <c r="L490" s="3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4"/>
    </row>
    <row r="491" spans="1:3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1"/>
      <c r="L491" s="3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4"/>
    </row>
    <row r="492" spans="1:3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1"/>
      <c r="L492" s="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4"/>
    </row>
    <row r="493" spans="1:3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1"/>
      <c r="L493" s="3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4"/>
    </row>
    <row r="494" spans="1:3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1"/>
      <c r="L494" s="3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4"/>
    </row>
    <row r="495" spans="1:3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1"/>
      <c r="L495" s="3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4"/>
    </row>
    <row r="496" spans="1:3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1"/>
      <c r="L496" s="3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4"/>
    </row>
    <row r="497" spans="1:3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1"/>
      <c r="L497" s="3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4"/>
    </row>
    <row r="498" spans="1:3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1"/>
      <c r="L498" s="3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4"/>
    </row>
    <row r="499" spans="1:3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1"/>
      <c r="L499" s="3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4"/>
    </row>
    <row r="500" spans="1:3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1"/>
      <c r="L500" s="3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4"/>
    </row>
    <row r="501" spans="1:3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1"/>
      <c r="L501" s="3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4"/>
    </row>
    <row r="502" spans="1:3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1"/>
      <c r="L502" s="3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4"/>
    </row>
    <row r="503" spans="1:3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1"/>
      <c r="L503" s="3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4"/>
    </row>
    <row r="504" spans="1:3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1"/>
      <c r="L504" s="3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4"/>
    </row>
    <row r="505" spans="1:3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1"/>
      <c r="L505" s="3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4"/>
    </row>
    <row r="506" spans="1:3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1"/>
      <c r="L506" s="3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4"/>
    </row>
    <row r="507" spans="1:3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1"/>
      <c r="L507" s="3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4"/>
    </row>
    <row r="508" spans="1:3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1"/>
      <c r="L508" s="3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4"/>
    </row>
    <row r="509" spans="1:3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1"/>
      <c r="L509" s="3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4"/>
    </row>
    <row r="510" spans="1:3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1"/>
      <c r="L510" s="3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4"/>
    </row>
    <row r="511" spans="1:3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1"/>
      <c r="L511" s="3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4"/>
    </row>
    <row r="512" spans="1:3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1"/>
      <c r="L512" s="3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4"/>
    </row>
    <row r="513" spans="1:3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1"/>
      <c r="L513" s="3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4"/>
    </row>
    <row r="514" spans="1:3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1"/>
      <c r="L514" s="3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4"/>
    </row>
    <row r="515" spans="1:3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1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4"/>
    </row>
    <row r="516" spans="1:3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1"/>
      <c r="L516" s="3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4"/>
    </row>
    <row r="517" spans="1:3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1"/>
      <c r="L517" s="3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4"/>
    </row>
    <row r="518" spans="1:3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1"/>
      <c r="L518" s="3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4"/>
    </row>
    <row r="519" spans="1:3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1"/>
      <c r="L519" s="3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4"/>
    </row>
    <row r="520" spans="1:3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1"/>
      <c r="L520" s="3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4"/>
    </row>
    <row r="521" spans="1:3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1"/>
      <c r="L521" s="3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4"/>
    </row>
    <row r="522" spans="1:3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1"/>
      <c r="L522" s="3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4"/>
    </row>
    <row r="523" spans="1:3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1"/>
      <c r="L523" s="3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4"/>
    </row>
    <row r="524" spans="1:3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1"/>
      <c r="L524" s="3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4"/>
    </row>
    <row r="525" spans="1:3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1"/>
      <c r="L525" s="3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4"/>
    </row>
    <row r="526" spans="1:3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1"/>
      <c r="L526" s="3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4"/>
    </row>
    <row r="527" spans="1:3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1"/>
      <c r="L527" s="3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4"/>
    </row>
    <row r="528" spans="1:3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1"/>
      <c r="L528" s="3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4"/>
    </row>
    <row r="529" spans="1:3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1"/>
      <c r="L529" s="3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4"/>
    </row>
    <row r="530" spans="1:3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1"/>
      <c r="L530" s="3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4"/>
    </row>
    <row r="531" spans="1:3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1"/>
      <c r="L531" s="3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4"/>
    </row>
    <row r="532" spans="1:3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1"/>
      <c r="L532" s="3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4"/>
    </row>
    <row r="533" spans="1:3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1"/>
      <c r="L533" s="3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4"/>
    </row>
    <row r="534" spans="1:3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1"/>
      <c r="L534" s="3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4"/>
    </row>
    <row r="535" spans="1:3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1"/>
      <c r="L535" s="3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4"/>
    </row>
    <row r="536" spans="1:3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1"/>
      <c r="L536" s="3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4"/>
    </row>
    <row r="537" spans="1:3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1"/>
      <c r="L537" s="3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4"/>
    </row>
    <row r="538" spans="1:3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1"/>
      <c r="L538" s="3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4"/>
    </row>
    <row r="539" spans="1:3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1"/>
      <c r="L539" s="3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4"/>
    </row>
    <row r="540" spans="1:3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1"/>
      <c r="L540" s="3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4"/>
    </row>
    <row r="541" spans="1:3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1"/>
      <c r="L541" s="3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4"/>
    </row>
    <row r="542" spans="1:3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1"/>
      <c r="L542" s="3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4"/>
    </row>
    <row r="543" spans="1:3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1"/>
      <c r="L543" s="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4"/>
    </row>
    <row r="544" spans="1:3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1"/>
      <c r="L544" s="3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4"/>
    </row>
    <row r="545" spans="1:3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1"/>
      <c r="L545" s="3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4"/>
    </row>
    <row r="546" spans="1:3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1"/>
      <c r="L546" s="3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4"/>
    </row>
    <row r="547" spans="1:3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1"/>
      <c r="L547" s="3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4"/>
    </row>
    <row r="548" spans="1:3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1"/>
      <c r="L548" s="3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4"/>
    </row>
    <row r="549" spans="1:3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1"/>
      <c r="L549" s="3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4"/>
    </row>
    <row r="550" spans="1:3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1"/>
      <c r="L550" s="3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4"/>
    </row>
    <row r="551" spans="1:3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1"/>
      <c r="L551" s="3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4"/>
    </row>
    <row r="552" spans="1:3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1"/>
      <c r="L552" s="3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4"/>
    </row>
    <row r="553" spans="1:3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1"/>
      <c r="L553" s="3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4"/>
    </row>
    <row r="554" spans="1:3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1"/>
      <c r="L554" s="3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4"/>
    </row>
    <row r="555" spans="1:3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1"/>
      <c r="L555" s="3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4"/>
    </row>
    <row r="556" spans="1:3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1"/>
      <c r="L556" s="3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4"/>
    </row>
    <row r="557" spans="1:3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1"/>
      <c r="L557" s="3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4"/>
    </row>
    <row r="558" spans="1:3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1"/>
      <c r="L558" s="3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4"/>
    </row>
    <row r="559" spans="1:3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1"/>
      <c r="L559" s="3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4"/>
    </row>
    <row r="560" spans="1:3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1"/>
      <c r="L560" s="3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4"/>
    </row>
    <row r="561" spans="1:3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1"/>
      <c r="L561" s="3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4"/>
    </row>
    <row r="562" spans="1:3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1"/>
      <c r="L562" s="3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4"/>
    </row>
    <row r="563" spans="1:3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1"/>
      <c r="L563" s="3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4"/>
    </row>
    <row r="564" spans="1:3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1"/>
      <c r="L564" s="3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4"/>
    </row>
    <row r="565" spans="1:3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1"/>
      <c r="L565" s="3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4"/>
    </row>
    <row r="566" spans="1:3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1"/>
      <c r="L566" s="3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4"/>
    </row>
    <row r="567" spans="1:3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1"/>
      <c r="L567" s="3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4"/>
    </row>
    <row r="568" spans="1:3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1"/>
      <c r="L568" s="3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4"/>
    </row>
    <row r="569" spans="1:3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1"/>
      <c r="L569" s="3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4"/>
    </row>
    <row r="570" spans="1:3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1"/>
      <c r="L570" s="3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4"/>
    </row>
    <row r="571" spans="1:3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1"/>
      <c r="L571" s="3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4"/>
    </row>
    <row r="572" spans="1:3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1"/>
      <c r="L572" s="3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4"/>
    </row>
    <row r="573" spans="1:3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1"/>
      <c r="L573" s="3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4"/>
    </row>
    <row r="574" spans="1:3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1"/>
      <c r="L574" s="3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4"/>
    </row>
    <row r="575" spans="1:3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1"/>
      <c r="L575" s="3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4"/>
    </row>
    <row r="576" spans="1:3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1"/>
      <c r="L576" s="3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4"/>
    </row>
    <row r="577" spans="1:3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1"/>
      <c r="L577" s="3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4"/>
    </row>
    <row r="578" spans="1:3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1"/>
      <c r="L578" s="3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4"/>
    </row>
    <row r="579" spans="1:3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1"/>
      <c r="L579" s="3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4"/>
    </row>
    <row r="580" spans="1:3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1"/>
      <c r="L580" s="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4"/>
    </row>
    <row r="581" spans="1:3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1"/>
      <c r="L581" s="3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4"/>
    </row>
    <row r="582" spans="1:3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1"/>
      <c r="L582" s="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4"/>
    </row>
    <row r="583" spans="1:3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1"/>
      <c r="L583" s="3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4"/>
    </row>
    <row r="584" spans="1:3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1"/>
      <c r="L584" s="3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4"/>
    </row>
    <row r="585" spans="1:3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1"/>
      <c r="L585" s="3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4"/>
    </row>
    <row r="586" spans="1:3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1"/>
      <c r="L586" s="3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4"/>
    </row>
    <row r="587" spans="1:3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1"/>
      <c r="L587" s="3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4"/>
    </row>
    <row r="588" spans="1:3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1"/>
      <c r="L588" s="3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4"/>
    </row>
    <row r="589" spans="1:3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1"/>
      <c r="L589" s="3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4"/>
    </row>
    <row r="590" spans="1:3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1"/>
      <c r="L590" s="3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4"/>
    </row>
    <row r="591" spans="1:3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1"/>
      <c r="L591" s="3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4"/>
    </row>
    <row r="592" spans="1:3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1"/>
      <c r="L592" s="3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4"/>
    </row>
    <row r="593" spans="1:3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1"/>
      <c r="L593" s="3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4"/>
    </row>
    <row r="594" spans="1:3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1"/>
      <c r="L594" s="3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4"/>
    </row>
    <row r="595" spans="1:3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1"/>
      <c r="L595" s="3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4"/>
    </row>
    <row r="596" spans="1:3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1"/>
      <c r="L596" s="3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4"/>
    </row>
    <row r="597" spans="1:3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1"/>
      <c r="L597" s="3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4"/>
    </row>
    <row r="598" spans="1:3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1"/>
      <c r="L598" s="3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4"/>
    </row>
    <row r="599" spans="1:3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1"/>
      <c r="L599" s="3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4"/>
    </row>
    <row r="600" spans="1:3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1"/>
      <c r="L600" s="3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4"/>
    </row>
    <row r="601" spans="1:3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1"/>
      <c r="L601" s="3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4"/>
    </row>
    <row r="602" spans="1:3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1"/>
      <c r="L602" s="3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4"/>
    </row>
    <row r="603" spans="1:3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1"/>
      <c r="L603" s="3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4"/>
    </row>
    <row r="604" spans="1:3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1"/>
      <c r="L604" s="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4"/>
    </row>
    <row r="605" spans="1:3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1"/>
      <c r="L605" s="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4"/>
    </row>
    <row r="606" spans="1:3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1"/>
      <c r="L606" s="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4"/>
    </row>
    <row r="607" spans="1:3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1"/>
      <c r="L607" s="3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4"/>
    </row>
    <row r="608" spans="1:3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1"/>
      <c r="L608" s="3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4"/>
    </row>
    <row r="609" spans="1:3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1"/>
      <c r="L609" s="3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4"/>
    </row>
    <row r="610" spans="1:3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1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4"/>
    </row>
    <row r="611" spans="1:3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1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4"/>
    </row>
    <row r="612" spans="1:3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1"/>
      <c r="L612" s="3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4"/>
    </row>
    <row r="613" spans="1:3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1"/>
      <c r="L613" s="3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4"/>
    </row>
    <row r="614" spans="1:3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1"/>
      <c r="L614" s="3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4"/>
    </row>
    <row r="615" spans="1:3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1"/>
      <c r="L615" s="3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4"/>
    </row>
    <row r="616" spans="1:3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1"/>
      <c r="L616" s="3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4"/>
    </row>
    <row r="617" spans="1:3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1"/>
      <c r="L617" s="3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4"/>
    </row>
    <row r="618" spans="1:3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1"/>
      <c r="L618" s="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4"/>
    </row>
    <row r="619" spans="1:3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1"/>
      <c r="L619" s="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4"/>
    </row>
    <row r="620" spans="1:3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1"/>
      <c r="L620" s="3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4"/>
    </row>
    <row r="621" spans="1:3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1"/>
      <c r="L621" s="3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4"/>
    </row>
    <row r="622" spans="1:3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1"/>
      <c r="L622" s="3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4"/>
    </row>
    <row r="623" spans="1:3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1"/>
      <c r="L623" s="3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4"/>
    </row>
    <row r="624" spans="1:3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1"/>
      <c r="L624" s="3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4"/>
    </row>
    <row r="625" spans="1:3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1"/>
      <c r="L625" s="3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4"/>
    </row>
    <row r="626" spans="1:3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1"/>
      <c r="L626" s="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4"/>
    </row>
    <row r="627" spans="1:3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1"/>
      <c r="L627" s="3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4"/>
    </row>
    <row r="628" spans="1:3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1"/>
      <c r="L628" s="3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4"/>
    </row>
    <row r="629" spans="1:3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1"/>
      <c r="L629" s="3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4"/>
    </row>
    <row r="630" spans="1:3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1"/>
      <c r="L630" s="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4"/>
    </row>
    <row r="631" spans="1:3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1"/>
      <c r="L631" s="3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4"/>
    </row>
    <row r="632" spans="1:3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1"/>
      <c r="L632" s="3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4"/>
    </row>
    <row r="633" spans="1:3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1"/>
      <c r="L633" s="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4"/>
    </row>
    <row r="634" spans="1:3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1"/>
      <c r="L634" s="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4"/>
    </row>
    <row r="635" spans="1:3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1"/>
      <c r="L635" s="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4"/>
    </row>
    <row r="636" spans="1:3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1"/>
      <c r="L636" s="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4"/>
    </row>
    <row r="637" spans="1:3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1"/>
      <c r="L637" s="3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4"/>
    </row>
    <row r="638" spans="1:3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1"/>
      <c r="L638" s="3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4"/>
    </row>
    <row r="639" spans="1:3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1"/>
      <c r="L639" s="3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4"/>
    </row>
    <row r="640" spans="1:3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1"/>
      <c r="L640" s="3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4"/>
    </row>
    <row r="641" spans="1:3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1"/>
      <c r="L641" s="3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4"/>
    </row>
    <row r="642" spans="1:3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1"/>
      <c r="L642" s="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4"/>
    </row>
    <row r="643" spans="1:3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1"/>
      <c r="L643" s="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4"/>
    </row>
    <row r="644" spans="1:3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1"/>
      <c r="L644" s="3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4"/>
    </row>
    <row r="645" spans="1:3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1"/>
      <c r="L645" s="3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4"/>
    </row>
    <row r="646" spans="1:3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1"/>
      <c r="L646" s="3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4"/>
    </row>
    <row r="647" spans="1:3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1"/>
      <c r="L647" s="3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4"/>
    </row>
    <row r="648" spans="1:3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1"/>
      <c r="L648" s="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4"/>
    </row>
    <row r="649" spans="1:3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1"/>
      <c r="L649" s="3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4"/>
    </row>
    <row r="650" spans="1:3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1"/>
      <c r="L650" s="3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4"/>
    </row>
    <row r="651" spans="1:3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1"/>
      <c r="L651" s="3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4"/>
    </row>
    <row r="652" spans="1:3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1"/>
      <c r="L652" s="3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4"/>
    </row>
    <row r="653" spans="1:3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1"/>
      <c r="L653" s="3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4"/>
    </row>
    <row r="654" spans="1:3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1"/>
      <c r="L654" s="3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4"/>
    </row>
    <row r="655" spans="1:3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1"/>
      <c r="L655" s="3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4"/>
    </row>
    <row r="656" spans="1:3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1"/>
      <c r="L656" s="3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4"/>
    </row>
    <row r="657" spans="1:3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1"/>
      <c r="L657" s="3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4"/>
    </row>
    <row r="658" spans="1:3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1"/>
      <c r="L658" s="3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4"/>
    </row>
    <row r="659" spans="1:3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1"/>
      <c r="L659" s="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4"/>
    </row>
    <row r="660" spans="1:3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1"/>
      <c r="L660" s="3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4"/>
    </row>
    <row r="661" spans="1:3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1"/>
      <c r="L661" s="3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4"/>
    </row>
    <row r="662" spans="1:3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1"/>
      <c r="L662" s="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4"/>
    </row>
    <row r="663" spans="1:3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1"/>
      <c r="L663" s="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4"/>
    </row>
    <row r="664" spans="1:3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1"/>
      <c r="L664" s="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4"/>
    </row>
    <row r="665" spans="1:3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1"/>
      <c r="L665" s="3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4"/>
    </row>
    <row r="666" spans="1:3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1"/>
      <c r="L666" s="3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4"/>
    </row>
    <row r="667" spans="1:3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1"/>
      <c r="L667" s="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4"/>
    </row>
    <row r="668" spans="1:3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1"/>
      <c r="L668" s="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4"/>
    </row>
    <row r="669" spans="1:3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1"/>
      <c r="L669" s="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4"/>
    </row>
    <row r="670" spans="1:3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1"/>
      <c r="L670" s="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4"/>
    </row>
    <row r="671" spans="1:3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1"/>
      <c r="L671" s="3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4"/>
    </row>
    <row r="672" spans="1:3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1"/>
      <c r="L672" s="3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4"/>
    </row>
    <row r="673" spans="1:3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1"/>
      <c r="L673" s="3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4"/>
    </row>
    <row r="674" spans="1:3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1"/>
      <c r="L674" s="3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4"/>
    </row>
    <row r="675" spans="1:3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1"/>
      <c r="L675" s="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4"/>
    </row>
    <row r="676" spans="1:3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1"/>
      <c r="L676" s="3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4"/>
    </row>
    <row r="677" spans="1:3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1"/>
      <c r="L677" s="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4"/>
    </row>
    <row r="678" spans="1:3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1"/>
      <c r="L678" s="3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4"/>
    </row>
    <row r="679" spans="1:3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1"/>
      <c r="L679" s="3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4"/>
    </row>
    <row r="680" spans="1:3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1"/>
      <c r="L680" s="3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4"/>
    </row>
    <row r="681" spans="1:3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1"/>
      <c r="L681" s="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4"/>
    </row>
    <row r="682" spans="1:3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1"/>
      <c r="L682" s="3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4"/>
    </row>
    <row r="683" spans="1:3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1"/>
      <c r="L683" s="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4"/>
    </row>
    <row r="684" spans="1:3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1"/>
      <c r="L684" s="3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4"/>
    </row>
    <row r="685" spans="1:3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1"/>
      <c r="L685" s="3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4"/>
    </row>
    <row r="686" spans="1:3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1"/>
      <c r="L686" s="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4"/>
    </row>
    <row r="687" spans="1:3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1"/>
      <c r="L687" s="3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4"/>
    </row>
    <row r="688" spans="1:3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1"/>
      <c r="L688" s="3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4"/>
    </row>
    <row r="689" spans="1:3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1"/>
      <c r="L689" s="3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4"/>
    </row>
    <row r="690" spans="1:3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1"/>
      <c r="L690" s="3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4"/>
    </row>
    <row r="691" spans="1:3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1"/>
      <c r="L691" s="3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4"/>
    </row>
    <row r="692" spans="1:3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1"/>
      <c r="L692" s="3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4"/>
    </row>
    <row r="693" spans="1:3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1"/>
      <c r="L693" s="3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4"/>
    </row>
    <row r="694" spans="1:3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1"/>
      <c r="L694" s="3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4"/>
    </row>
    <row r="695" spans="1:3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1"/>
      <c r="L695" s="3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4"/>
    </row>
    <row r="696" spans="1:3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1"/>
      <c r="L696" s="3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4"/>
    </row>
    <row r="697" spans="1:3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1"/>
      <c r="L697" s="3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4"/>
    </row>
    <row r="698" spans="1:3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1"/>
      <c r="L698" s="3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4"/>
    </row>
    <row r="699" spans="1:3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1"/>
      <c r="L699" s="3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4"/>
    </row>
    <row r="700" spans="1:3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1"/>
      <c r="L700" s="3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4"/>
    </row>
    <row r="701" spans="1:3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1"/>
      <c r="L701" s="3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4"/>
    </row>
    <row r="702" spans="1:3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1"/>
      <c r="L702" s="3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4"/>
    </row>
    <row r="703" spans="1:3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1"/>
      <c r="L703" s="3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4"/>
    </row>
    <row r="704" spans="1:3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1"/>
      <c r="L704" s="3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4"/>
    </row>
    <row r="705" spans="1:3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1"/>
      <c r="L705" s="3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4"/>
    </row>
    <row r="706" spans="1:3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1"/>
      <c r="L706" s="3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4"/>
    </row>
    <row r="707" spans="1:3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1"/>
      <c r="L707" s="3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4"/>
    </row>
    <row r="708" spans="1:3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1"/>
      <c r="L708" s="3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4"/>
    </row>
    <row r="709" spans="1:3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1"/>
      <c r="L709" s="3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4"/>
    </row>
    <row r="710" spans="1:3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1"/>
      <c r="L710" s="3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4"/>
    </row>
    <row r="711" spans="1:3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1"/>
      <c r="L711" s="3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4"/>
    </row>
    <row r="712" spans="1:3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1"/>
      <c r="L712" s="3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4"/>
    </row>
    <row r="713" spans="1:3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1"/>
      <c r="L713" s="3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4"/>
    </row>
    <row r="714" spans="1:3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1"/>
      <c r="L714" s="3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4"/>
    </row>
    <row r="715" spans="1:3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1"/>
      <c r="L715" s="3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4"/>
    </row>
    <row r="716" spans="1:3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1"/>
      <c r="L716" s="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4"/>
    </row>
    <row r="717" spans="1:3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1"/>
      <c r="L717" s="3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4"/>
    </row>
    <row r="718" spans="1:3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1"/>
      <c r="L718" s="3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4"/>
    </row>
    <row r="719" spans="1:3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1"/>
      <c r="L719" s="3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4"/>
    </row>
    <row r="720" spans="1:3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1"/>
      <c r="L720" s="3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4"/>
    </row>
    <row r="721" spans="1:3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1"/>
      <c r="L721" s="3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4"/>
    </row>
    <row r="722" spans="1:3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1"/>
      <c r="L722" s="3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4"/>
    </row>
    <row r="723" spans="1:3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1"/>
      <c r="L723" s="3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4"/>
    </row>
    <row r="724" spans="1:3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1"/>
      <c r="L724" s="3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4"/>
    </row>
    <row r="725" spans="1:3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1"/>
      <c r="L725" s="3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4"/>
    </row>
    <row r="726" spans="1:3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1"/>
      <c r="L726" s="3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4"/>
    </row>
    <row r="727" spans="1:3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1"/>
      <c r="L727" s="3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4"/>
    </row>
    <row r="728" spans="1:3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1"/>
      <c r="L728" s="3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4"/>
    </row>
    <row r="729" spans="1:3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1"/>
      <c r="L729" s="3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4"/>
    </row>
    <row r="730" spans="1:3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1"/>
      <c r="L730" s="3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4"/>
    </row>
    <row r="731" spans="1:3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1"/>
      <c r="L731" s="3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4"/>
    </row>
    <row r="732" spans="1:3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1"/>
      <c r="L732" s="3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4"/>
    </row>
    <row r="733" spans="1:3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1"/>
      <c r="L733" s="3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4"/>
    </row>
    <row r="734" spans="1:3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1"/>
      <c r="L734" s="3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4"/>
    </row>
    <row r="735" spans="1:3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1"/>
      <c r="L735" s="3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4"/>
    </row>
    <row r="736" spans="1:3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1"/>
      <c r="L736" s="3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4"/>
    </row>
    <row r="737" spans="1:3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1"/>
      <c r="L737" s="3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4"/>
    </row>
    <row r="738" spans="1:3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1"/>
      <c r="L738" s="3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4"/>
    </row>
    <row r="739" spans="1:3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1"/>
      <c r="L739" s="3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4"/>
    </row>
    <row r="740" spans="1:30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1"/>
      <c r="L740" s="3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4"/>
    </row>
    <row r="741" spans="1:30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1"/>
      <c r="L741" s="3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4"/>
    </row>
    <row r="742" spans="1:30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1"/>
      <c r="L742" s="3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4"/>
    </row>
    <row r="743" spans="1:30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1"/>
      <c r="L743" s="3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4"/>
    </row>
    <row r="744" spans="1:30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1"/>
      <c r="L744" s="3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4"/>
    </row>
    <row r="745" spans="1:30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1"/>
      <c r="L745" s="3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4"/>
    </row>
    <row r="746" spans="1:30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1"/>
      <c r="L746" s="3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4"/>
    </row>
    <row r="747" spans="1:30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1"/>
      <c r="L747" s="3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4"/>
    </row>
    <row r="748" spans="1:30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1"/>
      <c r="L748" s="3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4"/>
    </row>
    <row r="749" spans="1:30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1"/>
      <c r="L749" s="3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4"/>
    </row>
    <row r="750" spans="1:30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1"/>
      <c r="L750" s="3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4"/>
    </row>
    <row r="751" spans="1:30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1"/>
      <c r="L751" s="3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4"/>
    </row>
    <row r="752" spans="1:30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1"/>
      <c r="L752" s="3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4"/>
    </row>
    <row r="753" spans="1:30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1"/>
      <c r="L753" s="3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4"/>
    </row>
    <row r="754" spans="1:30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1"/>
      <c r="L754" s="3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4"/>
    </row>
    <row r="755" spans="1:30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1"/>
      <c r="L755" s="3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4"/>
    </row>
    <row r="756" spans="1:30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1"/>
      <c r="L756" s="3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4"/>
    </row>
    <row r="757" spans="1:30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1"/>
      <c r="L757" s="3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4"/>
    </row>
    <row r="758" spans="1:30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1"/>
      <c r="L758" s="3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4"/>
    </row>
    <row r="759" spans="1:30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1"/>
      <c r="L759" s="3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4"/>
    </row>
    <row r="760" spans="1:30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1"/>
      <c r="L760" s="3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4"/>
    </row>
    <row r="761" spans="1:30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1"/>
      <c r="L761" s="3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4"/>
    </row>
    <row r="762" spans="1:30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1"/>
      <c r="L762" s="3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4"/>
    </row>
    <row r="763" spans="1:30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1"/>
      <c r="L763" s="3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4"/>
    </row>
    <row r="764" spans="1:30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1"/>
      <c r="L764" s="3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4"/>
    </row>
    <row r="765" spans="1:30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1"/>
      <c r="L765" s="3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4"/>
    </row>
    <row r="766" spans="1:30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1"/>
      <c r="L766" s="3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4"/>
    </row>
    <row r="767" spans="1:30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1"/>
      <c r="L767" s="3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4"/>
    </row>
    <row r="768" spans="1:30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1"/>
      <c r="L768" s="3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4"/>
    </row>
    <row r="769" spans="1:30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1"/>
      <c r="L769" s="3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4"/>
    </row>
    <row r="770" spans="1:30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1"/>
      <c r="L770" s="3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4"/>
    </row>
    <row r="771" spans="1:30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1"/>
      <c r="L771" s="3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4"/>
    </row>
    <row r="772" spans="1:30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1"/>
      <c r="L772" s="3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4"/>
    </row>
    <row r="773" spans="1:30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1"/>
      <c r="L773" s="3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4"/>
    </row>
    <row r="774" spans="1:30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1"/>
      <c r="L774" s="3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4"/>
    </row>
    <row r="775" spans="1:30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1"/>
      <c r="L775" s="3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4"/>
    </row>
    <row r="776" spans="1:30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1"/>
      <c r="L776" s="3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4"/>
    </row>
    <row r="777" spans="1:30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1"/>
      <c r="L777" s="3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4"/>
    </row>
    <row r="778" spans="1:30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1"/>
      <c r="L778" s="3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4"/>
    </row>
    <row r="779" spans="1:30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1"/>
      <c r="L779" s="3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4"/>
    </row>
    <row r="780" spans="1:30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1"/>
      <c r="L780" s="3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4"/>
    </row>
    <row r="781" spans="1:30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1"/>
      <c r="L781" s="3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4"/>
    </row>
    <row r="782" spans="1:30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1"/>
      <c r="L782" s="3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4"/>
    </row>
    <row r="783" spans="1:30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1"/>
      <c r="L783" s="3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4"/>
    </row>
    <row r="784" spans="1:30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1"/>
      <c r="L784" s="3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4"/>
    </row>
    <row r="785" spans="1:30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1"/>
      <c r="L785" s="3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4"/>
    </row>
    <row r="786" spans="1:30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1"/>
      <c r="L786" s="3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4"/>
    </row>
    <row r="787" spans="1:30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1"/>
      <c r="L787" s="3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4"/>
    </row>
    <row r="788" spans="1:30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1"/>
      <c r="L788" s="3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4"/>
    </row>
    <row r="789" spans="1:30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1"/>
      <c r="L789" s="3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4"/>
    </row>
    <row r="790" spans="1:30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1"/>
      <c r="L790" s="3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4"/>
    </row>
    <row r="791" spans="1:30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1"/>
      <c r="L791" s="3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4"/>
    </row>
    <row r="792" spans="1:30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1"/>
      <c r="L792" s="3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4"/>
    </row>
    <row r="793" spans="1:30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1"/>
      <c r="L793" s="3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4"/>
    </row>
    <row r="794" spans="1:30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1"/>
      <c r="L794" s="3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4"/>
    </row>
    <row r="795" spans="1:30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1"/>
      <c r="L795" s="3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4"/>
    </row>
    <row r="796" spans="1:30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1"/>
      <c r="L796" s="3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4"/>
    </row>
    <row r="797" spans="1:30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1"/>
      <c r="L797" s="3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4"/>
    </row>
    <row r="798" spans="1:30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1"/>
      <c r="L798" s="3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4"/>
    </row>
    <row r="799" spans="1:30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1"/>
      <c r="L799" s="3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4"/>
    </row>
    <row r="800" spans="1:30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1"/>
      <c r="L800" s="3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4"/>
    </row>
    <row r="801" spans="1:30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1"/>
      <c r="L801" s="3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4"/>
    </row>
    <row r="802" spans="1:30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1"/>
      <c r="L802" s="3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4"/>
    </row>
    <row r="803" spans="1:30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1"/>
      <c r="L803" s="3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4"/>
    </row>
    <row r="804" spans="1:30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1"/>
      <c r="L804" s="3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4"/>
    </row>
    <row r="805" spans="1:30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1"/>
      <c r="L805" s="3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4"/>
    </row>
    <row r="806" spans="1:30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1"/>
      <c r="L806" s="3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4"/>
    </row>
    <row r="807" spans="1:30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1"/>
      <c r="L807" s="3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4"/>
    </row>
    <row r="808" spans="1:30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1"/>
      <c r="L808" s="3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4"/>
    </row>
    <row r="809" spans="1:30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1"/>
      <c r="L809" s="3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4"/>
    </row>
    <row r="810" spans="1:30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1"/>
      <c r="L810" s="3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4"/>
    </row>
    <row r="811" spans="1:30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1"/>
      <c r="L811" s="3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4"/>
    </row>
    <row r="812" spans="1:30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1"/>
      <c r="L812" s="3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4"/>
    </row>
    <row r="813" spans="1:30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1"/>
      <c r="L813" s="3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4"/>
    </row>
    <row r="814" spans="1:30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1"/>
      <c r="L814" s="3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4"/>
    </row>
    <row r="815" spans="1:30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1"/>
      <c r="L815" s="3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4"/>
    </row>
    <row r="816" spans="1:30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1"/>
      <c r="L816" s="3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4"/>
    </row>
    <row r="817" spans="1:30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1"/>
      <c r="L817" s="3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4"/>
    </row>
    <row r="818" spans="1:30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1"/>
      <c r="L818" s="3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4"/>
    </row>
    <row r="819" spans="1:30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1"/>
      <c r="L819" s="3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4"/>
    </row>
    <row r="820" spans="1:30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1"/>
      <c r="L820" s="3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4"/>
    </row>
    <row r="821" spans="1:30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1"/>
      <c r="L821" s="3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4"/>
    </row>
    <row r="822" spans="1:30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1"/>
      <c r="L822" s="3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4"/>
    </row>
    <row r="823" spans="1:30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1"/>
      <c r="L823" s="3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4"/>
    </row>
    <row r="824" spans="1:30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1"/>
      <c r="L824" s="3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4"/>
    </row>
    <row r="825" spans="1:30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1"/>
      <c r="L825" s="3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4"/>
    </row>
    <row r="826" spans="1:30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1"/>
      <c r="L826" s="3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4"/>
    </row>
    <row r="827" spans="1:30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1"/>
      <c r="L827" s="3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4"/>
    </row>
    <row r="828" spans="1:30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1"/>
      <c r="L828" s="3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4"/>
    </row>
    <row r="829" spans="1:30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1"/>
      <c r="L829" s="3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4"/>
    </row>
    <row r="830" spans="1:30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1"/>
      <c r="L830" s="3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4"/>
    </row>
    <row r="831" spans="1:30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1"/>
      <c r="L831" s="3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4"/>
    </row>
    <row r="832" spans="1:30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1"/>
      <c r="L832" s="3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4"/>
    </row>
    <row r="833" spans="1:30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1"/>
      <c r="L833" s="3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4"/>
    </row>
    <row r="834" spans="1:30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1"/>
      <c r="L834" s="3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4"/>
    </row>
    <row r="835" spans="1:30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1"/>
      <c r="L835" s="3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4"/>
    </row>
    <row r="836" spans="1:30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1"/>
      <c r="L836" s="3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4"/>
    </row>
    <row r="837" spans="1:30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1"/>
      <c r="L837" s="3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4"/>
    </row>
    <row r="838" spans="1:30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1"/>
      <c r="L838" s="3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4"/>
    </row>
    <row r="839" spans="1:30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1"/>
      <c r="L839" s="3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4"/>
    </row>
    <row r="840" spans="1:30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1"/>
      <c r="L840" s="3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4"/>
    </row>
    <row r="841" spans="1:30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1"/>
      <c r="L841" s="3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4"/>
    </row>
    <row r="842" spans="1:30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1"/>
      <c r="L842" s="3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4"/>
    </row>
    <row r="843" spans="1:30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1"/>
      <c r="L843" s="3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4"/>
    </row>
    <row r="844" spans="1:30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1"/>
      <c r="L844" s="3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4"/>
    </row>
    <row r="845" spans="1:30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1"/>
      <c r="L845" s="3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4"/>
    </row>
    <row r="846" spans="1:30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1"/>
      <c r="L846" s="3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4"/>
    </row>
    <row r="847" spans="1:30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1"/>
      <c r="L847" s="3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4"/>
    </row>
    <row r="848" spans="1:30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1"/>
      <c r="L848" s="3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4"/>
    </row>
    <row r="849" spans="1:30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1"/>
      <c r="L849" s="3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4"/>
    </row>
    <row r="850" spans="1:30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1"/>
      <c r="L850" s="3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4"/>
    </row>
    <row r="851" spans="1:30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1"/>
      <c r="L851" s="3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4"/>
    </row>
    <row r="852" spans="1:30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1"/>
      <c r="L852" s="3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4"/>
    </row>
    <row r="853" spans="1:30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1"/>
      <c r="L853" s="3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4"/>
    </row>
    <row r="854" spans="1:30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1"/>
      <c r="L854" s="3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4"/>
    </row>
    <row r="855" spans="1:30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1"/>
      <c r="L855" s="3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4"/>
    </row>
    <row r="856" spans="1:30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1"/>
      <c r="L856" s="3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4"/>
    </row>
    <row r="857" spans="1:30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1"/>
      <c r="L857" s="3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4"/>
    </row>
    <row r="858" spans="1:30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1"/>
      <c r="L858" s="3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4"/>
    </row>
    <row r="859" spans="1:30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1"/>
      <c r="L859" s="3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4"/>
    </row>
    <row r="860" spans="1:30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1"/>
      <c r="L860" s="3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4"/>
    </row>
    <row r="861" spans="1:30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1"/>
      <c r="L861" s="3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4"/>
    </row>
    <row r="862" spans="1:30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1"/>
      <c r="L862" s="3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4"/>
    </row>
    <row r="863" spans="1:30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1"/>
      <c r="L863" s="3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4"/>
    </row>
    <row r="864" spans="1:30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1"/>
      <c r="L864" s="3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4"/>
    </row>
    <row r="865" spans="1:30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1"/>
      <c r="L865" s="3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4"/>
    </row>
    <row r="866" spans="1:30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1"/>
      <c r="L866" s="3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4"/>
    </row>
    <row r="867" spans="1:30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1"/>
      <c r="L867" s="3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4"/>
    </row>
    <row r="868" spans="1:30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1"/>
      <c r="L868" s="3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4"/>
    </row>
    <row r="869" spans="1:30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1"/>
      <c r="L869" s="3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4"/>
    </row>
    <row r="870" spans="1:30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1"/>
      <c r="L870" s="3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4"/>
    </row>
    <row r="871" spans="1:30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1"/>
      <c r="L871" s="3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4"/>
    </row>
    <row r="872" spans="1:30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1"/>
      <c r="L872" s="3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4"/>
    </row>
    <row r="873" spans="1:30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1"/>
      <c r="L873" s="3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4"/>
    </row>
    <row r="874" spans="1:30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1"/>
      <c r="L874" s="3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4"/>
    </row>
    <row r="875" spans="1:30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1"/>
      <c r="L875" s="3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4"/>
    </row>
    <row r="876" spans="1:30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1"/>
      <c r="L876" s="3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4"/>
    </row>
    <row r="877" spans="1:30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1"/>
      <c r="L877" s="3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4"/>
    </row>
    <row r="878" spans="1:30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1"/>
      <c r="L878" s="3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4"/>
    </row>
    <row r="879" spans="1:30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1"/>
      <c r="L879" s="3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4"/>
    </row>
    <row r="880" spans="1:30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1"/>
      <c r="L880" s="3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4"/>
    </row>
    <row r="881" spans="1:30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1"/>
      <c r="L881" s="3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4"/>
    </row>
    <row r="882" spans="1:30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1"/>
      <c r="L882" s="3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4"/>
    </row>
    <row r="883" spans="1:30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1"/>
      <c r="L883" s="3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4"/>
    </row>
    <row r="884" spans="1:30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1"/>
      <c r="L884" s="3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4"/>
    </row>
    <row r="885" spans="1:30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1"/>
      <c r="L885" s="3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4"/>
    </row>
    <row r="886" spans="1:30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1"/>
      <c r="L886" s="3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4"/>
    </row>
    <row r="887" spans="1:30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1"/>
      <c r="L887" s="3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4"/>
    </row>
    <row r="888" spans="1:30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1"/>
      <c r="L888" s="3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4"/>
    </row>
    <row r="889" spans="1:30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1"/>
      <c r="L889" s="3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4"/>
    </row>
    <row r="890" spans="1:30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1"/>
      <c r="L890" s="3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4"/>
    </row>
    <row r="891" spans="1:30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1"/>
      <c r="L891" s="3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4"/>
    </row>
    <row r="892" spans="1:30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1"/>
      <c r="L892" s="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4"/>
    </row>
    <row r="893" spans="1:30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1"/>
      <c r="L893" s="3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4"/>
    </row>
    <row r="894" spans="1:30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1"/>
      <c r="L894" s="3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4"/>
    </row>
    <row r="895" spans="1:30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1"/>
      <c r="L895" s="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4"/>
    </row>
    <row r="896" spans="1:30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1"/>
      <c r="L896" s="3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4"/>
    </row>
    <row r="897" spans="1:30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1"/>
      <c r="L897" s="3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4"/>
    </row>
    <row r="898" spans="1:30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1"/>
      <c r="L898" s="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4"/>
    </row>
    <row r="899" spans="1:30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1"/>
      <c r="L899" s="3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4"/>
    </row>
    <row r="900" spans="1:30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1"/>
      <c r="L900" s="3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4"/>
    </row>
    <row r="901" spans="1:30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1"/>
      <c r="L901" s="3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4"/>
    </row>
    <row r="902" spans="1:30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1"/>
      <c r="L902" s="3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4"/>
    </row>
    <row r="903" spans="1:30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1"/>
      <c r="L903" s="3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4"/>
    </row>
    <row r="904" spans="1:30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1"/>
      <c r="L904" s="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4"/>
    </row>
    <row r="905" spans="1:30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1"/>
      <c r="L905" s="3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4"/>
    </row>
    <row r="906" spans="1:30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1"/>
      <c r="L906" s="3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4"/>
    </row>
    <row r="907" spans="1:30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1"/>
      <c r="L907" s="3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4"/>
    </row>
    <row r="908" spans="1:30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1"/>
      <c r="L908" s="3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4"/>
    </row>
    <row r="909" spans="1:30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1"/>
      <c r="L909" s="3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4"/>
    </row>
    <row r="910" spans="1:30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1"/>
      <c r="L910" s="3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4"/>
    </row>
    <row r="911" spans="1:30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1"/>
      <c r="L911" s="3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4"/>
    </row>
    <row r="912" spans="1:30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1"/>
      <c r="L912" s="3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4"/>
    </row>
    <row r="913" spans="1:30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1"/>
      <c r="L913" s="3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4"/>
    </row>
    <row r="914" spans="1:30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1"/>
      <c r="L914" s="3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4"/>
    </row>
    <row r="915" spans="1:30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1"/>
      <c r="L915" s="3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4"/>
    </row>
    <row r="916" spans="1:30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1"/>
      <c r="L916" s="3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4"/>
    </row>
    <row r="917" spans="1:30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1"/>
      <c r="L917" s="3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4"/>
    </row>
    <row r="918" spans="1:30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1"/>
      <c r="L918" s="3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4"/>
    </row>
    <row r="919" spans="1:30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1"/>
      <c r="L919" s="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4"/>
    </row>
    <row r="920" spans="1:30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1"/>
      <c r="L920" s="3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4"/>
    </row>
    <row r="921" spans="1:30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1"/>
      <c r="L921" s="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4"/>
    </row>
    <row r="922" spans="1:30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1"/>
      <c r="L922" s="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4"/>
    </row>
    <row r="923" spans="1:30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1"/>
      <c r="L923" s="3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4"/>
    </row>
    <row r="924" spans="1:30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1"/>
      <c r="L924" s="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4"/>
    </row>
    <row r="925" spans="1:30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1"/>
      <c r="L925" s="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4"/>
    </row>
    <row r="926" spans="1:30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1"/>
      <c r="L926" s="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4"/>
    </row>
    <row r="927" spans="1:30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1"/>
      <c r="L927" s="3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4"/>
    </row>
    <row r="928" spans="1:30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1"/>
      <c r="L928" s="3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4"/>
    </row>
    <row r="929" spans="1:30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1"/>
      <c r="L929" s="3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4"/>
    </row>
    <row r="930" spans="1:30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1"/>
      <c r="L930" s="3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4"/>
    </row>
    <row r="931" spans="1:30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1"/>
      <c r="L931" s="3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4"/>
    </row>
    <row r="932" spans="1:30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1"/>
      <c r="L932" s="3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4"/>
    </row>
    <row r="933" spans="1:30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1"/>
      <c r="L933" s="3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4"/>
    </row>
    <row r="934" spans="1:30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1"/>
      <c r="L934" s="3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4"/>
    </row>
    <row r="935" spans="1:30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1"/>
      <c r="L935" s="3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4"/>
    </row>
    <row r="936" spans="1:30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1"/>
      <c r="L936" s="3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4"/>
    </row>
    <row r="937" spans="1:30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1"/>
      <c r="L937" s="3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4"/>
    </row>
    <row r="938" spans="1:30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1"/>
      <c r="L938" s="3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4"/>
    </row>
    <row r="939" spans="1:30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1"/>
      <c r="L939" s="3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4"/>
    </row>
    <row r="940" spans="1:30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1"/>
      <c r="L940" s="3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4"/>
    </row>
    <row r="941" spans="1:30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1"/>
      <c r="L941" s="3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4"/>
    </row>
    <row r="942" spans="1:30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1"/>
      <c r="L942" s="3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4"/>
    </row>
    <row r="943" spans="1:30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1"/>
      <c r="L943" s="3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4"/>
    </row>
    <row r="944" spans="1:30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1"/>
      <c r="L944" s="3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4"/>
    </row>
    <row r="945" spans="1:30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1"/>
      <c r="L945" s="3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4"/>
    </row>
    <row r="946" spans="1:30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1"/>
      <c r="L946" s="3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4"/>
    </row>
    <row r="947" spans="1:30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1"/>
      <c r="L947" s="3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4"/>
    </row>
    <row r="948" spans="1:30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1"/>
      <c r="L948" s="3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4"/>
    </row>
    <row r="949" spans="1:30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1"/>
      <c r="L949" s="3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4"/>
    </row>
    <row r="950" spans="1:30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1"/>
      <c r="L950" s="3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4"/>
    </row>
    <row r="951" spans="1:30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1"/>
      <c r="L951" s="3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4"/>
    </row>
    <row r="952" spans="1:30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1"/>
      <c r="L952" s="3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4"/>
    </row>
    <row r="953" spans="1:30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1"/>
      <c r="L953" s="3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4"/>
    </row>
    <row r="954" spans="1:30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1"/>
      <c r="L954" s="3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4"/>
    </row>
    <row r="955" spans="1:30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1"/>
      <c r="L955" s="3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4"/>
    </row>
    <row r="956" spans="1:30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1"/>
      <c r="L956" s="3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4"/>
    </row>
    <row r="957" spans="1:30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1"/>
      <c r="L957" s="3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4"/>
    </row>
    <row r="958" spans="1:30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1"/>
      <c r="L958" s="3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4"/>
    </row>
    <row r="959" spans="1:30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1"/>
      <c r="L959" s="3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4"/>
    </row>
    <row r="960" spans="1:30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1"/>
      <c r="L960" s="3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4"/>
    </row>
    <row r="961" spans="1:30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1"/>
      <c r="L961" s="3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4"/>
    </row>
    <row r="962" spans="1:30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1"/>
      <c r="L962" s="3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4"/>
    </row>
    <row r="963" spans="1:30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1"/>
      <c r="L963" s="3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4"/>
    </row>
    <row r="964" spans="1:30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1"/>
      <c r="L964" s="3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4"/>
    </row>
    <row r="965" spans="1:30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1"/>
      <c r="L965" s="3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4"/>
    </row>
    <row r="966" spans="1:30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1"/>
      <c r="L966" s="3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4"/>
    </row>
    <row r="967" spans="1:30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1"/>
      <c r="L967" s="3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4"/>
    </row>
    <row r="968" spans="1:30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1"/>
      <c r="L968" s="3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4"/>
    </row>
    <row r="969" spans="1:30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1"/>
      <c r="L969" s="3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4"/>
    </row>
    <row r="970" spans="1:30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1"/>
      <c r="L970" s="3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4"/>
    </row>
    <row r="971" spans="1:30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1"/>
      <c r="L971" s="3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4"/>
    </row>
    <row r="972" spans="1:30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1"/>
      <c r="L972" s="3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4"/>
    </row>
    <row r="973" spans="1:30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1"/>
      <c r="L973" s="3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4"/>
    </row>
    <row r="974" spans="1:30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1"/>
      <c r="L974" s="3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4"/>
    </row>
    <row r="975" spans="1:30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1"/>
      <c r="L975" s="3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4"/>
    </row>
    <row r="976" spans="1:30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1"/>
      <c r="L976" s="3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4"/>
    </row>
    <row r="977" spans="1:30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1"/>
      <c r="L977" s="3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4"/>
    </row>
    <row r="978" spans="1:30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1"/>
      <c r="L978" s="3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4"/>
    </row>
    <row r="979" spans="1:30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1"/>
      <c r="L979" s="3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4"/>
    </row>
    <row r="980" spans="1:30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1"/>
      <c r="L980" s="3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4"/>
    </row>
    <row r="981" spans="1:30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1"/>
      <c r="L981" s="3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4"/>
    </row>
    <row r="982" spans="1:30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1"/>
      <c r="L982" s="3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4"/>
    </row>
    <row r="983" spans="1:30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1"/>
      <c r="L983" s="3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4"/>
    </row>
    <row r="984" spans="1:30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1"/>
      <c r="L984" s="3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4"/>
    </row>
    <row r="985" spans="1:30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1"/>
      <c r="L985" s="3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4"/>
    </row>
    <row r="986" spans="1:30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1"/>
      <c r="L986" s="3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4"/>
    </row>
    <row r="987" spans="1:30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1"/>
      <c r="L987" s="3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4"/>
    </row>
    <row r="988" spans="1:30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1"/>
      <c r="L988" s="3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4"/>
    </row>
    <row r="989" spans="1:30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1"/>
      <c r="L989" s="3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4"/>
    </row>
    <row r="990" spans="1:30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1"/>
      <c r="L990" s="3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4"/>
    </row>
    <row r="991" spans="1:30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1"/>
      <c r="L991" s="3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4"/>
    </row>
    <row r="992" spans="1:30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1"/>
      <c r="L992" s="3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4"/>
    </row>
    <row r="993" spans="1:30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1"/>
      <c r="L993" s="3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4"/>
    </row>
    <row r="994" spans="1:30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1"/>
      <c r="L994" s="3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4"/>
    </row>
    <row r="995" spans="1:30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1"/>
      <c r="L995" s="3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4"/>
    </row>
    <row r="996" spans="1:30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1"/>
      <c r="L996" s="3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4"/>
    </row>
    <row r="997" spans="1:30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1"/>
      <c r="L997" s="3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4"/>
    </row>
    <row r="998" spans="1:30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1"/>
      <c r="L998" s="3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4"/>
    </row>
    <row r="999" spans="1:30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1"/>
      <c r="L999" s="3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4"/>
    </row>
    <row r="1000" spans="1:30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1"/>
      <c r="L1000" s="3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4"/>
    </row>
    <row r="1001" spans="1:30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2"/>
      <c r="J1001" s="2"/>
      <c r="K1001" s="1"/>
      <c r="L1001" s="3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4"/>
    </row>
    <row r="1002" spans="1:30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2"/>
      <c r="J1002" s="2"/>
      <c r="K1002" s="1"/>
      <c r="L1002" s="3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4"/>
    </row>
    <row r="1003" spans="1:30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2"/>
      <c r="J1003" s="2"/>
      <c r="K1003" s="1"/>
      <c r="L1003" s="3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4"/>
    </row>
    <row r="1004" spans="1:30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2"/>
      <c r="J1004" s="2"/>
      <c r="K1004" s="1"/>
      <c r="L1004" s="3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4"/>
    </row>
    <row r="1005" spans="1:30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2"/>
      <c r="J1005" s="2"/>
      <c r="K1005" s="1"/>
      <c r="L1005" s="3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4"/>
    </row>
    <row r="1006" spans="1:30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2"/>
      <c r="J1006" s="2"/>
      <c r="K1006" s="1"/>
      <c r="L1006" s="3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4"/>
    </row>
    <row r="1007" spans="1:30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2"/>
      <c r="J1007" s="2"/>
      <c r="K1007" s="1"/>
      <c r="L1007" s="3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4"/>
    </row>
    <row r="1008" spans="1:30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2"/>
      <c r="J1008" s="2"/>
      <c r="K1008" s="1"/>
      <c r="L1008" s="3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4"/>
    </row>
  </sheetData>
  <autoFilter ref="A3:Z42" xr:uid="{00000000-0001-0000-0000-000000000000}">
    <filterColumn colId="5">
      <filters blank="1">
        <filter val="-"/>
      </filters>
    </filterColumn>
  </autoFilter>
  <hyperlinks>
    <hyperlink ref="H4" r:id="rId1" xr:uid="{00000000-0004-0000-0000-000000000000}"/>
    <hyperlink ref="K4" r:id="rId2" xr:uid="{00000000-0004-0000-0000-000001000000}"/>
    <hyperlink ref="N4" r:id="rId3" xr:uid="{00000000-0004-0000-0000-000002000000}"/>
    <hyperlink ref="X4" r:id="rId4" xr:uid="{00000000-0004-0000-0000-000003000000}"/>
    <hyperlink ref="H5" r:id="rId5" xr:uid="{00000000-0004-0000-0000-000004000000}"/>
    <hyperlink ref="X5" r:id="rId6" xr:uid="{00000000-0004-0000-0000-000005000000}"/>
    <hyperlink ref="H6" r:id="rId7" xr:uid="{00000000-0004-0000-0000-000006000000}"/>
    <hyperlink ref="X6" r:id="rId8" xr:uid="{00000000-0004-0000-0000-000007000000}"/>
    <hyperlink ref="H7" r:id="rId9" xr:uid="{00000000-0004-0000-0000-000008000000}"/>
    <hyperlink ref="X7" r:id="rId10" xr:uid="{00000000-0004-0000-0000-000009000000}"/>
    <hyperlink ref="H8" r:id="rId11" xr:uid="{00000000-0004-0000-0000-00000A000000}"/>
    <hyperlink ref="X8" r:id="rId12" xr:uid="{00000000-0004-0000-0000-00000B000000}"/>
    <hyperlink ref="H9" r:id="rId13" xr:uid="{00000000-0004-0000-0000-00000C000000}"/>
    <hyperlink ref="X9" r:id="rId14" xr:uid="{00000000-0004-0000-0000-00000D000000}"/>
    <hyperlink ref="H10" r:id="rId15" xr:uid="{00000000-0004-0000-0000-00000E000000}"/>
    <hyperlink ref="X10" r:id="rId16" xr:uid="{00000000-0004-0000-0000-00000F000000}"/>
    <hyperlink ref="H11" r:id="rId17" xr:uid="{00000000-0004-0000-0000-000010000000}"/>
    <hyperlink ref="X11" r:id="rId18" xr:uid="{00000000-0004-0000-0000-000011000000}"/>
    <hyperlink ref="H12" r:id="rId19" xr:uid="{00000000-0004-0000-0000-000012000000}"/>
    <hyperlink ref="X12" r:id="rId20" xr:uid="{00000000-0004-0000-0000-000013000000}"/>
    <hyperlink ref="H13" r:id="rId21" xr:uid="{00000000-0004-0000-0000-000014000000}"/>
    <hyperlink ref="X13" r:id="rId22" xr:uid="{00000000-0004-0000-0000-000015000000}"/>
    <hyperlink ref="H14" r:id="rId23" xr:uid="{00000000-0004-0000-0000-000016000000}"/>
    <hyperlink ref="X14" r:id="rId24" xr:uid="{00000000-0004-0000-0000-000017000000}"/>
    <hyperlink ref="H15" r:id="rId25" xr:uid="{00000000-0004-0000-0000-000018000000}"/>
    <hyperlink ref="X15" r:id="rId26" xr:uid="{00000000-0004-0000-0000-000019000000}"/>
    <hyperlink ref="H16" r:id="rId27" xr:uid="{00000000-0004-0000-0000-00001A000000}"/>
    <hyperlink ref="X16" r:id="rId28" xr:uid="{00000000-0004-0000-0000-00001B000000}"/>
    <hyperlink ref="H17" r:id="rId29" xr:uid="{00000000-0004-0000-0000-00001C000000}"/>
    <hyperlink ref="X17" r:id="rId30" xr:uid="{00000000-0004-0000-0000-00001D000000}"/>
    <hyperlink ref="H18" r:id="rId31" xr:uid="{00000000-0004-0000-0000-00001E000000}"/>
    <hyperlink ref="X18" r:id="rId32" xr:uid="{00000000-0004-0000-0000-00001F000000}"/>
    <hyperlink ref="H19" r:id="rId33" xr:uid="{00000000-0004-0000-0000-000020000000}"/>
    <hyperlink ref="X19" r:id="rId34" xr:uid="{00000000-0004-0000-0000-000021000000}"/>
    <hyperlink ref="H20" r:id="rId35" xr:uid="{00000000-0004-0000-0000-000022000000}"/>
    <hyperlink ref="X20" r:id="rId36" xr:uid="{00000000-0004-0000-0000-000023000000}"/>
    <hyperlink ref="H21" r:id="rId37" xr:uid="{00000000-0004-0000-0000-000024000000}"/>
    <hyperlink ref="X21" r:id="rId38" xr:uid="{00000000-0004-0000-0000-000025000000}"/>
    <hyperlink ref="H22" r:id="rId39" xr:uid="{00000000-0004-0000-0000-000026000000}"/>
    <hyperlink ref="X22" r:id="rId40" xr:uid="{00000000-0004-0000-0000-000027000000}"/>
    <hyperlink ref="H23" r:id="rId41" xr:uid="{00000000-0004-0000-0000-000028000000}"/>
    <hyperlink ref="X23" r:id="rId42" xr:uid="{00000000-0004-0000-0000-000029000000}"/>
    <hyperlink ref="H24" r:id="rId43" xr:uid="{00000000-0004-0000-0000-00002A000000}"/>
    <hyperlink ref="X24" r:id="rId44" xr:uid="{00000000-0004-0000-0000-00002B000000}"/>
    <hyperlink ref="H25" r:id="rId45" xr:uid="{00000000-0004-0000-0000-00002C000000}"/>
    <hyperlink ref="X25" r:id="rId46" xr:uid="{00000000-0004-0000-0000-00002D000000}"/>
    <hyperlink ref="H26" r:id="rId47" xr:uid="{00000000-0004-0000-0000-00002E000000}"/>
    <hyperlink ref="X26" r:id="rId48" xr:uid="{00000000-0004-0000-0000-00002F000000}"/>
    <hyperlink ref="H27" r:id="rId49" xr:uid="{00000000-0004-0000-0000-000030000000}"/>
    <hyperlink ref="X27" r:id="rId50" xr:uid="{00000000-0004-0000-0000-000031000000}"/>
    <hyperlink ref="X29" r:id="rId51" xr:uid="{00000000-0004-0000-0000-000032000000}"/>
    <hyperlink ref="X30" r:id="rId52" xr:uid="{00000000-0004-0000-0000-000033000000}"/>
    <hyperlink ref="X31" r:id="rId53" xr:uid="{00000000-0004-0000-0000-000034000000}"/>
    <hyperlink ref="X32" r:id="rId54" xr:uid="{00000000-0004-0000-0000-000035000000}"/>
    <hyperlink ref="X34" r:id="rId55" xr:uid="{00000000-0004-0000-0000-000036000000}"/>
  </hyperlinks>
  <pageMargins left="0.7" right="0.7" top="0.75" bottom="0.75" header="0" footer="0"/>
  <pageSetup paperSize="9" orientation="portrait" r:id="rId56"/>
  <legacy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DA43887</dc:creator>
  <cp:lastModifiedBy>JOKER SON</cp:lastModifiedBy>
  <dcterms:created xsi:type="dcterms:W3CDTF">2025-10-04T04:20:42Z</dcterms:created>
  <dcterms:modified xsi:type="dcterms:W3CDTF">2026-07-14T15:57:24Z</dcterms:modified>
</cp:coreProperties>
</file>