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EVELOPER\3.accounting_excel\src\clients\0110840844\"/>
    </mc:Choice>
  </mc:AlternateContent>
  <xr:revisionPtr revIDLastSave="0" documentId="13_ncr:1_{C35BB275-DBF4-44C5-8933-A15D9DBB43E8}" xr6:coauthVersionLast="47" xr6:coauthVersionMax="47" xr10:uidLastSave="{00000000-0000-0000-0000-000000000000}"/>
  <bookViews>
    <workbookView xWindow="-120" yWindow="-120" windowWidth="29040" windowHeight="15720" xr2:uid="{07644A96-E5C7-43F9-A81E-4F2512233D72}"/>
  </bookViews>
  <sheets>
    <sheet name="Sheet1" sheetId="1" r:id="rId1"/>
  </sheets>
  <definedNames>
    <definedName name="_xlnm._FilterDatabase" localSheetId="0" hidden="1">Sheet1!$A$2:$I$125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4" i="1" l="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3" i="1"/>
  <c r="I5" i="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4" i="1"/>
  <c r="I3" i="1"/>
</calcChain>
</file>

<file path=xl/sharedStrings.xml><?xml version="1.0" encoding="utf-8"?>
<sst xmlns="http://schemas.openxmlformats.org/spreadsheetml/2006/main" count="415" uniqueCount="283">
  <si>
    <t>Ngày giao dịch</t>
  </si>
  <si>
    <t>Đối tác</t>
  </si>
  <si>
    <t>NH đối tác</t>
  </si>
  <si>
    <t>Số bút toán</t>
  </si>
  <si>
    <t>Nợ (VND)</t>
  </si>
  <si>
    <t>Có (VND)</t>
  </si>
  <si>
    <t>Số dư (VND)</t>
  </si>
  <si>
    <t>CONG TY TNHH TRUYEN THONG GM GROUP MEDIA VIET NAM</t>
  </si>
  <si>
    <t>QUAN DOI (MB)</t>
  </si>
  <si>
    <t>Cty TNHH WNBF Vietnam</t>
  </si>
  <si>
    <t>FT26093981240154</t>
  </si>
  <si>
    <t>NGUYEN THI HONG</t>
  </si>
  <si>
    <t>TECHCOMBANK</t>
  </si>
  <si>
    <t>NGUYEN THI HONG chuyen</t>
  </si>
  <si>
    <t>FT26113601979012</t>
  </si>
  <si>
    <t>NGUYEN THI HONG VIET NAM INC JOINT STOCK COMPANY</t>
  </si>
  <si>
    <t>Cong ty WNBF thanh toan tien thue van phong</t>
  </si>
  <si>
    <t>FT26113331047001</t>
  </si>
  <si>
    <t>Tra lai so du tren tai khoan - thang 04/2026</t>
  </si>
  <si>
    <t>909690969096-20260430</t>
  </si>
  <si>
    <t>IBT-MB HANOI VNM</t>
  </si>
  <si>
    <t>Do Tan Tai</t>
  </si>
  <si>
    <t>FT26135705330033</t>
  </si>
  <si>
    <t>IBT BIDV HANOI VNM</t>
  </si>
  <si>
    <t>PHAM HONG DANG Chuyen tien</t>
  </si>
  <si>
    <t>FT26135079440694</t>
  </si>
  <si>
    <t>Do tan tai chuyen khoan phi thi</t>
  </si>
  <si>
    <t>FT26135273280817</t>
  </si>
  <si>
    <t>VIETCOMBANK Hanoi VNM</t>
  </si>
  <si>
    <t>MBVCB.14227597863.6135BFT VG2DR7I53. NGUYEN QUANG QUAN chuyen tien membre r.CT tu 1035970700 NGUYEN QUANG QUA N toi 909690969096 CT TNHH WNBF VIET NAM tai TECHCOMBANK</t>
  </si>
  <si>
    <t>FT26135119406662</t>
  </si>
  <si>
    <t>PVCB NAPAS HANOI VNM</t>
  </si>
  <si>
    <t>Tran Phan Hop chuyen tien</t>
  </si>
  <si>
    <t>FT26135706162987</t>
  </si>
  <si>
    <t>IBT SMARTLINK HANOI VNM</t>
  </si>
  <si>
    <t>DAO DUY TUNG CCCD 022095009081 dang ky the thanh vien WNBF 2026</t>
  </si>
  <si>
    <t>FT26135930033849</t>
  </si>
  <si>
    <t>HA THI HUYEN LINH</t>
  </si>
  <si>
    <t>HA THI HUYEN LINH chuyen tien</t>
  </si>
  <si>
    <t>FT26135094102095</t>
  </si>
  <si>
    <t>DAO DUY TUNG CCCD 022095009081 dang ky hang muc thi dau First Time va NoVice WNBF 2026</t>
  </si>
  <si>
    <t>FT26135026170307</t>
  </si>
  <si>
    <t>NGUYEN DANG KHOA Chuyen tien</t>
  </si>
  <si>
    <t>FT26135544136521</t>
  </si>
  <si>
    <t>PHAN THANH TUNG</t>
  </si>
  <si>
    <t>Dang ky thanh vien WNBF VietNam</t>
  </si>
  <si>
    <t>FT26135875255245</t>
  </si>
  <si>
    <t>FT26135794070119</t>
  </si>
  <si>
    <t>DO HOANG ANH Chuyen tien</t>
  </si>
  <si>
    <t>FT26135507450154</t>
  </si>
  <si>
    <t>DO HOANG ANH Chuyen tien le phi 1 h ang, tanning, polygraph</t>
  </si>
  <si>
    <t>FT26135749420721</t>
  </si>
  <si>
    <t>DO HOANG ANH</t>
  </si>
  <si>
    <t>DAU TU VA PHAT TRIEN VN (BIDV)</t>
  </si>
  <si>
    <t>Hoan tien thi sinh nop thua</t>
  </si>
  <si>
    <t>FT26135595599331</t>
  </si>
  <si>
    <t>MBVCB.14232306527 6135BFT VG2D4PJUJ. NGUYEN TUAN TU CCCD 001096037084 da ng ky thanh vien WNBF 2026.CT tu 10 15210044 NGUYEN TUAN TU toi 90969096906 CT TNHH WNBF VIET NAM tai TEC HCOMBANK</t>
  </si>
  <si>
    <t>FT26135700760209</t>
  </si>
  <si>
    <t>MBVCB.14232572643 6135BFT VG2D4D5T9. NGUYEN TUAN TU CCCD 001096037084 da ng ky 2 hang muc + tanning.CT tu 10 15210044 NGUYEN TUAN TU toi 90969096906 CT TNHH WNBF VIET NAM tai TEC HCOMBANK</t>
  </si>
  <si>
    <t>FT26135453301069</t>
  </si>
  <si>
    <t>Mb WNBF - NGUYEN HOANG BA DAT</t>
  </si>
  <si>
    <t>FT26135439544545</t>
  </si>
  <si>
    <t>DAM VINH HUNG chuyen tien</t>
  </si>
  <si>
    <t>FT26135031144509</t>
  </si>
  <si>
    <t>Thi WNBF - NGUYEN HOANG BA DAT</t>
  </si>
  <si>
    <t>FT26135888337584</t>
  </si>
  <si>
    <t>NGUYEN HOANG BA DAT</t>
  </si>
  <si>
    <t>QUOC TE (VIB)</t>
  </si>
  <si>
    <t>Hoan phi thi da nop thua</t>
  </si>
  <si>
    <t>FT26135634269089</t>
  </si>
  <si>
    <t>FT26135176335902</t>
  </si>
  <si>
    <t>FT26135595943523</t>
  </si>
  <si>
    <t>WOORI BANK VIETNAM 153 704</t>
  </si>
  <si>
    <t>Hur gyeong un</t>
  </si>
  <si>
    <t>FT26135115882069</t>
  </si>
  <si>
    <t>DUONG TIEN DAT chuyen tien</t>
  </si>
  <si>
    <t>FT26135481300293</t>
  </si>
  <si>
    <t>Timo 412 NTMK 704</t>
  </si>
  <si>
    <t>Tran Van Dong chuyen tien membersh p WNBF 2026</t>
  </si>
  <si>
    <t>FT26136575407830</t>
  </si>
  <si>
    <t>Tran Van Dong chuyen tien 3 phan ha ng men's bodybuilding junior, novice, firsttimer va tanning</t>
  </si>
  <si>
    <t>FT26136081139969</t>
  </si>
  <si>
    <t>MBVCB.14245554783 6136BFT VG2DE5FUH. NGUYEN CONG DAT CT tu 1024994997 NG UYEN CONG DAT toi 909690969096 CT TNHH WNBF VIET NAM tai TECHCOMBANK</t>
  </si>
  <si>
    <t>FT26136224954404</t>
  </si>
  <si>
    <t>MBVCB.14246142173 6136BFT VG2DGQD9J. NGUYEN QUANG QUAN chuyen tien.CT tu 1035970700 NGUYEN QUANG QUAN toi 9 909690969096 CT TNHH WNBF VIET NAM tai TECHCOMBANK</t>
  </si>
  <si>
    <t>FT26136921935399</t>
  </si>
  <si>
    <t>NGUYEN TUNG LAM</t>
  </si>
  <si>
    <t>NGUYEN TUNG LAM dk membership 202 6</t>
  </si>
  <si>
    <t>FT26138504175759</t>
  </si>
  <si>
    <t>DANG VU TRUONG HUY</t>
  </si>
  <si>
    <t>DANG VU TRUONG HUY chuyen tien the thanh vien WNBF</t>
  </si>
  <si>
    <t>FT26138482542258</t>
  </si>
  <si>
    <t>TRINH VIET THAI dang ky thanh vien wnbf</t>
  </si>
  <si>
    <t>FT26138909704020</t>
  </si>
  <si>
    <t>TRINH VIET THAI chuyen tien</t>
  </si>
  <si>
    <t>FT2613890314793</t>
  </si>
  <si>
    <t>VietinBank VNM</t>
  </si>
  <si>
    <t>PHAM MINH DUC chuyen tien dang ky 1 hang vien</t>
  </si>
  <si>
    <t>FT26138500912091</t>
  </si>
  <si>
    <t>PHAM MINH DUC chuyen tien</t>
  </si>
  <si>
    <t>FT26138910259390</t>
  </si>
  <si>
    <t>MBVCB.14276848386 6138BFT VG2DHFPDZ. NGUYEN CONG DAT chuyen tien Phan Ha ng 1 tanning.CT tu 1024994997 NGUYEN CONG DAT toi 909690969096 CT TNHH WNBF VIET NAM tai TECHCOMBANK</t>
  </si>
  <si>
    <t>FT26138751782045</t>
  </si>
  <si>
    <t>VU QUANG MINH chuyen tien</t>
  </si>
  <si>
    <t>FT26138654920037</t>
  </si>
  <si>
    <t>DANG VU TRUONG HUY chuyen</t>
  </si>
  <si>
    <t>FT26138429858928</t>
  </si>
  <si>
    <t>LE VAN CANH</t>
  </si>
  <si>
    <t>LE VAN CANH chuyen</t>
  </si>
  <si>
    <t>FT26139505917104</t>
  </si>
  <si>
    <t>DANG NHU HUYNH</t>
  </si>
  <si>
    <t>FT26139293870177</t>
  </si>
  <si>
    <t>PHAM HUNG CUONG nop phi thi dau 3 h ang muc</t>
  </si>
  <si>
    <t>FT26139357718355</t>
  </si>
  <si>
    <t>IBT TIENPHONGBANK HANOI VNM</t>
  </si>
  <si>
    <t>VU TRAN ANH KIET chuyen tien</t>
  </si>
  <si>
    <t>FT26139028370718</t>
  </si>
  <si>
    <t>FT26140028890965</t>
  </si>
  <si>
    <t>tran thi thu hang ck phi member</t>
  </si>
  <si>
    <t>FT26141676464227</t>
  </si>
  <si>
    <t>HWANG INJAE transfer</t>
  </si>
  <si>
    <t>FT26141725566320</t>
  </si>
  <si>
    <t>NGUYEN DUC TAI chuyen tien</t>
  </si>
  <si>
    <t>FT26141880280106</t>
  </si>
  <si>
    <t>FT26141182369408</t>
  </si>
  <si>
    <t>NGUYEN TUNG LAM ck phi hang muc f1 rst timer</t>
  </si>
  <si>
    <t>FT26141293227840</t>
  </si>
  <si>
    <t>VU QUANG MINH</t>
  </si>
  <si>
    <t>FT26141168871082</t>
  </si>
  <si>
    <t>CONG TY TNHH THUONG MAI DICH VU ST WHEY FITNESS</t>
  </si>
  <si>
    <t>C.ty TNHH WNBF Vietnam ck coc dich vu tanning</t>
  </si>
  <si>
    <t>FT26142730905552</t>
  </si>
  <si>
    <t>CONG TY TNHH THUONG MAI VA DICH VU HAN NGOC VIET</t>
  </si>
  <si>
    <t>Cty TNHH WNBF Vietnam ck 31506</t>
  </si>
  <si>
    <t>FT26142669288906</t>
  </si>
  <si>
    <t>BUI HONG PHUC Chuyen tien</t>
  </si>
  <si>
    <t>FT26142452352080</t>
  </si>
  <si>
    <t>Dong Gia Khanh</t>
  </si>
  <si>
    <t>FT26142394781915</t>
  </si>
  <si>
    <t>FT26142234728481</t>
  </si>
  <si>
    <t>FT26143547806590</t>
  </si>
  <si>
    <t>SHINHAN BANK VIETNAM H Plot 19, Lot VNM</t>
  </si>
  <si>
    <t>PHAM HOAI NAM CHUYEN KHOAN DANG KI MEMBERSHIP WNBF2026</t>
  </si>
  <si>
    <t>FT26143846757147</t>
  </si>
  <si>
    <t>NGUYEN VAN TU thanh toan phi thanh vien</t>
  </si>
  <si>
    <t>FT26145543028029</t>
  </si>
  <si>
    <t>NGUYEN VAN TU dang ki thi</t>
  </si>
  <si>
    <t>FT26145824821155</t>
  </si>
  <si>
    <t>NGUYEN VAN TU</t>
  </si>
  <si>
    <t>FT26145030070491</t>
  </si>
  <si>
    <t>VU TIEN LE</t>
  </si>
  <si>
    <t>VU TIEN LE dang ky thanh vien WNBF</t>
  </si>
  <si>
    <t>FT26145302910045</t>
  </si>
  <si>
    <t>CN CTY CP BAN LE KY THUAT SO FPT TAI HN</t>
  </si>
  <si>
    <t>FT26145323058380</t>
  </si>
  <si>
    <t>FT26145699113109</t>
  </si>
  <si>
    <t>IBT VPB EBANKING HANOI VNM</t>
  </si>
  <si>
    <t>LE DINH HAI MEMBERSHIP 2026</t>
  </si>
  <si>
    <t>FT26145671809152</t>
  </si>
  <si>
    <t>PHAM TUAN NINH dang ky member wnbf 2026</t>
  </si>
  <si>
    <t>FT26146357017606</t>
  </si>
  <si>
    <t>LE DANG HOANG chuyen tien</t>
  </si>
  <si>
    <t>FT26147461300908</t>
  </si>
  <si>
    <t>NGUYEN QUANG ANH</t>
  </si>
  <si>
    <t>FT26147130688208</t>
  </si>
  <si>
    <t>FT26147298203048</t>
  </si>
  <si>
    <t>CONG TY CO PHAN DICH VU DI DONG TRUC TUYEN</t>
  </si>
  <si>
    <t>1308266496373-0777048877- NGUYEN TRUONG THANH AN chuyen tien qua MoMo</t>
  </si>
  <si>
    <t>FT26147417570003</t>
  </si>
  <si>
    <t>FT26147417604652</t>
  </si>
  <si>
    <t>HOANG TRUNG DUC</t>
  </si>
  <si>
    <t>HOANG TRUNG DUC chuyen wnbf</t>
  </si>
  <si>
    <t>FT26147057881308</t>
  </si>
  <si>
    <t>LA QUYET TAM</t>
  </si>
  <si>
    <t>FT26148370704507</t>
  </si>
  <si>
    <t>FT26148003314318</t>
  </si>
  <si>
    <t>PHAM HOAI NAM CHUYEN KHOAN HANG MUC FIRST TIME BODYBUILDING-MENCLASSI C+TANNING</t>
  </si>
  <si>
    <t>FT26148626331619</t>
  </si>
  <si>
    <t>SAIGON OFFICE AND SERVICEDAPARTMENT COMPANY LIMITED</t>
  </si>
  <si>
    <t>BNP PARIBAS CN HCM</t>
  </si>
  <si>
    <t>Cong ty TNHH WNBF Vietnam</t>
  </si>
  <si>
    <t>FT26148604867952</t>
  </si>
  <si>
    <t>PHAM TAN ANH</t>
  </si>
  <si>
    <t>FT26148995917038</t>
  </si>
  <si>
    <t>FT26148167346895</t>
  </si>
  <si>
    <t>NGUYEN DUY TAN Chuyen tien thanh vien WNBF</t>
  </si>
  <si>
    <t>FT26148838482789</t>
  </si>
  <si>
    <t>NGUYEN DUY TAN Chuyen tien le phi 1h 2 hang muc FirstTime va Open Men</t>
  </si>
  <si>
    <t>FT26148067350304</t>
  </si>
  <si>
    <t>TRAN MANH HUNG chuyen tien</t>
  </si>
  <si>
    <t>FT26149997505043</t>
  </si>
  <si>
    <t>VU TIEN LE chuyen phi dang ky 1 ph an hang menphysic va phi tanning</t>
  </si>
  <si>
    <t>FT26149630471422</t>
  </si>
  <si>
    <t>CHU TRONG HIEU</t>
  </si>
  <si>
    <t>CHU TRONG HIEU chuyen dang ky thanh vien wnbf</t>
  </si>
  <si>
    <t>FT26149040572291</t>
  </si>
  <si>
    <t>CHU TRONG HIEU chuyen</t>
  </si>
  <si>
    <t>FT26149632654103</t>
  </si>
  <si>
    <t>LE VAN HUAN</t>
  </si>
  <si>
    <t>LE VAN HUAN chuyen</t>
  </si>
  <si>
    <t>FT26149035004327</t>
  </si>
  <si>
    <t>ZALOPAY Sushi Hokkaido Sachi Saigon Centre</t>
  </si>
  <si>
    <t>BAN VIET (BV BANK)</t>
  </si>
  <si>
    <t>FT26149479713000</t>
  </si>
  <si>
    <t>Tael Josue Shivani Meirone</t>
  </si>
  <si>
    <t>FT26149355074354</t>
  </si>
  <si>
    <t>LAI THE HA</t>
  </si>
  <si>
    <t>FT26149209637311</t>
  </si>
  <si>
    <t>FT26150435988018</t>
  </si>
  <si>
    <t>PHAM VAN LINH Chuyen tien</t>
  </si>
  <si>
    <t>FT26150009310055</t>
  </si>
  <si>
    <t>PHAM VAN LINH Chuyen tien le phi 2 hang muc, tanning</t>
  </si>
  <si>
    <t>FT26150468989718</t>
  </si>
  <si>
    <t>VU NGOC DUONG</t>
  </si>
  <si>
    <t>member Ha Dat Hung 21072003</t>
  </si>
  <si>
    <t>FT26150068525010</t>
  </si>
  <si>
    <t>MBVCB.14450085767.6150BFT VG2IIU8YS. HOANG NGOC HUY chuyen tien.CT tu 10 12556376 HOANG NGOC HUY toi 909609 69096 CT TNHH WNBV VIET NAM tai TEC HCOMBANK</t>
  </si>
  <si>
    <t>FT26150807135331</t>
  </si>
  <si>
    <t>MBVCB.14450324906.6150BFT VG2IIW3D4. HOANG NGOC HUY chuyen tien le phi 2 hang, tanning.CT tu 1012556376 HOA NG NGOC HUY toi 90960969096 CT TNHH WNBV VIET NAM tai TECHCOMBANK</t>
  </si>
  <si>
    <t>FT26150486366725</t>
  </si>
  <si>
    <t>TRAN VAN HIEP chuyen tien</t>
  </si>
  <si>
    <t>FT26150200049040</t>
  </si>
  <si>
    <t>Tra lai so du tren tai khoan - thang 05/2026</t>
  </si>
  <si>
    <t>909690969096-20260531</t>
  </si>
  <si>
    <t>CONG TY TNHH TMDV HOANG LAM I</t>
  </si>
  <si>
    <t>DAU TU VA PHAT TRIEN VN ( BIDV)</t>
  </si>
  <si>
    <t>FT26152396850763</t>
  </si>
  <si>
    <t>Phan hang 12 tanning</t>
  </si>
  <si>
    <t>FT26152699055596</t>
  </si>
  <si>
    <t>PHAM XUAN CHIEN chuyen tien</t>
  </si>
  <si>
    <t>FT26152400105906</t>
  </si>
  <si>
    <t>FT26152750212409</t>
  </si>
  <si>
    <t>NGUYEN THI THANH HUONG</t>
  </si>
  <si>
    <t>TIEN PHONG (TPBANK)</t>
  </si>
  <si>
    <t>Cong ty TNHH WNBF Vietnam thanh toan phi MC</t>
  </si>
  <si>
    <t>FT26152299095431</t>
  </si>
  <si>
    <t>BUI VAN HUY sinh nam 1995 sdt 03624 39573</t>
  </si>
  <si>
    <t>FT26152666465721</t>
  </si>
  <si>
    <t>FT26152371845550</t>
  </si>
  <si>
    <t>NGUYEN DE NHI chuyen tien</t>
  </si>
  <si>
    <t>FT26152402428980</t>
  </si>
  <si>
    <t>FT26152004801956</t>
  </si>
  <si>
    <t>Tael Jose Shivani Meirone</t>
  </si>
  <si>
    <t>FT26152460074445</t>
  </si>
  <si>
    <t>FT26152507829803</t>
  </si>
  <si>
    <t>HOANG VAN THAI</t>
  </si>
  <si>
    <t>HOANG VAN THAI chuyen tien phi than h vien WNBF VIETNAM</t>
  </si>
  <si>
    <t>FT26152188742806</t>
  </si>
  <si>
    <t>HOANG VAN THAI phi thi men onpen, p hi tanning.</t>
  </si>
  <si>
    <t>FT26152770040333</t>
  </si>
  <si>
    <t>NGO ANH DUNG chuyen khoan</t>
  </si>
  <si>
    <t>FT26153603426665</t>
  </si>
  <si>
    <t>CTCP TAP DOAN GOLDEN GATE</t>
  </si>
  <si>
    <t>CONG THUONG VN (VIETINBANK)</t>
  </si>
  <si>
    <t>Cong ty TNHH WNBV Vietnam</t>
  </si>
  <si>
    <t>FT26153041190594</t>
  </si>
  <si>
    <t>BUI VAN HUY chuyen tien</t>
  </si>
  <si>
    <t>FT26153208860961</t>
  </si>
  <si>
    <t>NGUYEN DUY DUC chuyen tien</t>
  </si>
  <si>
    <t>FT26157228070755</t>
  </si>
  <si>
    <t>FT26162759676269</t>
  </si>
  <si>
    <t>PHAM VAN DO</t>
  </si>
  <si>
    <t>PHAM VAN DO chuyen</t>
  </si>
  <si>
    <t>FT26164787201337</t>
  </si>
  <si>
    <t>DOAN TRONG SANG</t>
  </si>
  <si>
    <t>FT26164098610401</t>
  </si>
  <si>
    <t>LAI THE HA chuyen tien</t>
  </si>
  <si>
    <t>FT26167709543195</t>
  </si>
  <si>
    <t>CTCP TAM NHIN QUOC TE ALADDIN</t>
  </si>
  <si>
    <t>VIET NAM THINH VUONG (VPBANK)</t>
  </si>
  <si>
    <t>Cty TNHH WNBV Vietnam</t>
  </si>
  <si>
    <t>FT26168584005295</t>
  </si>
  <si>
    <t>NGUYEN DUY DUC</t>
  </si>
  <si>
    <t>Hoan phi thi sinh nop thua 11-6</t>
  </si>
  <si>
    <t>FT26171854445375</t>
  </si>
  <si>
    <t>NGUYEN NGOC NHAT</t>
  </si>
  <si>
    <t>NGUYEN NGOC NHAT chuyen</t>
  </si>
  <si>
    <t>FT26174038329503</t>
  </si>
  <si>
    <t>FT26180124864117</t>
  </si>
  <si>
    <t>Tra lai so du tren tai khoan - thang 06/2026</t>
  </si>
  <si>
    <t>909690969096-20260630</t>
  </si>
  <si>
    <t>STT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</si>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</sst>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theme="1"/>
      <name val="Times New Rom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3" fontId="0" fillId="0" borderId="0" xfId="0" applyNumberFormat="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A7A6F-F03D-440C-9976-AA75E1BE20F9}">
  <dimension ref="A1:K125"/>
  <sheetViews>
    <sheetView tabSelected="1" topLeftCell="A53" workbookViewId="0">
      <selection activeCell="H79" sqref="H79"/>
    </sheetView>
  </sheetViews>
  <sheetFormatPr defaultRowHeight="12.75" x14ac:dyDescent="0.2"/>
  <cols>
    <col min="2" max="2" width="14.83203125" bestFit="1" customWidth="1"/>
    <col min="3" max="3" width="23" bestFit="1" customWidth="1"/>
    <col min="4" max="4" width="32.5" bestFit="1" customWidth="1"/>
    <col min="5" max="5" width="57.1640625" bestFit="1" customWidth="1"/>
    <col min="6" max="6" width="22.33203125" bestFit="1" customWidth="1"/>
    <col min="7" max="7" width="10.1640625" bestFit="1" customWidth="1"/>
    <col min="8" max="8" width="11.1640625" bestFit="1" customWidth="1"/>
    <col min="9" max="9" width="12.5" bestFit="1" customWidth="1"/>
  </cols>
  <sheetData>
    <row r="1" spans="1:11" x14ac:dyDescent="0.2">
      <c r="I1" s="3">
        <v>15059267</v>
      </c>
    </row>
    <row r="2" spans="1:11" x14ac:dyDescent="0.2">
      <c r="A2" t="s">
        <v>281</v>
      </c>
      <c r="B2" t="s">
        <v>0</v>
      </c>
      <c r="C2" t="s">
        <v>1</v>
      </c>
      <c r="D2" t="s">
        <v>2</v>
      </c>
      <c r="E2" t="s">
        <v>282</v>
      </c>
      <c r="F2" t="s">
        <v>3</v>
      </c>
      <c r="G2" t="s">
        <v>4</v>
      </c>
      <c r="H2" t="s">
        <v>5</v>
      </c>
      <c r="I2" t="s">
        <v>6</v>
      </c>
    </row>
    <row r="3" spans="1:11" x14ac:dyDescent="0.2">
      <c r="A3">
        <v>1</v>
      </c>
      <c r="B3" s="1">
        <v>46115</v>
      </c>
      <c r="C3" t="s">
        <v>7</v>
      </c>
      <c r="D3" t="s">
        <v>8</v>
      </c>
      <c r="E3" t="s">
        <v>9</v>
      </c>
      <c r="F3" t="s">
        <v>10</v>
      </c>
      <c r="G3" s="2">
        <v>8640000</v>
      </c>
      <c r="I3" s="2">
        <f>I1+H3-G3</f>
        <v>6419267</v>
      </c>
      <c r="K3" s="2" t="str">
        <f>IF(G3&gt;0,"BN","BC")</f>
        <v>BN</v>
      </c>
    </row>
    <row r="4" spans="1:11" x14ac:dyDescent="0.2">
      <c r="A4">
        <v>2</v>
      </c>
      <c r="B4" s="1">
        <v>46135</v>
      </c>
      <c r="C4" t="s">
        <v>11</v>
      </c>
      <c r="D4" t="s">
        <v>12</v>
      </c>
      <c r="E4" t="s">
        <v>13</v>
      </c>
      <c r="F4" t="s">
        <v>14</v>
      </c>
      <c r="H4" s="2">
        <v>5000000</v>
      </c>
      <c r="I4" s="2">
        <f>I3+H4-G4</f>
        <v>11419267</v>
      </c>
      <c r="K4" s="2" t="str">
        <f t="shared" ref="K4:K67" si="0">IF(G4&gt;0,"BN","BC")</f>
        <v>BC</v>
      </c>
    </row>
    <row r="5" spans="1:11" x14ac:dyDescent="0.2">
      <c r="A5">
        <v>3</v>
      </c>
      <c r="B5" s="1">
        <v>46135</v>
      </c>
      <c r="C5" t="s">
        <v>15</v>
      </c>
      <c r="D5" t="s">
        <v>12</v>
      </c>
      <c r="E5" t="s">
        <v>16</v>
      </c>
      <c r="F5" t="s">
        <v>17</v>
      </c>
      <c r="G5" s="2">
        <v>10560000</v>
      </c>
      <c r="I5" s="2">
        <f t="shared" ref="I5:I68" si="1">I4+H5-G5</f>
        <v>859267</v>
      </c>
      <c r="K5" s="2" t="str">
        <f t="shared" si="0"/>
        <v>BN</v>
      </c>
    </row>
    <row r="6" spans="1:11" x14ac:dyDescent="0.2">
      <c r="A6">
        <v>4</v>
      </c>
      <c r="B6" s="1">
        <v>46141</v>
      </c>
      <c r="E6" t="s">
        <v>18</v>
      </c>
      <c r="F6" t="s">
        <v>19</v>
      </c>
      <c r="H6">
        <v>453</v>
      </c>
      <c r="I6" s="2">
        <f t="shared" si="1"/>
        <v>859720</v>
      </c>
      <c r="K6" s="2" t="str">
        <f t="shared" si="0"/>
        <v>BC</v>
      </c>
    </row>
    <row r="7" spans="1:11" x14ac:dyDescent="0.2">
      <c r="A7">
        <v>5</v>
      </c>
      <c r="B7" s="1">
        <v>46157</v>
      </c>
      <c r="C7" t="s">
        <v>20</v>
      </c>
      <c r="E7" t="s">
        <v>21</v>
      </c>
      <c r="F7" t="s">
        <v>22</v>
      </c>
      <c r="H7" s="2">
        <v>2700000</v>
      </c>
      <c r="I7" s="2">
        <f t="shared" si="1"/>
        <v>3559720</v>
      </c>
      <c r="K7" s="2" t="str">
        <f t="shared" si="0"/>
        <v>BC</v>
      </c>
    </row>
    <row r="8" spans="1:11" x14ac:dyDescent="0.2">
      <c r="A8">
        <v>6</v>
      </c>
      <c r="B8" s="1">
        <v>46157</v>
      </c>
      <c r="C8" t="s">
        <v>23</v>
      </c>
      <c r="E8" t="s">
        <v>24</v>
      </c>
      <c r="F8" t="s">
        <v>25</v>
      </c>
      <c r="H8" s="2">
        <v>2700000</v>
      </c>
      <c r="I8" s="2">
        <f t="shared" si="1"/>
        <v>6259720</v>
      </c>
      <c r="K8" s="2" t="str">
        <f t="shared" si="0"/>
        <v>BC</v>
      </c>
    </row>
    <row r="9" spans="1:11" x14ac:dyDescent="0.2">
      <c r="A9">
        <v>7</v>
      </c>
      <c r="B9" s="1">
        <v>46157</v>
      </c>
      <c r="C9" t="s">
        <v>20</v>
      </c>
      <c r="E9" t="s">
        <v>26</v>
      </c>
      <c r="F9" t="s">
        <v>27</v>
      </c>
      <c r="H9" s="2">
        <v>5200000</v>
      </c>
      <c r="I9" s="2">
        <f t="shared" si="1"/>
        <v>11459720</v>
      </c>
      <c r="K9" s="2" t="str">
        <f t="shared" si="0"/>
        <v>BC</v>
      </c>
    </row>
    <row r="10" spans="1:11" x14ac:dyDescent="0.2">
      <c r="A10">
        <v>8</v>
      </c>
      <c r="B10" s="1">
        <v>46157</v>
      </c>
      <c r="C10" t="s">
        <v>28</v>
      </c>
      <c r="E10" t="s">
        <v>29</v>
      </c>
      <c r="F10" t="s">
        <v>30</v>
      </c>
      <c r="H10" s="2">
        <v>2700000</v>
      </c>
      <c r="I10" s="2">
        <f t="shared" si="1"/>
        <v>14159720</v>
      </c>
      <c r="K10" s="2" t="str">
        <f t="shared" si="0"/>
        <v>BC</v>
      </c>
    </row>
    <row r="11" spans="1:11" x14ac:dyDescent="0.2">
      <c r="A11">
        <v>9</v>
      </c>
      <c r="B11" s="1">
        <v>46157</v>
      </c>
      <c r="C11" t="s">
        <v>31</v>
      </c>
      <c r="E11" t="s">
        <v>32</v>
      </c>
      <c r="F11" t="s">
        <v>33</v>
      </c>
      <c r="H11" s="2">
        <v>2700000</v>
      </c>
      <c r="I11" s="2">
        <f t="shared" si="1"/>
        <v>16859720</v>
      </c>
      <c r="K11" s="2" t="str">
        <f t="shared" si="0"/>
        <v>BC</v>
      </c>
    </row>
    <row r="12" spans="1:11" x14ac:dyDescent="0.2">
      <c r="A12">
        <v>10</v>
      </c>
      <c r="B12" s="1">
        <v>46157</v>
      </c>
      <c r="C12" t="s">
        <v>34</v>
      </c>
      <c r="E12" t="s">
        <v>35</v>
      </c>
      <c r="F12" t="s">
        <v>36</v>
      </c>
      <c r="H12" s="2">
        <v>2700000</v>
      </c>
      <c r="I12" s="2">
        <f t="shared" si="1"/>
        <v>19559720</v>
      </c>
      <c r="K12" s="2" t="str">
        <f t="shared" si="0"/>
        <v>BC</v>
      </c>
    </row>
    <row r="13" spans="1:11" x14ac:dyDescent="0.2">
      <c r="A13">
        <v>11</v>
      </c>
      <c r="B13" s="1">
        <v>46157</v>
      </c>
      <c r="C13" t="s">
        <v>37</v>
      </c>
      <c r="D13" t="s">
        <v>12</v>
      </c>
      <c r="E13" t="s">
        <v>38</v>
      </c>
      <c r="F13" t="s">
        <v>39</v>
      </c>
      <c r="H13" s="2">
        <v>2700000</v>
      </c>
      <c r="I13" s="2">
        <f t="shared" si="1"/>
        <v>22259720</v>
      </c>
      <c r="K13" s="2" t="str">
        <f t="shared" si="0"/>
        <v>BC</v>
      </c>
    </row>
    <row r="14" spans="1:11" x14ac:dyDescent="0.2">
      <c r="A14">
        <v>12</v>
      </c>
      <c r="B14" s="1">
        <v>46157</v>
      </c>
      <c r="C14" t="s">
        <v>34</v>
      </c>
      <c r="E14" t="s">
        <v>40</v>
      </c>
      <c r="F14" t="s">
        <v>41</v>
      </c>
      <c r="H14" s="2">
        <v>5400000</v>
      </c>
      <c r="I14" s="2">
        <f t="shared" si="1"/>
        <v>27659720</v>
      </c>
      <c r="K14" s="2" t="str">
        <f t="shared" si="0"/>
        <v>BC</v>
      </c>
    </row>
    <row r="15" spans="1:11" x14ac:dyDescent="0.2">
      <c r="A15">
        <v>13</v>
      </c>
      <c r="B15" s="1">
        <v>46157</v>
      </c>
      <c r="C15" t="s">
        <v>23</v>
      </c>
      <c r="E15" t="s">
        <v>42</v>
      </c>
      <c r="F15" t="s">
        <v>43</v>
      </c>
      <c r="H15" s="2">
        <v>2700000</v>
      </c>
      <c r="I15" s="2">
        <f t="shared" si="1"/>
        <v>30359720</v>
      </c>
      <c r="K15" s="2" t="str">
        <f t="shared" si="0"/>
        <v>BC</v>
      </c>
    </row>
    <row r="16" spans="1:11" x14ac:dyDescent="0.2">
      <c r="A16">
        <v>14</v>
      </c>
      <c r="B16" s="1">
        <v>46157</v>
      </c>
      <c r="C16" t="s">
        <v>44</v>
      </c>
      <c r="D16" t="s">
        <v>12</v>
      </c>
      <c r="E16" t="s">
        <v>45</v>
      </c>
      <c r="F16" t="s">
        <v>46</v>
      </c>
      <c r="H16" s="2">
        <v>2700000</v>
      </c>
      <c r="I16" s="2">
        <f t="shared" si="1"/>
        <v>33059720</v>
      </c>
      <c r="K16" s="2" t="str">
        <f t="shared" si="0"/>
        <v>BC</v>
      </c>
    </row>
    <row r="17" spans="1:11" x14ac:dyDescent="0.2">
      <c r="A17">
        <v>15</v>
      </c>
      <c r="B17" s="1">
        <v>46157</v>
      </c>
      <c r="C17" t="s">
        <v>23</v>
      </c>
      <c r="E17" t="s">
        <v>24</v>
      </c>
      <c r="F17" t="s">
        <v>47</v>
      </c>
      <c r="H17" s="2">
        <v>7000000</v>
      </c>
      <c r="I17" s="2">
        <f t="shared" si="1"/>
        <v>40059720</v>
      </c>
      <c r="K17" s="2" t="str">
        <f t="shared" si="0"/>
        <v>BC</v>
      </c>
    </row>
    <row r="18" spans="1:11" x14ac:dyDescent="0.2">
      <c r="A18">
        <v>16</v>
      </c>
      <c r="B18" s="1">
        <v>46157</v>
      </c>
      <c r="C18" t="s">
        <v>23</v>
      </c>
      <c r="E18" t="s">
        <v>48</v>
      </c>
      <c r="F18" t="s">
        <v>49</v>
      </c>
      <c r="H18" s="2">
        <v>2700000</v>
      </c>
      <c r="I18" s="2">
        <f t="shared" si="1"/>
        <v>42759720</v>
      </c>
      <c r="K18" s="2" t="str">
        <f t="shared" si="0"/>
        <v>BC</v>
      </c>
    </row>
    <row r="19" spans="1:11" x14ac:dyDescent="0.2">
      <c r="A19">
        <v>17</v>
      </c>
      <c r="B19" s="1">
        <v>46157</v>
      </c>
      <c r="C19" t="s">
        <v>23</v>
      </c>
      <c r="E19" t="s">
        <v>50</v>
      </c>
      <c r="F19" t="s">
        <v>51</v>
      </c>
      <c r="H19" s="2">
        <v>5000000</v>
      </c>
      <c r="I19" s="2">
        <f t="shared" si="1"/>
        <v>47759720</v>
      </c>
      <c r="K19" s="2" t="str">
        <f t="shared" si="0"/>
        <v>BC</v>
      </c>
    </row>
    <row r="20" spans="1:11" x14ac:dyDescent="0.2">
      <c r="A20">
        <v>18</v>
      </c>
      <c r="B20" s="1">
        <v>46157</v>
      </c>
      <c r="C20" t="s">
        <v>52</v>
      </c>
      <c r="D20" t="s">
        <v>53</v>
      </c>
      <c r="E20" t="s">
        <v>54</v>
      </c>
      <c r="F20" t="s">
        <v>55</v>
      </c>
      <c r="G20" s="2">
        <v>1600000</v>
      </c>
      <c r="I20" s="2">
        <f t="shared" si="1"/>
        <v>46159720</v>
      </c>
      <c r="K20" s="2" t="str">
        <f t="shared" si="0"/>
        <v>BN</v>
      </c>
    </row>
    <row r="21" spans="1:11" x14ac:dyDescent="0.2">
      <c r="A21">
        <v>19</v>
      </c>
      <c r="B21" s="1">
        <v>46157</v>
      </c>
      <c r="C21" t="s">
        <v>28</v>
      </c>
      <c r="E21" t="s">
        <v>56</v>
      </c>
      <c r="F21" t="s">
        <v>57</v>
      </c>
      <c r="H21" s="2">
        <v>2700000</v>
      </c>
      <c r="I21" s="2">
        <f t="shared" si="1"/>
        <v>48859720</v>
      </c>
      <c r="K21" s="2" t="str">
        <f t="shared" si="0"/>
        <v>BC</v>
      </c>
    </row>
    <row r="22" spans="1:11" x14ac:dyDescent="0.2">
      <c r="A22">
        <v>20</v>
      </c>
      <c r="B22" s="1">
        <v>46157</v>
      </c>
      <c r="C22" t="s">
        <v>28</v>
      </c>
      <c r="E22" t="s">
        <v>58</v>
      </c>
      <c r="F22" t="s">
        <v>59</v>
      </c>
      <c r="H22" s="2">
        <v>5400000</v>
      </c>
      <c r="I22" s="2">
        <f t="shared" si="1"/>
        <v>54259720</v>
      </c>
      <c r="K22" s="2" t="str">
        <f t="shared" si="0"/>
        <v>BC</v>
      </c>
    </row>
    <row r="23" spans="1:11" x14ac:dyDescent="0.2">
      <c r="A23">
        <v>21</v>
      </c>
      <c r="B23" s="1">
        <v>46157</v>
      </c>
      <c r="C23" t="s">
        <v>34</v>
      </c>
      <c r="E23" t="s">
        <v>60</v>
      </c>
      <c r="F23" t="s">
        <v>61</v>
      </c>
      <c r="H23" s="2">
        <v>2700000</v>
      </c>
      <c r="I23" s="2">
        <f t="shared" si="1"/>
        <v>56959720</v>
      </c>
      <c r="K23" s="2" t="str">
        <f t="shared" si="0"/>
        <v>BC</v>
      </c>
    </row>
    <row r="24" spans="1:11" x14ac:dyDescent="0.2">
      <c r="A24">
        <v>22</v>
      </c>
      <c r="B24" s="1">
        <v>46157</v>
      </c>
      <c r="C24" t="s">
        <v>20</v>
      </c>
      <c r="E24" t="s">
        <v>62</v>
      </c>
      <c r="F24" t="s">
        <v>63</v>
      </c>
      <c r="H24" s="2">
        <v>2700000</v>
      </c>
      <c r="I24" s="2">
        <f t="shared" si="1"/>
        <v>59659720</v>
      </c>
      <c r="K24" s="2" t="str">
        <f t="shared" si="0"/>
        <v>BC</v>
      </c>
    </row>
    <row r="25" spans="1:11" x14ac:dyDescent="0.2">
      <c r="A25">
        <v>23</v>
      </c>
      <c r="B25" s="1">
        <v>46157</v>
      </c>
      <c r="C25" t="s">
        <v>34</v>
      </c>
      <c r="E25" t="s">
        <v>64</v>
      </c>
      <c r="F25" t="s">
        <v>65</v>
      </c>
      <c r="H25" s="2">
        <v>14200000</v>
      </c>
      <c r="I25" s="2">
        <f t="shared" si="1"/>
        <v>73859720</v>
      </c>
      <c r="K25" s="2" t="str">
        <f t="shared" si="0"/>
        <v>BC</v>
      </c>
    </row>
    <row r="26" spans="1:11" x14ac:dyDescent="0.2">
      <c r="A26">
        <v>24</v>
      </c>
      <c r="B26" s="1">
        <v>46157</v>
      </c>
      <c r="C26" t="s">
        <v>66</v>
      </c>
      <c r="D26" t="s">
        <v>67</v>
      </c>
      <c r="E26" t="s">
        <v>68</v>
      </c>
      <c r="F26" t="s">
        <v>69</v>
      </c>
      <c r="G26" s="2">
        <v>1600000</v>
      </c>
      <c r="I26" s="2">
        <f t="shared" si="1"/>
        <v>72259720</v>
      </c>
      <c r="K26" s="2" t="str">
        <f t="shared" si="0"/>
        <v>BN</v>
      </c>
    </row>
    <row r="27" spans="1:11" x14ac:dyDescent="0.2">
      <c r="A27">
        <v>25</v>
      </c>
      <c r="B27" s="1">
        <v>46157</v>
      </c>
      <c r="C27" t="s">
        <v>20</v>
      </c>
      <c r="E27" t="s">
        <v>62</v>
      </c>
      <c r="F27" t="s">
        <v>70</v>
      </c>
      <c r="H27" s="2">
        <v>5400000</v>
      </c>
      <c r="I27" s="2">
        <f t="shared" si="1"/>
        <v>77659720</v>
      </c>
      <c r="K27" s="2" t="str">
        <f t="shared" si="0"/>
        <v>BC</v>
      </c>
    </row>
    <row r="28" spans="1:11" x14ac:dyDescent="0.2">
      <c r="A28">
        <v>26</v>
      </c>
      <c r="B28" s="1">
        <v>46157</v>
      </c>
      <c r="C28" t="s">
        <v>31</v>
      </c>
      <c r="E28" t="s">
        <v>32</v>
      </c>
      <c r="F28" t="s">
        <v>71</v>
      </c>
      <c r="H28" s="2">
        <v>5200000</v>
      </c>
      <c r="I28" s="2">
        <f t="shared" si="1"/>
        <v>82859720</v>
      </c>
      <c r="K28" s="2" t="str">
        <f t="shared" si="0"/>
        <v>BC</v>
      </c>
    </row>
    <row r="29" spans="1:11" x14ac:dyDescent="0.2">
      <c r="A29">
        <v>27</v>
      </c>
      <c r="B29" s="1">
        <v>46157</v>
      </c>
      <c r="C29" t="s">
        <v>72</v>
      </c>
      <c r="E29" t="s">
        <v>73</v>
      </c>
      <c r="F29" t="s">
        <v>74</v>
      </c>
      <c r="H29" s="2">
        <v>2700000</v>
      </c>
      <c r="I29" s="2">
        <f t="shared" si="1"/>
        <v>85559720</v>
      </c>
      <c r="K29" s="2" t="str">
        <f t="shared" si="0"/>
        <v>BC</v>
      </c>
    </row>
    <row r="30" spans="1:11" x14ac:dyDescent="0.2">
      <c r="A30">
        <v>28</v>
      </c>
      <c r="B30" s="1">
        <v>46157</v>
      </c>
      <c r="C30" t="s">
        <v>20</v>
      </c>
      <c r="E30" t="s">
        <v>75</v>
      </c>
      <c r="F30" t="s">
        <v>76</v>
      </c>
      <c r="H30" s="2">
        <v>2700000</v>
      </c>
      <c r="I30" s="2">
        <f t="shared" si="1"/>
        <v>88259720</v>
      </c>
      <c r="K30" s="2" t="str">
        <f t="shared" si="0"/>
        <v>BC</v>
      </c>
    </row>
    <row r="31" spans="1:11" x14ac:dyDescent="0.2">
      <c r="A31">
        <v>29</v>
      </c>
      <c r="B31" s="1">
        <v>46158</v>
      </c>
      <c r="C31" t="s">
        <v>77</v>
      </c>
      <c r="E31" t="s">
        <v>78</v>
      </c>
      <c r="F31" t="s">
        <v>79</v>
      </c>
      <c r="H31" s="2">
        <v>2700000</v>
      </c>
      <c r="I31" s="2">
        <f t="shared" si="1"/>
        <v>90959720</v>
      </c>
      <c r="K31" s="2" t="str">
        <f t="shared" si="0"/>
        <v>BC</v>
      </c>
    </row>
    <row r="32" spans="1:11" x14ac:dyDescent="0.2">
      <c r="A32">
        <v>30</v>
      </c>
      <c r="B32" s="1">
        <v>46158</v>
      </c>
      <c r="C32" t="s">
        <v>77</v>
      </c>
      <c r="E32" t="s">
        <v>80</v>
      </c>
      <c r="F32" t="s">
        <v>81</v>
      </c>
      <c r="H32" s="2">
        <v>7400000</v>
      </c>
      <c r="I32" s="2">
        <f t="shared" si="1"/>
        <v>98359720</v>
      </c>
      <c r="K32" s="2" t="str">
        <f t="shared" si="0"/>
        <v>BC</v>
      </c>
    </row>
    <row r="33" spans="1:11" x14ac:dyDescent="0.2">
      <c r="A33">
        <v>31</v>
      </c>
      <c r="B33" s="1">
        <v>46158</v>
      </c>
      <c r="C33" t="s">
        <v>28</v>
      </c>
      <c r="E33" t="s">
        <v>82</v>
      </c>
      <c r="F33" t="s">
        <v>83</v>
      </c>
      <c r="H33" s="2">
        <v>2700000</v>
      </c>
      <c r="I33" s="2">
        <f t="shared" si="1"/>
        <v>101059720</v>
      </c>
      <c r="K33" s="2" t="str">
        <f t="shared" si="0"/>
        <v>BC</v>
      </c>
    </row>
    <row r="34" spans="1:11" x14ac:dyDescent="0.2">
      <c r="A34">
        <v>32</v>
      </c>
      <c r="B34" s="1">
        <v>46158</v>
      </c>
      <c r="C34" t="s">
        <v>28</v>
      </c>
      <c r="E34" t="s">
        <v>84</v>
      </c>
      <c r="F34" t="s">
        <v>85</v>
      </c>
      <c r="H34" s="2">
        <v>3400000</v>
      </c>
      <c r="I34" s="2">
        <f t="shared" si="1"/>
        <v>104459720</v>
      </c>
      <c r="K34" s="2" t="str">
        <f t="shared" si="0"/>
        <v>BC</v>
      </c>
    </row>
    <row r="35" spans="1:11" x14ac:dyDescent="0.2">
      <c r="A35">
        <v>33</v>
      </c>
      <c r="B35" s="1">
        <v>46160</v>
      </c>
      <c r="C35" t="s">
        <v>86</v>
      </c>
      <c r="D35" t="s">
        <v>12</v>
      </c>
      <c r="E35" t="s">
        <v>87</v>
      </c>
      <c r="F35" t="s">
        <v>88</v>
      </c>
      <c r="H35" s="2">
        <v>2700000</v>
      </c>
      <c r="I35" s="2">
        <f t="shared" si="1"/>
        <v>107159720</v>
      </c>
      <c r="K35" s="2" t="str">
        <f t="shared" si="0"/>
        <v>BC</v>
      </c>
    </row>
    <row r="36" spans="1:11" x14ac:dyDescent="0.2">
      <c r="A36">
        <v>34</v>
      </c>
      <c r="B36" s="1">
        <v>46160</v>
      </c>
      <c r="C36" t="s">
        <v>89</v>
      </c>
      <c r="D36" t="s">
        <v>12</v>
      </c>
      <c r="E36" t="s">
        <v>90</v>
      </c>
      <c r="F36" t="s">
        <v>91</v>
      </c>
      <c r="H36" s="2">
        <v>2700000</v>
      </c>
      <c r="I36" s="2">
        <f t="shared" si="1"/>
        <v>109859720</v>
      </c>
      <c r="K36" s="2" t="str">
        <f t="shared" si="0"/>
        <v>BC</v>
      </c>
    </row>
    <row r="37" spans="1:11" x14ac:dyDescent="0.2">
      <c r="A37">
        <v>35</v>
      </c>
      <c r="B37" s="1">
        <v>46160</v>
      </c>
      <c r="C37" t="s">
        <v>20</v>
      </c>
      <c r="E37" t="s">
        <v>92</v>
      </c>
      <c r="F37" t="s">
        <v>93</v>
      </c>
      <c r="H37" s="2">
        <v>2700000</v>
      </c>
      <c r="I37" s="2">
        <f t="shared" si="1"/>
        <v>112559720</v>
      </c>
      <c r="K37" s="2" t="str">
        <f t="shared" si="0"/>
        <v>BC</v>
      </c>
    </row>
    <row r="38" spans="1:11" x14ac:dyDescent="0.2">
      <c r="A38">
        <v>36</v>
      </c>
      <c r="B38" s="1">
        <v>46160</v>
      </c>
      <c r="C38" t="s">
        <v>20</v>
      </c>
      <c r="E38" t="s">
        <v>94</v>
      </c>
      <c r="F38" t="s">
        <v>95</v>
      </c>
      <c r="H38" s="2">
        <v>5200000</v>
      </c>
      <c r="I38" s="2">
        <f t="shared" si="1"/>
        <v>117759720</v>
      </c>
      <c r="K38" s="2" t="str">
        <f t="shared" si="0"/>
        <v>BC</v>
      </c>
    </row>
    <row r="39" spans="1:11" x14ac:dyDescent="0.2">
      <c r="A39">
        <v>37</v>
      </c>
      <c r="B39" s="1">
        <v>46160</v>
      </c>
      <c r="C39" t="s">
        <v>96</v>
      </c>
      <c r="E39" t="s">
        <v>97</v>
      </c>
      <c r="F39" t="s">
        <v>98</v>
      </c>
      <c r="H39" s="2">
        <v>2700000</v>
      </c>
      <c r="I39" s="2">
        <f t="shared" si="1"/>
        <v>120459720</v>
      </c>
      <c r="K39" s="2" t="str">
        <f t="shared" si="0"/>
        <v>BC</v>
      </c>
    </row>
    <row r="40" spans="1:11" x14ac:dyDescent="0.2">
      <c r="A40">
        <v>38</v>
      </c>
      <c r="B40" s="1">
        <v>46160</v>
      </c>
      <c r="C40" t="s">
        <v>96</v>
      </c>
      <c r="E40" t="s">
        <v>99</v>
      </c>
      <c r="F40" t="s">
        <v>100</v>
      </c>
      <c r="H40" s="2">
        <v>2200000</v>
      </c>
      <c r="I40" s="2">
        <f t="shared" si="1"/>
        <v>122659720</v>
      </c>
      <c r="K40" s="2" t="str">
        <f t="shared" si="0"/>
        <v>BC</v>
      </c>
    </row>
    <row r="41" spans="1:11" x14ac:dyDescent="0.2">
      <c r="A41">
        <v>39</v>
      </c>
      <c r="B41" s="1">
        <v>46160</v>
      </c>
      <c r="C41" t="s">
        <v>28</v>
      </c>
      <c r="E41" t="s">
        <v>101</v>
      </c>
      <c r="F41" t="s">
        <v>102</v>
      </c>
      <c r="H41" s="2">
        <v>3400000</v>
      </c>
      <c r="I41" s="2">
        <f t="shared" si="1"/>
        <v>126059720</v>
      </c>
      <c r="K41" s="2" t="str">
        <f t="shared" si="0"/>
        <v>BC</v>
      </c>
    </row>
    <row r="42" spans="1:11" x14ac:dyDescent="0.2">
      <c r="A42">
        <v>40</v>
      </c>
      <c r="B42" s="1">
        <v>46160</v>
      </c>
      <c r="C42" t="s">
        <v>96</v>
      </c>
      <c r="E42" t="s">
        <v>103</v>
      </c>
      <c r="F42" t="s">
        <v>104</v>
      </c>
      <c r="H42" s="2">
        <v>2700000</v>
      </c>
      <c r="I42" s="2">
        <f t="shared" si="1"/>
        <v>128759720</v>
      </c>
      <c r="K42" s="2" t="str">
        <f t="shared" si="0"/>
        <v>BC</v>
      </c>
    </row>
    <row r="43" spans="1:11" x14ac:dyDescent="0.2">
      <c r="A43">
        <v>41</v>
      </c>
      <c r="B43" s="1">
        <v>46160</v>
      </c>
      <c r="C43" t="s">
        <v>89</v>
      </c>
      <c r="D43" t="s">
        <v>12</v>
      </c>
      <c r="E43" t="s">
        <v>105</v>
      </c>
      <c r="F43" t="s">
        <v>106</v>
      </c>
      <c r="H43" s="2">
        <v>5200000</v>
      </c>
      <c r="I43" s="2">
        <f t="shared" si="1"/>
        <v>133959720</v>
      </c>
      <c r="K43" s="2" t="str">
        <f t="shared" si="0"/>
        <v>BC</v>
      </c>
    </row>
    <row r="44" spans="1:11" x14ac:dyDescent="0.2">
      <c r="A44">
        <v>42</v>
      </c>
      <c r="B44" s="1">
        <v>46161</v>
      </c>
      <c r="C44" t="s">
        <v>107</v>
      </c>
      <c r="D44" t="s">
        <v>12</v>
      </c>
      <c r="E44" t="s">
        <v>108</v>
      </c>
      <c r="F44" t="s">
        <v>109</v>
      </c>
      <c r="H44" s="2">
        <v>2700000</v>
      </c>
      <c r="I44" s="2">
        <f t="shared" si="1"/>
        <v>136659720</v>
      </c>
      <c r="K44" s="2" t="str">
        <f t="shared" si="0"/>
        <v>BC</v>
      </c>
    </row>
    <row r="45" spans="1:11" x14ac:dyDescent="0.2">
      <c r="A45">
        <v>43</v>
      </c>
      <c r="B45" s="1">
        <v>46161</v>
      </c>
      <c r="C45" t="s">
        <v>96</v>
      </c>
      <c r="E45" t="s">
        <v>110</v>
      </c>
      <c r="F45" t="s">
        <v>111</v>
      </c>
      <c r="H45" s="2">
        <v>2700000</v>
      </c>
      <c r="I45" s="2">
        <f t="shared" si="1"/>
        <v>139359720</v>
      </c>
      <c r="K45" s="2" t="str">
        <f t="shared" si="0"/>
        <v>BC</v>
      </c>
    </row>
    <row r="46" spans="1:11" x14ac:dyDescent="0.2">
      <c r="A46">
        <v>44</v>
      </c>
      <c r="B46" s="1">
        <v>46161</v>
      </c>
      <c r="C46" t="s">
        <v>96</v>
      </c>
      <c r="E46" t="s">
        <v>112</v>
      </c>
      <c r="F46" t="s">
        <v>113</v>
      </c>
      <c r="H46" s="2">
        <v>5800000</v>
      </c>
      <c r="I46" s="2">
        <f t="shared" si="1"/>
        <v>145159720</v>
      </c>
      <c r="K46" s="2" t="str">
        <f t="shared" si="0"/>
        <v>BC</v>
      </c>
    </row>
    <row r="47" spans="1:11" x14ac:dyDescent="0.2">
      <c r="A47">
        <v>45</v>
      </c>
      <c r="B47" s="1">
        <v>46161</v>
      </c>
      <c r="C47" t="s">
        <v>114</v>
      </c>
      <c r="E47" t="s">
        <v>115</v>
      </c>
      <c r="F47" t="s">
        <v>116</v>
      </c>
      <c r="H47" s="2">
        <v>2700000</v>
      </c>
      <c r="I47" s="2">
        <f t="shared" si="1"/>
        <v>147859720</v>
      </c>
      <c r="K47" s="2" t="str">
        <f t="shared" si="0"/>
        <v>BC</v>
      </c>
    </row>
    <row r="48" spans="1:11" x14ac:dyDescent="0.2">
      <c r="A48">
        <v>46</v>
      </c>
      <c r="B48" s="1">
        <v>46162</v>
      </c>
      <c r="C48" t="s">
        <v>114</v>
      </c>
      <c r="E48" t="s">
        <v>115</v>
      </c>
      <c r="F48" t="s">
        <v>117</v>
      </c>
      <c r="H48" s="2">
        <v>3400000</v>
      </c>
      <c r="I48" s="2">
        <f t="shared" si="1"/>
        <v>151259720</v>
      </c>
      <c r="K48" s="2" t="str">
        <f t="shared" si="0"/>
        <v>BC</v>
      </c>
    </row>
    <row r="49" spans="1:11" x14ac:dyDescent="0.2">
      <c r="A49">
        <v>47</v>
      </c>
      <c r="B49" s="1">
        <v>46163</v>
      </c>
      <c r="C49" t="s">
        <v>96</v>
      </c>
      <c r="E49" t="s">
        <v>118</v>
      </c>
      <c r="F49" t="s">
        <v>119</v>
      </c>
      <c r="H49" s="2">
        <v>2700000</v>
      </c>
      <c r="I49" s="2">
        <f t="shared" si="1"/>
        <v>153959720</v>
      </c>
      <c r="K49" s="2" t="str">
        <f t="shared" si="0"/>
        <v>BC</v>
      </c>
    </row>
    <row r="50" spans="1:11" x14ac:dyDescent="0.2">
      <c r="A50">
        <v>48</v>
      </c>
      <c r="B50" s="1">
        <v>46163</v>
      </c>
      <c r="C50" t="s">
        <v>72</v>
      </c>
      <c r="E50" t="s">
        <v>120</v>
      </c>
      <c r="F50" t="s">
        <v>121</v>
      </c>
      <c r="H50" s="2">
        <v>3400000</v>
      </c>
      <c r="I50" s="2">
        <f t="shared" si="1"/>
        <v>157359720</v>
      </c>
      <c r="K50" s="2" t="str">
        <f t="shared" si="0"/>
        <v>BC</v>
      </c>
    </row>
    <row r="51" spans="1:11" x14ac:dyDescent="0.2">
      <c r="A51">
        <v>49</v>
      </c>
      <c r="B51" s="1">
        <v>46163</v>
      </c>
      <c r="C51" t="s">
        <v>20</v>
      </c>
      <c r="E51" t="s">
        <v>122</v>
      </c>
      <c r="F51" t="s">
        <v>123</v>
      </c>
      <c r="H51" s="2">
        <v>2700000</v>
      </c>
      <c r="I51" s="2">
        <f t="shared" si="1"/>
        <v>160059720</v>
      </c>
      <c r="K51" s="2" t="str">
        <f t="shared" si="0"/>
        <v>BC</v>
      </c>
    </row>
    <row r="52" spans="1:11" x14ac:dyDescent="0.2">
      <c r="A52">
        <v>50</v>
      </c>
      <c r="B52" s="1">
        <v>46163</v>
      </c>
      <c r="C52" t="s">
        <v>20</v>
      </c>
      <c r="E52" t="s">
        <v>122</v>
      </c>
      <c r="F52" t="s">
        <v>124</v>
      </c>
      <c r="H52" s="2">
        <v>5400000</v>
      </c>
      <c r="I52" s="2">
        <f t="shared" si="1"/>
        <v>165459720</v>
      </c>
      <c r="K52" s="2" t="str">
        <f t="shared" si="0"/>
        <v>BC</v>
      </c>
    </row>
    <row r="53" spans="1:11" x14ac:dyDescent="0.2">
      <c r="A53">
        <v>51</v>
      </c>
      <c r="B53" s="1">
        <v>46163</v>
      </c>
      <c r="C53" t="s">
        <v>86</v>
      </c>
      <c r="D53" t="s">
        <v>12</v>
      </c>
      <c r="E53" t="s">
        <v>125</v>
      </c>
      <c r="F53" t="s">
        <v>126</v>
      </c>
      <c r="H53" s="2">
        <v>2200000</v>
      </c>
      <c r="I53" s="2">
        <f t="shared" si="1"/>
        <v>167659720</v>
      </c>
      <c r="K53" s="2" t="str">
        <f t="shared" si="0"/>
        <v>BC</v>
      </c>
    </row>
    <row r="54" spans="1:11" x14ac:dyDescent="0.2">
      <c r="A54">
        <v>52</v>
      </c>
      <c r="B54" s="1">
        <v>46163</v>
      </c>
      <c r="C54" t="s">
        <v>96</v>
      </c>
      <c r="E54" t="s">
        <v>127</v>
      </c>
      <c r="F54" t="s">
        <v>128</v>
      </c>
      <c r="H54" s="2">
        <v>5200000</v>
      </c>
      <c r="I54" s="2">
        <f t="shared" si="1"/>
        <v>172859720</v>
      </c>
      <c r="K54" s="2" t="str">
        <f t="shared" si="0"/>
        <v>BC</v>
      </c>
    </row>
    <row r="55" spans="1:11" x14ac:dyDescent="0.2">
      <c r="A55">
        <v>53</v>
      </c>
      <c r="B55" s="1">
        <v>46164</v>
      </c>
      <c r="C55" t="s">
        <v>129</v>
      </c>
      <c r="D55" t="s">
        <v>12</v>
      </c>
      <c r="E55" t="s">
        <v>130</v>
      </c>
      <c r="F55" t="s">
        <v>131</v>
      </c>
      <c r="G55" s="2">
        <v>21600000</v>
      </c>
      <c r="I55" s="2">
        <f t="shared" si="1"/>
        <v>151259720</v>
      </c>
      <c r="K55" s="2" t="str">
        <f t="shared" si="0"/>
        <v>BN</v>
      </c>
    </row>
    <row r="56" spans="1:11" x14ac:dyDescent="0.2">
      <c r="A56">
        <v>54</v>
      </c>
      <c r="B56" s="1">
        <v>46164</v>
      </c>
      <c r="C56" t="s">
        <v>132</v>
      </c>
      <c r="D56" t="s">
        <v>8</v>
      </c>
      <c r="E56" t="s">
        <v>133</v>
      </c>
      <c r="F56" t="s">
        <v>134</v>
      </c>
      <c r="G56" s="2">
        <v>3349836</v>
      </c>
      <c r="I56" s="2">
        <f t="shared" si="1"/>
        <v>147909884</v>
      </c>
      <c r="K56" s="2" t="str">
        <f t="shared" si="0"/>
        <v>BN</v>
      </c>
    </row>
    <row r="57" spans="1:11" x14ac:dyDescent="0.2">
      <c r="A57">
        <v>55</v>
      </c>
      <c r="B57" s="1">
        <v>46164</v>
      </c>
      <c r="C57" t="s">
        <v>23</v>
      </c>
      <c r="E57" t="s">
        <v>135</v>
      </c>
      <c r="F57" t="s">
        <v>136</v>
      </c>
      <c r="H57" s="2">
        <v>2700000</v>
      </c>
      <c r="I57" s="2">
        <f t="shared" si="1"/>
        <v>150609884</v>
      </c>
      <c r="K57" s="2" t="str">
        <f t="shared" si="0"/>
        <v>BC</v>
      </c>
    </row>
    <row r="58" spans="1:11" x14ac:dyDescent="0.2">
      <c r="A58">
        <v>56</v>
      </c>
      <c r="B58" s="1">
        <v>46164</v>
      </c>
      <c r="C58" t="s">
        <v>23</v>
      </c>
      <c r="E58" t="s">
        <v>137</v>
      </c>
      <c r="F58" t="s">
        <v>138</v>
      </c>
      <c r="H58" s="2">
        <v>2700000</v>
      </c>
      <c r="I58" s="2">
        <f t="shared" si="1"/>
        <v>153309884</v>
      </c>
      <c r="K58" s="2" t="str">
        <f t="shared" si="0"/>
        <v>BC</v>
      </c>
    </row>
    <row r="59" spans="1:11" x14ac:dyDescent="0.2">
      <c r="A59">
        <v>57</v>
      </c>
      <c r="B59" s="1">
        <v>46164</v>
      </c>
      <c r="C59" t="s">
        <v>23</v>
      </c>
      <c r="E59" t="s">
        <v>135</v>
      </c>
      <c r="F59" t="s">
        <v>139</v>
      </c>
      <c r="H59" s="2">
        <v>4000000</v>
      </c>
      <c r="I59" s="2">
        <f t="shared" si="1"/>
        <v>157309884</v>
      </c>
      <c r="K59" s="2" t="str">
        <f t="shared" si="0"/>
        <v>BC</v>
      </c>
    </row>
    <row r="60" spans="1:11" x14ac:dyDescent="0.2">
      <c r="A60">
        <v>58</v>
      </c>
      <c r="B60" s="1">
        <v>46165</v>
      </c>
      <c r="C60" t="s">
        <v>23</v>
      </c>
      <c r="E60" t="s">
        <v>137</v>
      </c>
      <c r="F60" t="s">
        <v>140</v>
      </c>
      <c r="H60" s="2">
        <v>7200000</v>
      </c>
      <c r="I60" s="2">
        <f t="shared" si="1"/>
        <v>164509884</v>
      </c>
      <c r="K60" s="2" t="str">
        <f t="shared" si="0"/>
        <v>BC</v>
      </c>
    </row>
    <row r="61" spans="1:11" x14ac:dyDescent="0.2">
      <c r="A61">
        <v>59</v>
      </c>
      <c r="B61" s="1">
        <v>46165</v>
      </c>
      <c r="C61" t="s">
        <v>141</v>
      </c>
      <c r="E61" t="s">
        <v>142</v>
      </c>
      <c r="F61" t="s">
        <v>143</v>
      </c>
      <c r="H61" s="2">
        <v>2700000</v>
      </c>
      <c r="I61" s="2">
        <f t="shared" si="1"/>
        <v>167209884</v>
      </c>
      <c r="K61" s="2" t="str">
        <f t="shared" si="0"/>
        <v>BC</v>
      </c>
    </row>
    <row r="62" spans="1:11" x14ac:dyDescent="0.2">
      <c r="A62">
        <v>60</v>
      </c>
      <c r="B62" s="1">
        <v>46167</v>
      </c>
      <c r="C62" t="s">
        <v>20</v>
      </c>
      <c r="E62" t="s">
        <v>144</v>
      </c>
      <c r="F62" t="s">
        <v>145</v>
      </c>
      <c r="H62" s="2">
        <v>2700000</v>
      </c>
      <c r="I62" s="2">
        <f t="shared" si="1"/>
        <v>169909884</v>
      </c>
      <c r="K62" s="2" t="str">
        <f t="shared" si="0"/>
        <v>BC</v>
      </c>
    </row>
    <row r="63" spans="1:11" x14ac:dyDescent="0.2">
      <c r="A63">
        <v>61</v>
      </c>
      <c r="B63" s="1">
        <v>46167</v>
      </c>
      <c r="C63" t="s">
        <v>20</v>
      </c>
      <c r="E63" t="s">
        <v>146</v>
      </c>
      <c r="F63" t="s">
        <v>147</v>
      </c>
      <c r="H63" s="2">
        <v>5400000</v>
      </c>
      <c r="I63" s="2">
        <f t="shared" si="1"/>
        <v>175309884</v>
      </c>
      <c r="K63" s="2" t="str">
        <f t="shared" si="0"/>
        <v>BC</v>
      </c>
    </row>
    <row r="64" spans="1:11" x14ac:dyDescent="0.2">
      <c r="A64">
        <v>62</v>
      </c>
      <c r="B64" s="1">
        <v>46167</v>
      </c>
      <c r="C64" t="s">
        <v>148</v>
      </c>
      <c r="D64" t="s">
        <v>8</v>
      </c>
      <c r="E64" t="s">
        <v>54</v>
      </c>
      <c r="F64" t="s">
        <v>149</v>
      </c>
      <c r="G64" s="2">
        <v>200000</v>
      </c>
      <c r="I64" s="2">
        <f t="shared" si="1"/>
        <v>175109884</v>
      </c>
      <c r="K64" s="2" t="str">
        <f t="shared" si="0"/>
        <v>BN</v>
      </c>
    </row>
    <row r="65" spans="1:11" x14ac:dyDescent="0.2">
      <c r="A65">
        <v>63</v>
      </c>
      <c r="B65" s="1">
        <v>46167</v>
      </c>
      <c r="C65" t="s">
        <v>150</v>
      </c>
      <c r="D65" t="s">
        <v>12</v>
      </c>
      <c r="E65" t="s">
        <v>151</v>
      </c>
      <c r="F65" t="s">
        <v>152</v>
      </c>
      <c r="H65" s="2">
        <v>2700000</v>
      </c>
      <c r="I65" s="2">
        <f t="shared" si="1"/>
        <v>177809884</v>
      </c>
      <c r="K65" s="2" t="str">
        <f t="shared" si="0"/>
        <v>BC</v>
      </c>
    </row>
    <row r="66" spans="1:11" x14ac:dyDescent="0.2">
      <c r="A66">
        <v>64</v>
      </c>
      <c r="B66" s="1">
        <v>46167</v>
      </c>
      <c r="C66" t="s">
        <v>153</v>
      </c>
      <c r="D66" t="s">
        <v>53</v>
      </c>
      <c r="E66" t="s">
        <v>9</v>
      </c>
      <c r="F66" t="s">
        <v>154</v>
      </c>
      <c r="G66" s="2">
        <v>16390000</v>
      </c>
      <c r="I66" s="2">
        <f t="shared" si="1"/>
        <v>161419884</v>
      </c>
      <c r="K66" s="2" t="str">
        <f t="shared" si="0"/>
        <v>BN</v>
      </c>
    </row>
    <row r="67" spans="1:11" x14ac:dyDescent="0.2">
      <c r="A67">
        <v>65</v>
      </c>
      <c r="B67" s="1">
        <v>46167</v>
      </c>
      <c r="C67" t="s">
        <v>23</v>
      </c>
      <c r="E67" t="s">
        <v>42</v>
      </c>
      <c r="F67" t="s">
        <v>155</v>
      </c>
      <c r="H67" s="2">
        <v>7000000</v>
      </c>
      <c r="I67" s="2">
        <f t="shared" si="1"/>
        <v>168419884</v>
      </c>
      <c r="K67" s="2" t="str">
        <f t="shared" si="0"/>
        <v>BC</v>
      </c>
    </row>
    <row r="68" spans="1:11" x14ac:dyDescent="0.2">
      <c r="A68">
        <v>66</v>
      </c>
      <c r="B68" s="1">
        <v>46167</v>
      </c>
      <c r="C68" t="s">
        <v>156</v>
      </c>
      <c r="E68" t="s">
        <v>157</v>
      </c>
      <c r="F68" t="s">
        <v>158</v>
      </c>
      <c r="H68" s="2">
        <v>2700000</v>
      </c>
      <c r="I68" s="2">
        <f t="shared" si="1"/>
        <v>171119884</v>
      </c>
      <c r="K68" s="2" t="str">
        <f t="shared" ref="K68:K125" si="2">IF(G68&gt;0,"BN","BC")</f>
        <v>BC</v>
      </c>
    </row>
    <row r="69" spans="1:11" x14ac:dyDescent="0.2">
      <c r="A69">
        <v>67</v>
      </c>
      <c r="B69" s="1">
        <v>46168</v>
      </c>
      <c r="C69" t="s">
        <v>20</v>
      </c>
      <c r="E69" t="s">
        <v>159</v>
      </c>
      <c r="F69" t="s">
        <v>160</v>
      </c>
      <c r="H69" s="2">
        <v>2700000</v>
      </c>
      <c r="I69" s="2">
        <f t="shared" ref="I69:I125" si="3">I68+H69-G69</f>
        <v>173819884</v>
      </c>
      <c r="K69" s="2" t="str">
        <f t="shared" si="2"/>
        <v>BC</v>
      </c>
    </row>
    <row r="70" spans="1:11" x14ac:dyDescent="0.2">
      <c r="A70">
        <v>68</v>
      </c>
      <c r="B70" s="1">
        <v>46169</v>
      </c>
      <c r="C70" t="s">
        <v>20</v>
      </c>
      <c r="E70" t="s">
        <v>161</v>
      </c>
      <c r="F70" t="s">
        <v>162</v>
      </c>
      <c r="H70" s="2">
        <v>2700000</v>
      </c>
      <c r="I70" s="2">
        <f t="shared" si="3"/>
        <v>176519884</v>
      </c>
      <c r="K70" s="2" t="str">
        <f t="shared" si="2"/>
        <v>BC</v>
      </c>
    </row>
    <row r="71" spans="1:11" x14ac:dyDescent="0.2">
      <c r="A71">
        <v>69</v>
      </c>
      <c r="B71" s="1">
        <v>46169</v>
      </c>
      <c r="C71" t="s">
        <v>163</v>
      </c>
      <c r="D71" t="s">
        <v>12</v>
      </c>
      <c r="E71" t="s">
        <v>163</v>
      </c>
      <c r="F71" t="s">
        <v>164</v>
      </c>
      <c r="H71" s="2">
        <v>2700000</v>
      </c>
      <c r="I71" s="2">
        <f t="shared" si="3"/>
        <v>179219884</v>
      </c>
      <c r="K71" s="2" t="str">
        <f t="shared" si="2"/>
        <v>BC</v>
      </c>
    </row>
    <row r="72" spans="1:11" x14ac:dyDescent="0.2">
      <c r="A72">
        <v>70</v>
      </c>
      <c r="B72" s="1">
        <v>46169</v>
      </c>
      <c r="C72" t="s">
        <v>20</v>
      </c>
      <c r="E72" t="s">
        <v>161</v>
      </c>
      <c r="F72" t="s">
        <v>165</v>
      </c>
      <c r="H72" s="2">
        <v>7000000</v>
      </c>
      <c r="I72" s="2">
        <f t="shared" si="3"/>
        <v>186219884</v>
      </c>
      <c r="K72" s="2" t="str">
        <f t="shared" si="2"/>
        <v>BC</v>
      </c>
    </row>
    <row r="73" spans="1:11" x14ac:dyDescent="0.2">
      <c r="A73">
        <v>71</v>
      </c>
      <c r="B73" s="1">
        <v>46169</v>
      </c>
      <c r="C73" t="s">
        <v>166</v>
      </c>
      <c r="D73" t="s">
        <v>12</v>
      </c>
      <c r="E73" t="s">
        <v>167</v>
      </c>
      <c r="F73" t="s">
        <v>168</v>
      </c>
      <c r="H73" s="2">
        <v>2700000</v>
      </c>
      <c r="I73" s="2">
        <f t="shared" si="3"/>
        <v>188919884</v>
      </c>
      <c r="K73" s="2" t="str">
        <f t="shared" si="2"/>
        <v>BC</v>
      </c>
    </row>
    <row r="74" spans="1:11" x14ac:dyDescent="0.2">
      <c r="A74">
        <v>72</v>
      </c>
      <c r="B74" s="1">
        <v>46169</v>
      </c>
      <c r="C74" t="s">
        <v>166</v>
      </c>
      <c r="D74" t="s">
        <v>12</v>
      </c>
      <c r="E74" t="s">
        <v>167</v>
      </c>
      <c r="F74" t="s">
        <v>169</v>
      </c>
      <c r="H74" s="2">
        <v>5400000</v>
      </c>
      <c r="I74" s="2">
        <f t="shared" si="3"/>
        <v>194319884</v>
      </c>
      <c r="K74" s="2" t="str">
        <f t="shared" si="2"/>
        <v>BC</v>
      </c>
    </row>
    <row r="75" spans="1:11" x14ac:dyDescent="0.2">
      <c r="A75">
        <v>73</v>
      </c>
      <c r="B75" s="1">
        <v>46169</v>
      </c>
      <c r="C75" t="s">
        <v>170</v>
      </c>
      <c r="D75" t="s">
        <v>12</v>
      </c>
      <c r="E75" t="s">
        <v>171</v>
      </c>
      <c r="F75" t="s">
        <v>172</v>
      </c>
      <c r="H75" s="2">
        <v>3400000</v>
      </c>
      <c r="I75" s="2">
        <f t="shared" si="3"/>
        <v>197719884</v>
      </c>
      <c r="K75" s="2" t="str">
        <f t="shared" si="2"/>
        <v>BC</v>
      </c>
    </row>
    <row r="76" spans="1:11" x14ac:dyDescent="0.2">
      <c r="A76">
        <v>74</v>
      </c>
      <c r="B76" s="1">
        <v>46170</v>
      </c>
      <c r="C76" t="s">
        <v>156</v>
      </c>
      <c r="E76" t="s">
        <v>173</v>
      </c>
      <c r="F76" t="s">
        <v>174</v>
      </c>
      <c r="H76" s="2">
        <v>2700000</v>
      </c>
      <c r="I76" s="2">
        <f t="shared" si="3"/>
        <v>200419884</v>
      </c>
      <c r="K76" s="2" t="str">
        <f t="shared" si="2"/>
        <v>BC</v>
      </c>
    </row>
    <row r="77" spans="1:11" x14ac:dyDescent="0.2">
      <c r="A77">
        <v>75</v>
      </c>
      <c r="B77" s="1">
        <v>46170</v>
      </c>
      <c r="C77" t="s">
        <v>156</v>
      </c>
      <c r="E77" t="s">
        <v>173</v>
      </c>
      <c r="F77" t="s">
        <v>175</v>
      </c>
      <c r="H77" s="2">
        <v>2200000</v>
      </c>
      <c r="I77" s="2">
        <f t="shared" si="3"/>
        <v>202619884</v>
      </c>
      <c r="K77" s="2" t="str">
        <f t="shared" si="2"/>
        <v>BC</v>
      </c>
    </row>
    <row r="78" spans="1:11" x14ac:dyDescent="0.2">
      <c r="A78">
        <v>76</v>
      </c>
      <c r="B78" s="1">
        <v>46170</v>
      </c>
      <c r="C78" t="s">
        <v>141</v>
      </c>
      <c r="E78" t="s">
        <v>176</v>
      </c>
      <c r="F78" t="s">
        <v>177</v>
      </c>
      <c r="H78" s="2">
        <v>5400000</v>
      </c>
      <c r="I78" s="2">
        <f t="shared" si="3"/>
        <v>208019884</v>
      </c>
      <c r="K78" s="2" t="str">
        <f t="shared" si="2"/>
        <v>BC</v>
      </c>
    </row>
    <row r="79" spans="1:11" x14ac:dyDescent="0.2">
      <c r="A79">
        <v>77</v>
      </c>
      <c r="B79" s="1">
        <v>46170</v>
      </c>
      <c r="C79" t="s">
        <v>178</v>
      </c>
      <c r="D79" t="s">
        <v>179</v>
      </c>
      <c r="E79" t="s">
        <v>180</v>
      </c>
      <c r="F79" t="s">
        <v>181</v>
      </c>
      <c r="G79" s="2">
        <v>10200000</v>
      </c>
      <c r="H79" s="2"/>
      <c r="I79" s="2">
        <f t="shared" si="3"/>
        <v>197819884</v>
      </c>
      <c r="K79" s="2" t="str">
        <f t="shared" si="2"/>
        <v>BN</v>
      </c>
    </row>
    <row r="80" spans="1:11" x14ac:dyDescent="0.2">
      <c r="A80">
        <v>78</v>
      </c>
      <c r="B80" s="1">
        <v>46170</v>
      </c>
      <c r="C80" t="s">
        <v>20</v>
      </c>
      <c r="E80" t="s">
        <v>182</v>
      </c>
      <c r="F80" t="s">
        <v>183</v>
      </c>
      <c r="H80" s="2">
        <v>2700000</v>
      </c>
      <c r="I80" s="2">
        <f t="shared" si="3"/>
        <v>200519884</v>
      </c>
      <c r="K80" s="2" t="str">
        <f t="shared" si="2"/>
        <v>BC</v>
      </c>
    </row>
    <row r="81" spans="1:11" x14ac:dyDescent="0.2">
      <c r="A81">
        <v>79</v>
      </c>
      <c r="B81" s="1">
        <v>46170</v>
      </c>
      <c r="C81" t="s">
        <v>20</v>
      </c>
      <c r="E81" t="s">
        <v>182</v>
      </c>
      <c r="F81" t="s">
        <v>184</v>
      </c>
      <c r="H81" s="2">
        <v>2200000</v>
      </c>
      <c r="I81" s="2">
        <f t="shared" si="3"/>
        <v>202719884</v>
      </c>
      <c r="K81" s="2" t="str">
        <f t="shared" si="2"/>
        <v>BC</v>
      </c>
    </row>
    <row r="82" spans="1:11" x14ac:dyDescent="0.2">
      <c r="A82">
        <v>80</v>
      </c>
      <c r="B82" s="1">
        <v>46170</v>
      </c>
      <c r="C82" t="s">
        <v>23</v>
      </c>
      <c r="E82" t="s">
        <v>185</v>
      </c>
      <c r="F82" t="s">
        <v>186</v>
      </c>
      <c r="H82" s="2">
        <v>2700000</v>
      </c>
      <c r="I82" s="2">
        <f t="shared" si="3"/>
        <v>205419884</v>
      </c>
      <c r="K82" s="2" t="str">
        <f t="shared" si="2"/>
        <v>BC</v>
      </c>
    </row>
    <row r="83" spans="1:11" x14ac:dyDescent="0.2">
      <c r="A83">
        <v>81</v>
      </c>
      <c r="B83" s="1">
        <v>46170</v>
      </c>
      <c r="C83" t="s">
        <v>23</v>
      </c>
      <c r="E83" t="s">
        <v>187</v>
      </c>
      <c r="F83" t="s">
        <v>188</v>
      </c>
      <c r="H83" s="2">
        <v>5400000</v>
      </c>
      <c r="I83" s="2">
        <f t="shared" si="3"/>
        <v>210819884</v>
      </c>
      <c r="K83" s="2" t="str">
        <f t="shared" si="2"/>
        <v>BC</v>
      </c>
    </row>
    <row r="84" spans="1:11" x14ac:dyDescent="0.2">
      <c r="A84">
        <v>82</v>
      </c>
      <c r="B84" s="1">
        <v>46171</v>
      </c>
      <c r="C84" t="s">
        <v>156</v>
      </c>
      <c r="E84" t="s">
        <v>189</v>
      </c>
      <c r="F84" t="s">
        <v>190</v>
      </c>
      <c r="H84" s="2">
        <v>2700000</v>
      </c>
      <c r="I84" s="2">
        <f t="shared" si="3"/>
        <v>213519884</v>
      </c>
      <c r="K84" s="2" t="str">
        <f t="shared" si="2"/>
        <v>BC</v>
      </c>
    </row>
    <row r="85" spans="1:11" x14ac:dyDescent="0.2">
      <c r="A85">
        <v>83</v>
      </c>
      <c r="B85" s="1">
        <v>46171</v>
      </c>
      <c r="C85" t="s">
        <v>150</v>
      </c>
      <c r="D85" t="s">
        <v>12</v>
      </c>
      <c r="E85" t="s">
        <v>191</v>
      </c>
      <c r="F85" t="s">
        <v>192</v>
      </c>
      <c r="H85" s="2">
        <v>3400000</v>
      </c>
      <c r="I85" s="2">
        <f t="shared" si="3"/>
        <v>216919884</v>
      </c>
      <c r="K85" s="2" t="str">
        <f t="shared" si="2"/>
        <v>BC</v>
      </c>
    </row>
    <row r="86" spans="1:11" x14ac:dyDescent="0.2">
      <c r="A86">
        <v>84</v>
      </c>
      <c r="B86" s="1">
        <v>46171</v>
      </c>
      <c r="C86" t="s">
        <v>193</v>
      </c>
      <c r="D86" t="s">
        <v>12</v>
      </c>
      <c r="E86" t="s">
        <v>194</v>
      </c>
      <c r="F86" t="s">
        <v>195</v>
      </c>
      <c r="H86" s="2">
        <v>2700000</v>
      </c>
      <c r="I86" s="2">
        <f t="shared" si="3"/>
        <v>219619884</v>
      </c>
      <c r="K86" s="2" t="str">
        <f t="shared" si="2"/>
        <v>BC</v>
      </c>
    </row>
    <row r="87" spans="1:11" x14ac:dyDescent="0.2">
      <c r="A87">
        <v>85</v>
      </c>
      <c r="B87" s="1">
        <v>46171</v>
      </c>
      <c r="C87" t="s">
        <v>193</v>
      </c>
      <c r="D87" t="s">
        <v>12</v>
      </c>
      <c r="E87" t="s">
        <v>196</v>
      </c>
      <c r="F87" t="s">
        <v>197</v>
      </c>
      <c r="H87" s="2">
        <v>3400000</v>
      </c>
      <c r="I87" s="2">
        <f t="shared" si="3"/>
        <v>223019884</v>
      </c>
      <c r="K87" s="2" t="str">
        <f t="shared" si="2"/>
        <v>BC</v>
      </c>
    </row>
    <row r="88" spans="1:11" x14ac:dyDescent="0.2">
      <c r="A88">
        <v>86</v>
      </c>
      <c r="B88" s="1">
        <v>46171</v>
      </c>
      <c r="C88" t="s">
        <v>198</v>
      </c>
      <c r="D88" t="s">
        <v>12</v>
      </c>
      <c r="E88" t="s">
        <v>199</v>
      </c>
      <c r="F88" t="s">
        <v>200</v>
      </c>
      <c r="H88" s="2">
        <v>2700000</v>
      </c>
      <c r="I88" s="2">
        <f t="shared" si="3"/>
        <v>225719884</v>
      </c>
      <c r="K88" s="2" t="str">
        <f t="shared" si="2"/>
        <v>BC</v>
      </c>
    </row>
    <row r="89" spans="1:11" x14ac:dyDescent="0.2">
      <c r="A89">
        <v>87</v>
      </c>
      <c r="B89" s="1">
        <v>46171</v>
      </c>
      <c r="C89" t="s">
        <v>201</v>
      </c>
      <c r="D89" t="s">
        <v>202</v>
      </c>
      <c r="E89" t="s">
        <v>9</v>
      </c>
      <c r="F89" t="s">
        <v>203</v>
      </c>
      <c r="H89" s="2">
        <v>518400</v>
      </c>
      <c r="I89" s="2">
        <f t="shared" si="3"/>
        <v>226238284</v>
      </c>
      <c r="K89" s="2" t="str">
        <f t="shared" si="2"/>
        <v>BC</v>
      </c>
    </row>
    <row r="90" spans="1:11" x14ac:dyDescent="0.2">
      <c r="A90">
        <v>88</v>
      </c>
      <c r="B90" s="1">
        <v>46171</v>
      </c>
      <c r="C90" t="s">
        <v>114</v>
      </c>
      <c r="E90" t="s">
        <v>204</v>
      </c>
      <c r="F90" t="s">
        <v>205</v>
      </c>
      <c r="H90" s="2">
        <v>2700000</v>
      </c>
      <c r="I90" s="2">
        <f t="shared" si="3"/>
        <v>228938284</v>
      </c>
      <c r="K90" s="2" t="str">
        <f t="shared" si="2"/>
        <v>BC</v>
      </c>
    </row>
    <row r="91" spans="1:11" x14ac:dyDescent="0.2">
      <c r="A91">
        <v>89</v>
      </c>
      <c r="B91" s="1">
        <v>46171</v>
      </c>
      <c r="C91" t="s">
        <v>20</v>
      </c>
      <c r="E91" t="s">
        <v>206</v>
      </c>
      <c r="F91" t="s">
        <v>207</v>
      </c>
      <c r="H91" s="2">
        <v>2700000</v>
      </c>
      <c r="I91" s="2">
        <f t="shared" si="3"/>
        <v>231638284</v>
      </c>
      <c r="K91" s="2" t="str">
        <f t="shared" si="2"/>
        <v>BC</v>
      </c>
    </row>
    <row r="92" spans="1:11" x14ac:dyDescent="0.2">
      <c r="A92">
        <v>90</v>
      </c>
      <c r="B92" s="1">
        <v>46172</v>
      </c>
      <c r="C92" t="s">
        <v>198</v>
      </c>
      <c r="D92" t="s">
        <v>12</v>
      </c>
      <c r="E92" t="s">
        <v>198</v>
      </c>
      <c r="F92" t="s">
        <v>208</v>
      </c>
      <c r="H92" s="2">
        <v>7400000</v>
      </c>
      <c r="I92" s="2">
        <f t="shared" si="3"/>
        <v>239038284</v>
      </c>
      <c r="K92" s="2" t="str">
        <f t="shared" si="2"/>
        <v>BC</v>
      </c>
    </row>
    <row r="93" spans="1:11" x14ac:dyDescent="0.2">
      <c r="A93">
        <v>91</v>
      </c>
      <c r="B93" s="1">
        <v>46172</v>
      </c>
      <c r="C93" t="s">
        <v>23</v>
      </c>
      <c r="E93" t="s">
        <v>209</v>
      </c>
      <c r="F93" t="s">
        <v>210</v>
      </c>
      <c r="H93" s="2">
        <v>2700000</v>
      </c>
      <c r="I93" s="2">
        <f t="shared" si="3"/>
        <v>241738284</v>
      </c>
      <c r="K93" s="2" t="str">
        <f t="shared" si="2"/>
        <v>BC</v>
      </c>
    </row>
    <row r="94" spans="1:11" x14ac:dyDescent="0.2">
      <c r="A94">
        <v>92</v>
      </c>
      <c r="B94" s="1">
        <v>46172</v>
      </c>
      <c r="C94" t="s">
        <v>23</v>
      </c>
      <c r="E94" t="s">
        <v>211</v>
      </c>
      <c r="F94" t="s">
        <v>212</v>
      </c>
      <c r="H94" s="2">
        <v>5400000</v>
      </c>
      <c r="I94" s="2">
        <f t="shared" si="3"/>
        <v>247138284</v>
      </c>
      <c r="K94" s="2" t="str">
        <f t="shared" si="2"/>
        <v>BC</v>
      </c>
    </row>
    <row r="95" spans="1:11" x14ac:dyDescent="0.2">
      <c r="A95">
        <v>93</v>
      </c>
      <c r="B95" s="1">
        <v>46172</v>
      </c>
      <c r="C95" t="s">
        <v>213</v>
      </c>
      <c r="D95" t="s">
        <v>12</v>
      </c>
      <c r="E95" t="s">
        <v>214</v>
      </c>
      <c r="F95" t="s">
        <v>215</v>
      </c>
      <c r="H95" s="2">
        <v>2700000</v>
      </c>
      <c r="I95" s="2">
        <f t="shared" si="3"/>
        <v>249838284</v>
      </c>
      <c r="K95" s="2" t="str">
        <f t="shared" si="2"/>
        <v>BC</v>
      </c>
    </row>
    <row r="96" spans="1:11" x14ac:dyDescent="0.2">
      <c r="A96">
        <v>94</v>
      </c>
      <c r="B96" s="1">
        <v>46172</v>
      </c>
      <c r="C96" t="s">
        <v>28</v>
      </c>
      <c r="E96" t="s">
        <v>216</v>
      </c>
      <c r="F96" t="s">
        <v>217</v>
      </c>
      <c r="H96" s="2">
        <v>2700000</v>
      </c>
      <c r="I96" s="2">
        <f t="shared" si="3"/>
        <v>252538284</v>
      </c>
      <c r="K96" s="2" t="str">
        <f t="shared" si="2"/>
        <v>BC</v>
      </c>
    </row>
    <row r="97" spans="1:11" x14ac:dyDescent="0.2">
      <c r="A97">
        <v>95</v>
      </c>
      <c r="B97" s="1">
        <v>46172</v>
      </c>
      <c r="C97" t="s">
        <v>28</v>
      </c>
      <c r="E97" t="s">
        <v>218</v>
      </c>
      <c r="F97" t="s">
        <v>219</v>
      </c>
      <c r="H97" s="2">
        <v>5400000</v>
      </c>
      <c r="I97" s="2">
        <f t="shared" si="3"/>
        <v>257938284</v>
      </c>
      <c r="K97" s="2" t="str">
        <f t="shared" si="2"/>
        <v>BC</v>
      </c>
    </row>
    <row r="98" spans="1:11" x14ac:dyDescent="0.2">
      <c r="A98">
        <v>96</v>
      </c>
      <c r="B98" s="1">
        <v>46172</v>
      </c>
      <c r="C98" t="s">
        <v>20</v>
      </c>
      <c r="E98" t="s">
        <v>220</v>
      </c>
      <c r="F98" t="s">
        <v>221</v>
      </c>
      <c r="H98" s="2">
        <v>2700000</v>
      </c>
      <c r="I98" s="2">
        <f t="shared" si="3"/>
        <v>260638284</v>
      </c>
      <c r="K98" s="2" t="str">
        <f t="shared" si="2"/>
        <v>BC</v>
      </c>
    </row>
    <row r="99" spans="1:11" x14ac:dyDescent="0.2">
      <c r="A99">
        <v>97</v>
      </c>
      <c r="B99" s="1">
        <v>46172</v>
      </c>
      <c r="E99" t="s">
        <v>222</v>
      </c>
      <c r="F99" t="s">
        <v>223</v>
      </c>
      <c r="H99" s="2">
        <v>8010</v>
      </c>
      <c r="I99" s="2">
        <f t="shared" si="3"/>
        <v>260646294</v>
      </c>
      <c r="K99" s="2" t="str">
        <f t="shared" si="2"/>
        <v>BC</v>
      </c>
    </row>
    <row r="100" spans="1:11" x14ac:dyDescent="0.2">
      <c r="A100">
        <v>98</v>
      </c>
      <c r="B100" s="1">
        <v>46174</v>
      </c>
      <c r="C100" t="s">
        <v>224</v>
      </c>
      <c r="D100" t="s">
        <v>225</v>
      </c>
      <c r="E100" t="s">
        <v>9</v>
      </c>
      <c r="F100" t="s">
        <v>226</v>
      </c>
      <c r="H100" s="2">
        <v>3197880</v>
      </c>
      <c r="I100" s="2">
        <f t="shared" si="3"/>
        <v>263844174</v>
      </c>
      <c r="K100" s="2" t="str">
        <f t="shared" si="2"/>
        <v>BC</v>
      </c>
    </row>
    <row r="101" spans="1:11" x14ac:dyDescent="0.2">
      <c r="A101">
        <v>99</v>
      </c>
      <c r="B101" s="1">
        <v>46174</v>
      </c>
      <c r="C101" t="s">
        <v>156</v>
      </c>
      <c r="E101" t="s">
        <v>227</v>
      </c>
      <c r="F101" t="s">
        <v>228</v>
      </c>
      <c r="G101" s="2">
        <v>5400000</v>
      </c>
      <c r="I101" s="2">
        <f t="shared" si="3"/>
        <v>258444174</v>
      </c>
      <c r="K101" s="2" t="str">
        <f t="shared" si="2"/>
        <v>BN</v>
      </c>
    </row>
    <row r="102" spans="1:11" x14ac:dyDescent="0.2">
      <c r="A102">
        <v>100</v>
      </c>
      <c r="B102" s="1">
        <v>46174</v>
      </c>
      <c r="C102" t="s">
        <v>20</v>
      </c>
      <c r="E102" t="s">
        <v>229</v>
      </c>
      <c r="F102" t="s">
        <v>230</v>
      </c>
      <c r="H102" s="2">
        <v>2700000</v>
      </c>
      <c r="I102" s="2">
        <f t="shared" si="3"/>
        <v>261144174</v>
      </c>
      <c r="K102" s="2" t="str">
        <f t="shared" si="2"/>
        <v>BC</v>
      </c>
    </row>
    <row r="103" spans="1:11" x14ac:dyDescent="0.2">
      <c r="A103">
        <v>101</v>
      </c>
      <c r="B103" s="1">
        <v>46174</v>
      </c>
      <c r="C103" t="s">
        <v>20</v>
      </c>
      <c r="E103" t="s">
        <v>229</v>
      </c>
      <c r="F103" t="s">
        <v>231</v>
      </c>
      <c r="G103" s="2">
        <v>5400000</v>
      </c>
      <c r="I103" s="2">
        <f t="shared" si="3"/>
        <v>255744174</v>
      </c>
      <c r="K103" s="2" t="str">
        <f t="shared" si="2"/>
        <v>BN</v>
      </c>
    </row>
    <row r="104" spans="1:11" x14ac:dyDescent="0.2">
      <c r="A104">
        <v>102</v>
      </c>
      <c r="B104" s="1">
        <v>46174</v>
      </c>
      <c r="C104" t="s">
        <v>232</v>
      </c>
      <c r="D104" t="s">
        <v>233</v>
      </c>
      <c r="E104" t="s">
        <v>234</v>
      </c>
      <c r="F104" t="s">
        <v>235</v>
      </c>
      <c r="G104" s="2">
        <v>14000000</v>
      </c>
      <c r="I104" s="2">
        <f t="shared" si="3"/>
        <v>241744174</v>
      </c>
      <c r="K104" s="2" t="str">
        <f t="shared" si="2"/>
        <v>BN</v>
      </c>
    </row>
    <row r="105" spans="1:11" x14ac:dyDescent="0.2">
      <c r="A105">
        <v>103</v>
      </c>
      <c r="B105" s="1">
        <v>46174</v>
      </c>
      <c r="C105" t="s">
        <v>156</v>
      </c>
      <c r="E105" t="s">
        <v>236</v>
      </c>
      <c r="F105" t="s">
        <v>237</v>
      </c>
      <c r="H105" s="2">
        <v>2700000</v>
      </c>
      <c r="I105" s="2">
        <f t="shared" si="3"/>
        <v>244444174</v>
      </c>
      <c r="K105" s="2" t="str">
        <f t="shared" si="2"/>
        <v>BC</v>
      </c>
    </row>
    <row r="106" spans="1:11" x14ac:dyDescent="0.2">
      <c r="A106">
        <v>104</v>
      </c>
      <c r="B106" s="1">
        <v>46174</v>
      </c>
      <c r="C106" t="s">
        <v>20</v>
      </c>
      <c r="E106" t="s">
        <v>220</v>
      </c>
      <c r="F106" t="s">
        <v>238</v>
      </c>
      <c r="G106" s="2">
        <v>5400000</v>
      </c>
      <c r="I106" s="2">
        <f t="shared" si="3"/>
        <v>239044174</v>
      </c>
      <c r="K106" s="2" t="str">
        <f t="shared" si="2"/>
        <v>BN</v>
      </c>
    </row>
    <row r="107" spans="1:11" x14ac:dyDescent="0.2">
      <c r="A107">
        <v>105</v>
      </c>
      <c r="B107" s="1">
        <v>46174</v>
      </c>
      <c r="C107" t="s">
        <v>156</v>
      </c>
      <c r="E107" t="s">
        <v>239</v>
      </c>
      <c r="F107" t="s">
        <v>240</v>
      </c>
      <c r="H107" s="2">
        <v>2700000</v>
      </c>
      <c r="I107" s="2">
        <f t="shared" si="3"/>
        <v>241744174</v>
      </c>
      <c r="K107" s="2" t="str">
        <f t="shared" si="2"/>
        <v>BC</v>
      </c>
    </row>
    <row r="108" spans="1:11" x14ac:dyDescent="0.2">
      <c r="A108">
        <v>106</v>
      </c>
      <c r="B108" s="1">
        <v>46174</v>
      </c>
      <c r="C108" t="s">
        <v>107</v>
      </c>
      <c r="D108" t="s">
        <v>12</v>
      </c>
      <c r="E108" t="s">
        <v>108</v>
      </c>
      <c r="F108" t="s">
        <v>241</v>
      </c>
      <c r="G108" s="2">
        <v>5400000</v>
      </c>
      <c r="I108" s="2">
        <f t="shared" si="3"/>
        <v>236344174</v>
      </c>
      <c r="K108" s="2" t="str">
        <f t="shared" si="2"/>
        <v>BN</v>
      </c>
    </row>
    <row r="109" spans="1:11" x14ac:dyDescent="0.2">
      <c r="A109">
        <v>107</v>
      </c>
      <c r="B109" s="1">
        <v>46174</v>
      </c>
      <c r="C109" t="s">
        <v>114</v>
      </c>
      <c r="E109" t="s">
        <v>242</v>
      </c>
      <c r="F109" t="s">
        <v>243</v>
      </c>
      <c r="G109" s="2">
        <v>7000000</v>
      </c>
      <c r="I109" s="2">
        <f t="shared" si="3"/>
        <v>229344174</v>
      </c>
      <c r="K109" s="2" t="str">
        <f t="shared" si="2"/>
        <v>BN</v>
      </c>
    </row>
    <row r="110" spans="1:11" x14ac:dyDescent="0.2">
      <c r="A110">
        <v>108</v>
      </c>
      <c r="B110" s="1">
        <v>46174</v>
      </c>
      <c r="C110" t="s">
        <v>178</v>
      </c>
      <c r="D110" t="s">
        <v>179</v>
      </c>
      <c r="E110" t="s">
        <v>9</v>
      </c>
      <c r="F110" t="s">
        <v>244</v>
      </c>
      <c r="H110" s="2">
        <v>385560</v>
      </c>
      <c r="I110" s="2">
        <f t="shared" si="3"/>
        <v>229729734</v>
      </c>
      <c r="K110" s="2" t="str">
        <f t="shared" si="2"/>
        <v>BC</v>
      </c>
    </row>
    <row r="111" spans="1:11" x14ac:dyDescent="0.2">
      <c r="A111">
        <v>109</v>
      </c>
      <c r="B111" s="1">
        <v>46174</v>
      </c>
      <c r="C111" t="s">
        <v>245</v>
      </c>
      <c r="D111" t="s">
        <v>12</v>
      </c>
      <c r="E111" t="s">
        <v>246</v>
      </c>
      <c r="F111" t="s">
        <v>247</v>
      </c>
      <c r="H111" s="2">
        <v>2700000</v>
      </c>
      <c r="I111" s="2">
        <f t="shared" si="3"/>
        <v>232429734</v>
      </c>
      <c r="K111" s="2" t="str">
        <f t="shared" si="2"/>
        <v>BC</v>
      </c>
    </row>
    <row r="112" spans="1:11" x14ac:dyDescent="0.2">
      <c r="A112">
        <v>110</v>
      </c>
      <c r="B112" s="1">
        <v>46174</v>
      </c>
      <c r="C112" t="s">
        <v>245</v>
      </c>
      <c r="D112" t="s">
        <v>12</v>
      </c>
      <c r="E112" t="s">
        <v>248</v>
      </c>
      <c r="F112" t="s">
        <v>249</v>
      </c>
      <c r="G112" s="2">
        <v>3400000</v>
      </c>
      <c r="I112" s="2">
        <f t="shared" si="3"/>
        <v>229029734</v>
      </c>
      <c r="K112" s="2" t="str">
        <f t="shared" si="2"/>
        <v>BN</v>
      </c>
    </row>
    <row r="113" spans="1:11" x14ac:dyDescent="0.2">
      <c r="A113">
        <v>111</v>
      </c>
      <c r="B113" s="1">
        <v>46175</v>
      </c>
      <c r="C113" t="s">
        <v>20</v>
      </c>
      <c r="E113" t="s">
        <v>250</v>
      </c>
      <c r="F113" t="s">
        <v>251</v>
      </c>
      <c r="H113" s="2">
        <v>2700000</v>
      </c>
      <c r="I113" s="2">
        <f t="shared" si="3"/>
        <v>231729734</v>
      </c>
      <c r="K113" s="2" t="str">
        <f t="shared" si="2"/>
        <v>BC</v>
      </c>
    </row>
    <row r="114" spans="1:11" x14ac:dyDescent="0.2">
      <c r="A114">
        <v>112</v>
      </c>
      <c r="B114" s="1">
        <v>46175</v>
      </c>
      <c r="C114" t="s">
        <v>252</v>
      </c>
      <c r="D114" t="s">
        <v>253</v>
      </c>
      <c r="E114" t="s">
        <v>254</v>
      </c>
      <c r="F114" t="s">
        <v>255</v>
      </c>
      <c r="H114" s="2">
        <v>3080268</v>
      </c>
      <c r="I114" s="2">
        <f t="shared" si="3"/>
        <v>234810002</v>
      </c>
      <c r="K114" s="2" t="str">
        <f t="shared" si="2"/>
        <v>BC</v>
      </c>
    </row>
    <row r="115" spans="1:11" x14ac:dyDescent="0.2">
      <c r="A115">
        <v>113</v>
      </c>
      <c r="B115" s="1">
        <v>46175</v>
      </c>
      <c r="C115" t="s">
        <v>156</v>
      </c>
      <c r="E115" t="s">
        <v>256</v>
      </c>
      <c r="F115" t="s">
        <v>257</v>
      </c>
      <c r="G115" s="2">
        <v>2200000</v>
      </c>
      <c r="I115" s="2">
        <f t="shared" si="3"/>
        <v>232610002</v>
      </c>
      <c r="K115" s="2" t="str">
        <f t="shared" si="2"/>
        <v>BN</v>
      </c>
    </row>
    <row r="116" spans="1:11" x14ac:dyDescent="0.2">
      <c r="A116">
        <v>114</v>
      </c>
      <c r="B116" s="1">
        <v>46179</v>
      </c>
      <c r="C116" t="s">
        <v>20</v>
      </c>
      <c r="E116" t="s">
        <v>258</v>
      </c>
      <c r="F116" t="s">
        <v>259</v>
      </c>
      <c r="H116" s="2">
        <v>2700000</v>
      </c>
      <c r="I116" s="2">
        <f t="shared" si="3"/>
        <v>235310002</v>
      </c>
      <c r="K116" s="2" t="str">
        <f t="shared" si="2"/>
        <v>BC</v>
      </c>
    </row>
    <row r="117" spans="1:11" x14ac:dyDescent="0.2">
      <c r="A117">
        <v>115</v>
      </c>
      <c r="B117" s="1">
        <v>46184</v>
      </c>
      <c r="C117" t="s">
        <v>20</v>
      </c>
      <c r="E117" t="s">
        <v>258</v>
      </c>
      <c r="F117" t="s">
        <v>260</v>
      </c>
      <c r="G117" s="2">
        <v>7900000</v>
      </c>
      <c r="I117" s="2">
        <f t="shared" si="3"/>
        <v>227410002</v>
      </c>
      <c r="K117" s="2" t="str">
        <f t="shared" si="2"/>
        <v>BN</v>
      </c>
    </row>
    <row r="118" spans="1:11" x14ac:dyDescent="0.2">
      <c r="A118">
        <v>116</v>
      </c>
      <c r="B118" s="1">
        <v>46186</v>
      </c>
      <c r="C118" t="s">
        <v>261</v>
      </c>
      <c r="D118" t="s">
        <v>12</v>
      </c>
      <c r="E118" t="s">
        <v>262</v>
      </c>
      <c r="F118" t="s">
        <v>263</v>
      </c>
      <c r="H118" s="2">
        <v>2700000</v>
      </c>
      <c r="I118" s="2">
        <f t="shared" si="3"/>
        <v>230110002</v>
      </c>
      <c r="K118" s="2" t="str">
        <f t="shared" si="2"/>
        <v>BC</v>
      </c>
    </row>
    <row r="119" spans="1:11" x14ac:dyDescent="0.2">
      <c r="A119">
        <v>117</v>
      </c>
      <c r="B119" s="1">
        <v>46186</v>
      </c>
      <c r="C119" t="s">
        <v>23</v>
      </c>
      <c r="E119" t="s">
        <v>264</v>
      </c>
      <c r="F119" t="s">
        <v>265</v>
      </c>
      <c r="H119" s="2">
        <v>2700000</v>
      </c>
      <c r="I119" s="2">
        <f t="shared" si="3"/>
        <v>232810002</v>
      </c>
      <c r="K119" s="2" t="str">
        <f t="shared" si="2"/>
        <v>BC</v>
      </c>
    </row>
    <row r="120" spans="1:11" x14ac:dyDescent="0.2">
      <c r="A120">
        <v>118</v>
      </c>
      <c r="B120" s="1">
        <v>46189</v>
      </c>
      <c r="C120" t="s">
        <v>20</v>
      </c>
      <c r="E120" t="s">
        <v>266</v>
      </c>
      <c r="F120" t="s">
        <v>267</v>
      </c>
      <c r="G120" s="2">
        <v>5900000</v>
      </c>
      <c r="I120" s="2">
        <f t="shared" si="3"/>
        <v>226910002</v>
      </c>
      <c r="K120" s="2" t="str">
        <f t="shared" si="2"/>
        <v>BN</v>
      </c>
    </row>
    <row r="121" spans="1:11" x14ac:dyDescent="0.2">
      <c r="A121">
        <v>119</v>
      </c>
      <c r="B121" s="1">
        <v>46190</v>
      </c>
      <c r="C121" t="s">
        <v>268</v>
      </c>
      <c r="D121" t="s">
        <v>269</v>
      </c>
      <c r="E121" t="s">
        <v>270</v>
      </c>
      <c r="F121" t="s">
        <v>271</v>
      </c>
      <c r="H121" s="2">
        <v>807840</v>
      </c>
      <c r="I121" s="2">
        <f t="shared" si="3"/>
        <v>227717842</v>
      </c>
      <c r="K121" s="2" t="str">
        <f t="shared" si="2"/>
        <v>BC</v>
      </c>
    </row>
    <row r="122" spans="1:11" x14ac:dyDescent="0.2">
      <c r="A122">
        <v>120</v>
      </c>
      <c r="B122" s="1">
        <v>46193</v>
      </c>
      <c r="C122" t="s">
        <v>272</v>
      </c>
      <c r="D122" t="s">
        <v>8</v>
      </c>
      <c r="E122" t="s">
        <v>273</v>
      </c>
      <c r="F122" t="s">
        <v>274</v>
      </c>
      <c r="G122" s="2">
        <v>400000</v>
      </c>
      <c r="I122" s="2">
        <f t="shared" si="3"/>
        <v>227317842</v>
      </c>
      <c r="K122" s="2" t="str">
        <f t="shared" si="2"/>
        <v>BN</v>
      </c>
    </row>
    <row r="123" spans="1:11" x14ac:dyDescent="0.2">
      <c r="A123">
        <v>121</v>
      </c>
      <c r="B123" s="1">
        <v>46196</v>
      </c>
      <c r="C123" t="s">
        <v>275</v>
      </c>
      <c r="D123" t="s">
        <v>12</v>
      </c>
      <c r="E123" t="s">
        <v>276</v>
      </c>
      <c r="F123" t="s">
        <v>277</v>
      </c>
      <c r="H123" s="2">
        <v>2700000</v>
      </c>
      <c r="I123" s="2">
        <f t="shared" si="3"/>
        <v>230017842</v>
      </c>
      <c r="K123" s="2" t="str">
        <f t="shared" si="2"/>
        <v>BC</v>
      </c>
    </row>
    <row r="124" spans="1:11" x14ac:dyDescent="0.2">
      <c r="A124">
        <v>122</v>
      </c>
      <c r="B124" s="1">
        <v>46202</v>
      </c>
      <c r="C124" t="s">
        <v>20</v>
      </c>
      <c r="E124" t="s">
        <v>75</v>
      </c>
      <c r="F124" t="s">
        <v>278</v>
      </c>
      <c r="G124" s="2">
        <v>5900000</v>
      </c>
      <c r="I124" s="2">
        <f t="shared" si="3"/>
        <v>224117842</v>
      </c>
      <c r="K124" s="2" t="str">
        <f t="shared" si="2"/>
        <v>BN</v>
      </c>
    </row>
    <row r="125" spans="1:11" x14ac:dyDescent="0.2">
      <c r="A125">
        <v>123</v>
      </c>
      <c r="B125" s="1">
        <v>46203</v>
      </c>
      <c r="E125" t="s">
        <v>279</v>
      </c>
      <c r="F125" t="s">
        <v>280</v>
      </c>
      <c r="H125" s="2">
        <v>25774</v>
      </c>
      <c r="I125" s="2">
        <f t="shared" si="3"/>
        <v>224143616</v>
      </c>
      <c r="K125" s="2" t="str">
        <f t="shared" si="2"/>
        <v>BC</v>
      </c>
    </row>
  </sheetData>
  <autoFilter ref="A2:I125" xr:uid="{0F5A7A6F-F03D-440C-9976-AA75E1BE20F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JOKER SON</dc:creator>
  <cp:lastModifiedBy>JOKER SON</cp:lastModifiedBy>
  <dcterms:created xsi:type="dcterms:W3CDTF">2026-07-21T14:27:13Z</dcterms:created>
  <dcterms:modified xsi:type="dcterms:W3CDTF">2026-07-22T16:29:09Z</dcterms:modified>
</cp:coreProperties>
</file>