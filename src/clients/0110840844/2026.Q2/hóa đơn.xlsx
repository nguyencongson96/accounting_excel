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
    </mc:Choice>
  </mc:AlternateContent>
  <xr:revisionPtr revIDLastSave="0" documentId="13_ncr:1_{6543C2D3-3523-4800-B1AF-1C912C80D225}" xr6:coauthVersionLast="47" xr6:coauthVersionMax="47" xr10:uidLastSave="{00000000-0000-0000-0000-000000000000}"/>
  <bookViews>
    <workbookView xWindow="-120" yWindow="-120" windowWidth="29040" windowHeight="15720" xr2:uid="{00000000-000D-0000-FFFF-FFFF00000000}"/>
  </bookViews>
  <sheets>
    <sheet name="Inv" sheetId="1" r:id="rId1"/>
  </sheets>
  <definedNames>
    <definedName name="_xlnm._FilterDatabase" localSheetId="0" hidden="1">Inv!$A$2:$Q$158</definedName>
  </definedNames>
  <calcPr calcId="191029"/>
</workbook>
</file>

<file path=xl/calcChain.xml><?xml version="1.0" encoding="utf-8"?>
<calcChain xmlns="http://schemas.openxmlformats.org/spreadsheetml/2006/main">
  <c r="N80" i="1" l="1"/>
  <c r="N79" i="1"/>
  <c r="N78" i="1"/>
  <c r="N77" i="1"/>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6" i="1"/>
  <c r="N25" i="1"/>
  <c r="N24" i="1"/>
  <c r="N23" i="1"/>
  <c r="N22" i="1"/>
  <c r="N21" i="1"/>
  <c r="N20" i="1"/>
  <c r="N19" i="1"/>
  <c r="N18" i="1"/>
  <c r="N17" i="1"/>
  <c r="N16" i="1"/>
  <c r="N15" i="1"/>
  <c r="N14" i="1"/>
  <c r="N13" i="1"/>
  <c r="N12" i="1"/>
  <c r="N11" i="1"/>
  <c r="N10" i="1"/>
  <c r="N9" i="1"/>
  <c r="N8" i="1"/>
  <c r="N7" i="1"/>
  <c r="N5" i="1"/>
  <c r="N4" i="1"/>
  <c r="N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3" i="1"/>
  <c r="L1" i="1"/>
  <c r="K1" i="1"/>
</calcChain>
</file>

<file path=xl/sharedStrings.xml><?xml version="1.0" encoding="utf-8"?>
<sst xmlns="http://schemas.openxmlformats.org/spreadsheetml/2006/main" count="870" uniqueCount="317">
  <si>
    <t>STT</t>
  </si>
  <si>
    <t>Loại</t>
  </si>
  <si>
    <t>Thời gian lập</t>
  </si>
  <si>
    <t>Số hóa đơn</t>
  </si>
  <si>
    <t>Ký hiệu</t>
  </si>
  <si>
    <t>Mã số thuế</t>
  </si>
  <si>
    <t>Tên đối tác</t>
  </si>
  <si>
    <t>Diễn giải</t>
  </si>
  <si>
    <t>Trước thuế</t>
  </si>
  <si>
    <t>Giảm trước thuế</t>
  </si>
  <si>
    <t>Thuế</t>
  </si>
  <si>
    <t>Sau thuế</t>
  </si>
  <si>
    <t>Mua vào</t>
  </si>
  <si>
    <t>01/04/2026</t>
  </si>
  <si>
    <t>C26TCH</t>
  </si>
  <si>
    <t>0110951216</t>
  </si>
  <si>
    <t>CÔNG TY TNHH TRUYỀN THÔNG VÀ TỔ CHỨC SỰ KIỆN CH MEDIA</t>
  </si>
  <si>
    <t>Ghế banque áo nơ
Máy chiếu 4k lsGD8000
Bộ mic không dây cầm tay
(2mic/bộ ,01 đầu thu )
Loa kéo bass 50 DBA
Vận chuyển
-nhân sự lắp đặt 2 chiều
-xe vận chuyển HĐ số 20</t>
  </si>
  <si>
    <t>C26MHA</t>
  </si>
  <si>
    <t>0110269067</t>
  </si>
  <si>
    <t>CÔNG TY CỔ PHẦN DI CHUYỂN XANH VÀ THÔNG MINH GSM</t>
  </si>
  <si>
    <t>Cước phí vận chuyển mã 01KN31J7Z77RXZSH3GA7F43467
Phí nền tảng mã 01KN31J7Z77RXZSH3GA7F43467 HĐ số 38543484</t>
  </si>
  <si>
    <t>02/04/2026</t>
  </si>
  <si>
    <t>Cước phí vận chuyển mã 01KN62V275BXKM1JMD1KW7E0TC
Chiết khấu thương mại/ giảm giá mã 01KN62V275BXKM1JMD1KW7E0TC
Phí nền tảng mã 01KN62V275BXKM1JMD1KW7E0TC HĐ số 39125861</t>
  </si>
  <si>
    <t>23/04/2026</t>
  </si>
  <si>
    <t>C26TIC</t>
  </si>
  <si>
    <t>0106238355</t>
  </si>
  <si>
    <t>CÔNG TY CỔ PHẦN INC VIỆT NAM</t>
  </si>
  <si>
    <t>Tiền thuê văn phòng 12 tháng (từ 01/05/2026 - 30/04/2027) HĐ số 1676</t>
  </si>
  <si>
    <t>28/04/2026</t>
  </si>
  <si>
    <t>Cước phí vận chuyển mã 01KQ9NVFQYR2ESDJW536K6GTK2
Chiết khấu thương mại/ giảm giá mã 01KQ9NVFQYR2ESDJW536K6GTK2
Phí nền tảng mã 01KQ9NVFQYR2ESDJW536K6GTK2 HĐ số 53001070</t>
  </si>
  <si>
    <t>29/04/2026</t>
  </si>
  <si>
    <t>Cước phí vận chuyển mã 01KQBWPKJTVFWTX2TPYRB90CYC
Chiết khấu thương mại/ giảm giá mã 01KQBWPKJTVFWTX2TPYRB90CYC
Phí nền tảng mã 01KQBWPKJTVFWTX2TPYRB90CYC HĐ số 53442891</t>
  </si>
  <si>
    <t>Cước phí vận chuyển mã 01KQBSYW4CDEGF5KCB1ZNADJ0P
Chiết khấu thương mại/ giảm giá mã 01KQBSYW4CDEGF5KCB1ZNADJ0P
Phí nền tảng mã 01KQBSYW4CDEGF5KCB1ZNADJ0P HĐ số 53421441</t>
  </si>
  <si>
    <t>Cước phí vận chuyển mã 01KQB900A3ZEZG1F1HS26J4CRV
Chiết khấu thương mại/ giảm giá mã 01KQB900A3ZEZG1F1HS26J4CRV
Phí nền tảng mã 01KQB900A3ZEZG1F1HS26J4CRV HĐ số 53272380</t>
  </si>
  <si>
    <t>06/05/2026</t>
  </si>
  <si>
    <t>Cước phí vận chuyển mã 01KQXSWX16PJZ612GP5JS0621D HĐ số 56851787</t>
  </si>
  <si>
    <t>07/05/2026</t>
  </si>
  <si>
    <t>Cước phí vận chuyển mã 01KR06JQKHXNNZPPQRAW4TW69P
Chiết khấu thương mại/ giảm giá mã 01KR06JQKHXNNZPPQRAW4TW69P
Phí nền tảng mã 01KR06JQKHXNNZPPQRAW4TW69P HĐ số 57324050</t>
  </si>
  <si>
    <t>22/05/2026</t>
  </si>
  <si>
    <t>C26MNV</t>
  </si>
  <si>
    <t>0110769341</t>
  </si>
  <si>
    <t>CÔNG TY TNHH THƯƠNG MẠI VÀ DỊCH VỤ HÂN NGỌC VIỆT</t>
  </si>
  <si>
    <t>Ly giữ nhiệt bằng thép không gỉ - 520ml. In hình theo yêu cầu
Dịch vụ thiết kế hình ảnh sản phẩm theo yêu cầu HĐ số 3294</t>
  </si>
  <si>
    <t>C26MST</t>
  </si>
  <si>
    <t>3604076857</t>
  </si>
  <si>
    <t>CÔNG TY TNHH THƯƠNG MẠI DỊCH VỤ ST WHEY FITNESS</t>
  </si>
  <si>
    <t>Phí dịch vụ Tanning thi đấu theo hợp đống số 05/2026/HĐHT-TANNING Đợt 1 HĐ số 291</t>
  </si>
  <si>
    <t>24/05/2026</t>
  </si>
  <si>
    <t>Cước phí vận chuyển mã 01KSD4P7YEKR2QASW2EN5QE6A1
Chiết khấu thương mại/ giảm giá mã 01KSD4P7YEKR2QASW2EN5QE6A1
Phí nền tảng mã 01KSD4P7YEKR2QASW2EN5QE6A1 HĐ số 67711382</t>
  </si>
  <si>
    <t>Cước phí vận chuyển mã 01KSCM2ZTPM8GBSW3Y657G2ZWT
Chiết khấu thương mại/ giảm giá mã 01KSCM2ZTPM8GBSW3Y657G2ZWT HĐ số 67488390</t>
  </si>
  <si>
    <t>Cước phí vận chuyển mã 01KSCKBZCYH0AHGPS0NCE3H8P0
Chiết khấu thương mại/ giảm giá mã 01KSCKBZCYH0AHGPS0NCE3H8P0
Phí nền tảng mã 01KSCKBZCYH0AHGPS0NCE3H8P0 HĐ số 67481869</t>
  </si>
  <si>
    <t>Cước phí vận chuyển mã 01KSCH0ES45RPZRTWQ8SRRJ6DN
Chiết khấu thương mại/ giảm giá mã 01KSCH0ES45RPZRTWQ8SRRJ6DN HĐ số 67458511</t>
  </si>
  <si>
    <t>Cước phí vận chuyển mã 01KSCCCFXWREJFN5BAJTPTDMDW
Chiết khấu thương mại/ giảm giá mã 01KSCCCFXWREJFN5BAJTPTDMDW
Phí nền tảng mã 01KSCCCFXWREJFN5BAJTPTDMDW HĐ số 67436961</t>
  </si>
  <si>
    <t>0311609355-001</t>
  </si>
  <si>
    <t>Chi nhánh Công ty Cổ phần Bán lẻ Kỹ thuật số FPT tại Hà Nội</t>
  </si>
  <si>
    <t>Máy tính bảng iPad Air 11 inch M4 2026 WiFi 128GB Xám không gian MH304ZA/A; Số serial: SMXQVCV6RJ7; Hạn bảo hành: 24/05/2027
Thiết bị gia dụng - Tặng mã ưu đãi giảm giá 100,000đ mua Quạt máy
Dịch Vụ - Phần mềm - Phiếu mua hàng 200,000đ mua Microsoft 365 Personal/Family
04.2026 - Máy tính bảng/iPad - Tặng mã ưu đãi 50,000đ khi mua sim FPT kèm máy
Phụ kiện Apple - Tặng phiếu mua hàng 400,000đ mua Apple Pencil/Bao da bàn phím (Hạn sử dụng 15 ngày)
Máy - Tặng mã ưu đãi giảm đến 2,500,000đ mua sim FVIP150/F199/F249/F299/F399- 6T/12T
Thiết bị gia dụng - Tặng mã ưu đãi giảm giá 50,000đ mua Camera
Thiết bị gia dụng - Tặng mã ưu đãi giảm giá 500,000đ mua Robot hút bụi/Máy hút bụi (Giá trên 6 Triệu) HĐ số 136820</t>
  </si>
  <si>
    <t>25/05/2026</t>
  </si>
  <si>
    <t>Cước phí vận chuyển mã 01KSESKX3QZ1F8YMN8YN9B5QM2
Chiết khấu thương mại/ giảm giá mã 01KSESKX3QZ1F8YMN8YN9B5QM2
Phí nền tảng mã 01KSESKX3QZ1F8YMN8YN9B5QM2 HĐ số 68023262</t>
  </si>
  <si>
    <t>Cước phí vận chuyển mã 01KSEKWNQM6EKF8TEPQ53XHPQY
Chiết khấu thương mại/ giảm giá mã 01KSEKWNQM6EKF8TEPQ53XHPQY
Phí nền tảng mã 01KSEKWNQM6EKF8TEPQ53XHPQY HĐ số 67964312</t>
  </si>
  <si>
    <t>Cước phí vận chuyển mã 01KSEDJ0540S15GCM9CFSYFVMC
Chiết khấu thương mại/ giảm giá mã 01KSEDJ0540S15GCM9CFSYFVMC
Phí nền tảng mã 01KSEDJ0540S15GCM9CFSYFVMC HĐ số 67911456</t>
  </si>
  <si>
    <t>27/05/2026</t>
  </si>
  <si>
    <t>K26TKE</t>
  </si>
  <si>
    <t>0100107518</t>
  </si>
  <si>
    <t>TỔNG CÔNG TY HÀNG KHÔNG VIỆT NAM  - CTCP</t>
  </si>
  <si>
    <t xml:space="preserve">
 HĐ số 1031240</t>
  </si>
  <si>
    <t>Cước phí vận chuyển mã 01KSKV9TY968QKJ270984ZKHSJ
Chiết khấu thương mại/ giảm giá mã 01KSKV9TY968QKJ270984ZKHSJ
Phí nền tảng mã 01KSKV9TY968QKJ270984ZKHSJ HĐ số 69209742</t>
  </si>
  <si>
    <t>Cước phí vận chuyển mã 01KSKFFH0Y2ZBKM7N9SCQXBM0T
Chiết khấu thương mại/ giảm giá mã 01KSKFFH0Y2ZBKM7N9SCQXBM0T
Phí nền tảng mã 01KSKFFH0Y2ZBKM7N9SCQXBM0T HĐ số 69082311</t>
  </si>
  <si>
    <t>29/05/2026</t>
  </si>
  <si>
    <t>C26TAA</t>
  </si>
  <si>
    <t>0302712571</t>
  </si>
  <si>
    <t>Công ty Cổ phần Mắt Bão</t>
  </si>
  <si>
    <t>Phần mềm hóa đơn điện tử M-300 0110840844.matbao.in (1 năm) HĐ số 44460</t>
  </si>
  <si>
    <t xml:space="preserve">
 HĐ số 1042833</t>
  </si>
  <si>
    <t>Cước phí vận chuyển mã 01KSSD15V7WYK6T69QWHZ2HX8C
Chiết khấu thương mại/ giảm giá mã 01KSSD15V7WYK6T69QWHZ2HX8C
Phí nền tảng mã 01KSSD15V7WYK6T69QWHZ2HX8C HĐ số 70563517</t>
  </si>
  <si>
    <t>Cước phí vận chuyển mã 01KSRMEE2S7955KW1P2VDHBXZT
Chiết khấu thương mại/ giảm giá mã 01KSRMEE2S7955KW1P2VDHBXZT
Phí nền tảng mã 01KSRMEE2S7955KW1P2VDHBXZT HĐ số 70325232</t>
  </si>
  <si>
    <t>C26MHC</t>
  </si>
  <si>
    <t>0110269067-001</t>
  </si>
  <si>
    <t>CHI NHÁNH THÀNH PHỐ HỒ CHÍ MINH - CÔNG TY CỔ PHẦN DI CHUYỂN XANH VÀ THÔNG MINH GSM</t>
  </si>
  <si>
    <t>Cước phí vận chuyển mã 01KSSFDZ3Y1VMM3H7C674VJ0QN
Chiết khấu thương mại/ giảm giá mã 01KSSFDZ3Y1VMM3H7C674VJ0QN HĐ số 47098499</t>
  </si>
  <si>
    <t>Cước phí vận chuyển mã 01KSSDJ70J26TVZSH8WA65ZMM0
Chiết khấu thương mại/ giảm giá mã 01KSSDJ70J26TVZSH8WA65ZMM0 HĐ số 47081625</t>
  </si>
  <si>
    <t>Cước phí vận chuyển mã 01KSS905WMRDT19XDA2JHA8HHH
Chiết khấu thương mại/ giảm giá mã 01KSS905WMRDT19XDA2JHA8HHH HĐ số 47064605</t>
  </si>
  <si>
    <t>C26MHS</t>
  </si>
  <si>
    <t>0315827587</t>
  </si>
  <si>
    <t>CÔNG TY CỔ PHẦN TAKAHIRO</t>
  </si>
  <si>
    <t>Râu Mực Chiên - Geso Karaage
Sò Điệp Nướng Phô Mai - Hotate Cheese Yaki
Món Sashimi Cá Hồi King - King Salmon Sashimi
Súp Miso Hải Sản - Kaisen Misoshiru HĐ số 24672</t>
  </si>
  <si>
    <t>30/05/2026</t>
  </si>
  <si>
    <t>Cước phí vận chuyển mã 01KSWKY7V78WTF4TY8RMRJ43WR
Chiết khấu thương mại/ giảm giá mã 01KSWKY7V78WTF4TY8RMRJ43WR HĐ số 47600497</t>
  </si>
  <si>
    <t>Cước phí vận chuyển mã 01KSWC47N3RNS2Z4QBNDDB1GYR
Chiết khấu thương mại/ giảm giá mã 01KSWC47N3RNS2Z4QBNDDB1GYR HĐ số 47546465</t>
  </si>
  <si>
    <t>Cước phí vận chuyển mã 01KSW4JYJNQZZVJZFYHTQJD9FB
Chiết khấu thương mại/ giảm giá mã 01KSW4JYJNQZZVJZFYHTQJD9FB HĐ số 47484853</t>
  </si>
  <si>
    <t>Cước phí vận chuyển mã 01KSVFSKG19PBF4PG4Z5YP7Q6A
Chiết khấu thương mại/ giảm giá mã 01KSVFSKG19PBF4PG4Z5YP7Q6A HĐ số 47362505</t>
  </si>
  <si>
    <t>C26MHL</t>
  </si>
  <si>
    <t>0319058036</t>
  </si>
  <si>
    <t>CÔNG TY TNHH THƯƠNG MẠI DỊCH VỤ HOÀNG LÂM LA</t>
  </si>
  <si>
    <t>HÁ CẢO TÔM
HÁ CẢO SÒ ĐIỆP
HÁ CẢO CUA
XÍU MẠI TÔM CUA
BÁNH CUỐN TÀU HỦ KY CHIÊN
BÁNH BAO XÁ XÍU
BÁNH CUỐN TÔM
CƠM CHIÊN DƯƠNG CHÂU HK
MIẾN XÀO THỊT CUA
CANH RONG BIỂN
GÀ HẤP MUỐI
BÒ LÚC LẮC KHOAI TÂY PHOMAI
NƯỚC SUỐI
BÁNH CUỐN SÒ ĐIỆP
ĐẬU HỦ HOÀNG KIM
XÔI CUA
GÀ HẤP CẢI BẸ XANH
TÔM SỐT PHOMAI TRỨNG MUỐI
BÔNG CẢI XANH XÀO HẢI SẢN
KHĂN LẠNH HĐ số 2780</t>
  </si>
  <si>
    <t>31/05/2026</t>
  </si>
  <si>
    <t>Cước phí vận chuyển mã 01KSY30X2CAY202FV0SMEXJ16T
Chiết khấu thương mại/ giảm giá mã 01KSY30X2CAY202FV0SMEXJ16T
Phí nền tảng mã 01KSY30X2CAY202FV0SMEXJ16T HĐ số 71702507</t>
  </si>
  <si>
    <t>Cước phí vận chuyển mã 01KSZ6SAHA2NGKCE01TYJCW77Z
Chiết khấu thương mại/ giảm giá mã 01KSZ6SAHA2NGKCE01TYJCW77Z HĐ số 47975233</t>
  </si>
  <si>
    <t>Cước phí vận chuyển mã 01KSYRKJNAMNP1P0QB8BSN2YV6
Chiết khấu thương mại/ giảm giá mã 01KSYRKJNAMNP1P0QB8BSN2YV6 HĐ số 47877678</t>
  </si>
  <si>
    <t>Cước phí vận chuyển mã 01KSY424B8A2VHH6G4KFKAK18T
Chiết khấu thương mại/ giảm giá mã 01KSY424B8A2VHH6G4KFKAK18T HĐ số 47749262</t>
  </si>
  <si>
    <t>01/06/2026</t>
  </si>
  <si>
    <t>C26TAB</t>
  </si>
  <si>
    <t>0300580104</t>
  </si>
  <si>
    <t>Công ty Liên Doanh Căn hộ và Văn phòng Sài Gòn (Saigon Office &amp; Serviced Apartment Company Limited)</t>
  </si>
  <si>
    <t>2 x AN SANG - Breakfast (SVC)
PHI PHUC VU - Service Charge Minor Operated HĐ số 3843</t>
  </si>
  <si>
    <t>THUE PHONG NGAY - Daily Apt Rental - (29/05/2026 - 31/05/2026)
PHI PHUC VU - Daily Service Charge - (29/05/2026 - 31/05/2026) HĐ số 3737</t>
  </si>
  <si>
    <t>Cước phí vận chuyển mã 01KT06XF3GWT8BJNKTKAEN6RY1
Chiết khấu thương mại/ giảm giá mã 01KT06XF3GWT8BJNKTKAEN6RY1 HĐ số 48038832</t>
  </si>
  <si>
    <t>C26MSM</t>
  </si>
  <si>
    <t>2400927184</t>
  </si>
  <si>
    <t>HỢP TÁC XÃ VẬN TẢI TAXI HƯƠNG GIANG</t>
  </si>
  <si>
    <t>Cước vận chuyển hành khách - BSX: 99H-136.49 - Điểm đón: Lẩu Cua Kinh Bắc - Bắc Giang, 106 Đường Lê Hồng Phong, Phường Bắc Giang, Tỉnh Bắc Ninh, Việt Nam - Điểm trả: Vinhomes Sky Park, Nguyễn Văn Mẫn, Phường Bắc Giang, Tỉnh Bắc Ninh, Việt Nam HĐ số 235912</t>
  </si>
  <si>
    <t>Cước vận chuyển hành khách - BSX: 99H-112.43 - Điểm đón: Vinhomes Sky Park, Nguyễn Văn Mẫn, Phường Bắc Giang, Tỉnh Bắc Ninh, Việt Nam - Điểm trả: 104 Đường Lê Hồng Phong, Phường Bắc Giang, Tỉnh Bắc Ninh, Việt Nam HĐ số 235764</t>
  </si>
  <si>
    <t>02/06/2026</t>
  </si>
  <si>
    <t>C26MGG</t>
  </si>
  <si>
    <t>0102721191-068</t>
  </si>
  <si>
    <t>CÔNG TY CỔ PHẦN TẬP ĐOÀN GOLDEN GATE - CHI NHÁNH MIỀN BẮC</t>
  </si>
  <si>
    <t>Nước Suối Dasani Purified Chai 500ml
Sườn non bò Mỹ cuộn có xương
Bánh xèo hải sản
Cơm Trộn Hàn Quốc
Canh rong biển thịt
Combo bò Mỹ thượng hạng
Combo dẻ sườn Gogi
Combo Hảo Hạng
Fanta (Lon)
Nước giải khát Sprite 650ml
Nước Coca Cola Mighty 650ml
Cơm Hàn Quốc HĐ số 1432209</t>
  </si>
  <si>
    <t>Cước vận chuyển hành khách - BSX: 98E-001.62 - Điểm đón: Chung Cư Quang Minh, Đường Hoàng Văn Thụ, Phường Bắc Giang, Tỉnh Bắc Ninh, Việt Nam - Điểm trả: Vincom Shophouse Bắc Giang Quang Trung, Phường Bắc Giang, Tỉnh Bắc Ninh, Việt Nam HĐ số 236756</t>
  </si>
  <si>
    <t>03/06/2026</t>
  </si>
  <si>
    <t>Cước phí vận chuyển mã 01KT6Y6C8QBXAHA8ABKGGT8KY2
Chiết khấu thương mại/ giảm giá mã 01KT6Y6C8QBXAHA8ABKGGT8KY2
Phí nền tảng mã 01KT6Y6C8QBXAHA8ABKGGT8KY2 HĐ số 73935147</t>
  </si>
  <si>
    <t>Cước phí vận chuyển mã 01KT6GS9VABVNZWJE0EFZKEQ76
Chiết khấu thương mại/ giảm giá mã 01KT6GS9VABVNZWJE0EFZKEQ76 HĐ số 73794645</t>
  </si>
  <si>
    <t>Cước phí vận chuyển mã 01KT6G0H272XMTH6ZMJ6PA97DN
Chiết khấu thương mại/ giảm giá mã 01KT6G0H272XMTH6ZMJ6PA97DN HĐ số 73766308</t>
  </si>
  <si>
    <t>Cước phí vận chuyển mã 01KT6C0PNJW8VG5YETEVSETJS8
Chiết khấu thương mại/ giảm giá mã 01KT6C0PNJW8VG5YETEVSETJS8 HĐ số 73724764</t>
  </si>
  <si>
    <t>Cước phí vận chuyển mã 01KT65JW3V30WQ80BG3QE35Q2A
Chiết khấu thương mại/ giảm giá mã 01KT65JW3V30WQ80BG3QE35Q2A
Phí nền tảng mã 01KT65JW3V30WQ80BG3QE35Q2A HĐ số 73668334</t>
  </si>
  <si>
    <t>Cước phí vận chuyển mã 01KT5WVNTC5V1Y0JBG60CPB4DV
Chiết khấu thương mại/ giảm giá mã 01KT5WVNTC5V1Y0JBG60CPB4DV
Phí nền tảng mã 01KT5WVNTC5V1Y0JBG60CPB4DV HĐ số 73586560</t>
  </si>
  <si>
    <t>05/06/2026</t>
  </si>
  <si>
    <t>Cước phí vận chuyển mã 01KTBBPQD53CBJYJZP2ZHGVX46
Chiết khấu thương mại/ giảm giá mã 01KTBBPQD53CBJYJZP2ZHGVX46 HĐ số 74941613</t>
  </si>
  <si>
    <t>Cước phí vận chuyển mã 01KTB19ZVNTX231KXSX49QKBCF
Chiết khấu thương mại/ giảm giá mã 01KTB19ZVNTX231KXSX49QKBCF HĐ số 74839534</t>
  </si>
  <si>
    <t>15/06/2026</t>
  </si>
  <si>
    <t>Cước vận chuyển hành khách - BSX: 98H-086.67 - Điểm đón: 291 Đường Nguyễn Thị Minh Khai, Phường Bắc Giang, Tỉnh Bắc Ninh, Việt Nam - Điểm trả: Vinhomes Sky Park, Nguyễn Văn Mẫn, Phường Bắc Giang, Tỉnh Bắc Ninh, Việt Nam HĐ số 264839</t>
  </si>
  <si>
    <t>Cước vận chuyển hành khách - BSX: 99H-136.49 - Điểm đón: Vinhomes Sky Park, Nguyễn Văn Mẫn, Phường Bắc Giang, Tỉnh Bắc Ninh, Việt Nam - Điểm trả: 10 Đường Huỳnh Thúc Kháng, Phường Tân Tiến, Tỉnh Bắc Ninh, Việt Nam HĐ số 264528</t>
  </si>
  <si>
    <t>16/06/2026</t>
  </si>
  <si>
    <t>Cước phí vận chuyển mã 01KV7JC3JF6RS07ZY53YR4KT3Z
Chiết khấu thương mại/ giảm giá mã 01KV7JC3JF6RS07ZY53YR4KT3Z
Phí nền tảng mã 01KV7JC3JF6RS07ZY53YR4KT3Z HĐ số 82053825</t>
  </si>
  <si>
    <t>Cước phí vận chuyển mã 01KV7G5ARQQ78TSG1675Y9X7F9
Chiết khấu thương mại/ giảm giá mã 01KV7G5ARQQ78TSG1675Y9X7F9
Phí nền tảng mã 01KV7G5ARQQ78TSG1675Y9X7F9 HĐ số 82032524</t>
  </si>
  <si>
    <t>17/06/2026</t>
  </si>
  <si>
    <t>Cước phí vận chuyển mã 01KVA7EJ7JZK1VS20Y56GSF9RE
Chiết khấu thương mại/ giảm giá mã 01KVA7EJ7JZK1VS20Y56GSF9RE
Phí nền tảng mã 01KVA7EJ7JZK1VS20Y56GSF9RE HĐ số 82734571</t>
  </si>
  <si>
    <t>Cước phí vận chuyển mã 01KV9S94CY7R0E4SZ6BW9GMXHG
Chiết khấu thương mại/ giảm giá mã 01KV9S94CY7R0E4SZ6BW9GMXHG
Phí nền tảng mã 01KV9S94CY7R0E4SZ6BW9GMXHG HĐ số 82577115</t>
  </si>
  <si>
    <t>Cước phí vận chuyển mã 01KV9FZ4RJFGZB4QBCZJ54FYYS
Chiết khấu thương mại/ giảm giá mã 01KV9FZ4RJFGZB4QBCZJ54FYYS
Phí nền tảng mã 01KV9FZ4RJFGZB4QBCZJ54FYYS HĐ số 82485853</t>
  </si>
  <si>
    <t>C26MSS</t>
  </si>
  <si>
    <t>0313175103-001</t>
  </si>
  <si>
    <t>CHI NHÁNH HÀ NỘI - CÔNG TY CỔ PHẦN MAISON RETAIL MANAGEMENT INTERNATIONAL</t>
  </si>
  <si>
    <t>GIÀY, 36, 41 - CK1-60361577
TÚI GIẤY, 02, 34 - CK-ESSKRAFTS HĐ số 282376</t>
  </si>
  <si>
    <t>C26MTC</t>
  </si>
  <si>
    <t>0107742477</t>
  </si>
  <si>
    <t>CÔNG TY CP TẦM NHÌN QUỐC TẾ ALADDIN</t>
  </si>
  <si>
    <t>Nước lọc Aquafina
Bắp hoa
Khăn lạnh
Set Tâm Giao HĐ số 8350</t>
  </si>
  <si>
    <t>18/06/2026</t>
  </si>
  <si>
    <t>Cước phí vận chuyển mã 01KVCCHBWTPV84GBNRRBC3STPA
Chiết khấu thương mại/ giảm giá mã 01KVCCHBWTPV84GBNRRBC3STPA HĐ số 83261546</t>
  </si>
  <si>
    <t>Cước phí vận chuyển mã 01KVC7ZW7HM3ZX1JGWEQZ231J7
Chiết khấu thương mại/ giảm giá mã 01KVC7ZW7HM3ZX1JGWEQZ231J7
Phí nền tảng mã 01KVC7ZW7HM3ZX1JGWEQZ231J7 HĐ số 83213702</t>
  </si>
  <si>
    <t>19/06/2026</t>
  </si>
  <si>
    <t>Cước phí vận chuyển mã 01KVFSFHFAAP12S174VEBGNGSJ
Chiết khấu thương mại/ giảm giá mã 01KVFSFHFAAP12S174VEBGNGSJ
Phí nền tảng mã 01KVFSFHFAAP12S174VEBGNGSJ HĐ số 84276078</t>
  </si>
  <si>
    <t>Cước phí vận chuyển mã 01KVFE2E4MMYATGE6KT1BXMKDK
Chiết khấu thương mại/ giảm giá mã 01KVFE2E4MMYATGE6KT1BXMKDK HĐ số 84090940</t>
  </si>
  <si>
    <t>Cước phí vận chuyển mã 01KVF7WMKKGA3R5B15CAVKD4AJ
Chiết khấu thương mại/ giảm giá mã 01KVF7WMKKGA3R5B15CAVKD4AJ
Phí nền tảng mã 01KVF7WMKKGA3R5B15CAVKD4AJ HĐ số 84044237</t>
  </si>
  <si>
    <t>20/06/2026</t>
  </si>
  <si>
    <t>Cước phí vận chuyển mã 01KVHJW58KFA47973M6ZZBFE54
Chiết khấu thương mại/ giảm giá mã 01KVHJW58KFA47973M6ZZBFE54 HĐ số 84680443</t>
  </si>
  <si>
    <t>C26MXS</t>
  </si>
  <si>
    <t>0313563635</t>
  </si>
  <si>
    <t>CÔNG TY TNHH VẬN TẢI SACO</t>
  </si>
  <si>
    <t>Cước vận chuyển hành khách - BSX: 29E-132.67 - Điểm đón: 23 PHAN HUY ÍCH, Phường Nguyễn Trung Trực, Quận Ba Đình, Thành phố Hà Nội, VNM - Điểm trả: 60 Mai Hắc Đế Phố Mai Hắc Đế, Phường Nguyễn Du, Quận Hai Bà Trưng, Thành phố Hà Nội HĐ số 121579</t>
  </si>
  <si>
    <t>22/06/2026</t>
  </si>
  <si>
    <t>Cước phí vận chuyển mã 01KVQNEBTTRXMRFKA5Z1ZZKESM
Chiết khấu thương mại/ giảm giá mã 01KVQNEBTTRXMRFKA5Z1ZZKESM HĐ số 86397873</t>
  </si>
  <si>
    <t>Cước vận chuyển hành khách - BSX: 99H-128.23 - Điểm đón: Vinhomes Sky Park, Nguyễn Văn Mẫn, Phường Bắc Giang, Tỉnh Bắc Ninh, Việt Nam - Điểm trả: 1 Đường Nguyễn Văn Ty, Phường Việt Yên, Tỉnh Bắc Ninh, Việt Nam HĐ số 281358</t>
  </si>
  <si>
    <t>Cước vận chuyển hành khách - BSX: 98H-082.87 - Điểm đón: Trung tâm Phục vụ hành chính công tỉnh Bắc Giang, 76J2+9JQ, Phường Bắc Giang, Tỉnh Bắc Ninh, Việt Nam - Điểm trả: Vinhomes Sky Park, Nguyễn Văn Mẫn, Phường Bắc Giang, Tỉnh Bắc Ninh, Việt Nam HĐ số 281299</t>
  </si>
  <si>
    <t>Cước vận chuyển hành khách - BSX: 98F-008.78 - Điểm đón: Vinhomes Sky Park, Nguyễn Văn Mẫn, Phường Bắc Giang, Tỉnh Bắc Ninh, Việt Nam - Điểm trả: 5-6 Đường Ngô Văn Cảnh, Phường Bắc Giang, Tỉnh Bắc Ninh, Việt Nam HĐ số 281201</t>
  </si>
  <si>
    <t>Cước vận chuyển hành khách - BSX: 99H-128.47 - Điểm đón: 5-6 Đường Ngô Văn Cảnh, Phường Bắc Giang, Tỉnh Bắc Ninh, Việt Nam - Điểm trả: Vinhomes Sky Park, Nguyễn Văn Mẫn, Phường Bắc Giang, Tỉnh Bắc Ninh, Việt Nam HĐ số 281133</t>
  </si>
  <si>
    <t>23/06/2026</t>
  </si>
  <si>
    <t>Cước phí vận chuyển mã 01KVS7PXPMA4WG78D73HGMPK9H
Chiết khấu thương mại/ giảm giá mã 01KVS7PXPMA4WG78D73HGMPK9H
Phí nền tảng mã 01KVS7PXPMA4WG78D73HGMPK9H HĐ số 86723182</t>
  </si>
  <si>
    <t>Bán ra</t>
  </si>
  <si>
    <t>15/05/2026</t>
  </si>
  <si>
    <t>C26MBF</t>
  </si>
  <si>
    <t>Do Hoang Anh</t>
  </si>
  <si>
    <t>Phí thành viên
Phí tanning
Phí phân hạng 01 HĐ số 14</t>
  </si>
  <si>
    <t>Phan Thanh Tung</t>
  </si>
  <si>
    <t>Phí thành viên HĐ số 13</t>
  </si>
  <si>
    <t>Nguyen Dang Khoa</t>
  </si>
  <si>
    <t>Phí thành viên HĐ số 12</t>
  </si>
  <si>
    <t>Ha Thi Huyen Linh</t>
  </si>
  <si>
    <t>Phí thành viên HĐ số 11</t>
  </si>
  <si>
    <t>Dao Duy Tung</t>
  </si>
  <si>
    <t>Phí thành viên
Phí tanning
Phí phân hạng 01
Phí phân hạng thêm HĐ số 10</t>
  </si>
  <si>
    <t>Tran Phan Hop</t>
  </si>
  <si>
    <t>Phí thành viên
Phí tanning
Phí phân hạng 01
Phí phân hạng thêm HĐ số 9</t>
  </si>
  <si>
    <t>Nguyen Quang Quan</t>
  </si>
  <si>
    <t>Phí thành viên HĐ số 8</t>
  </si>
  <si>
    <t>Pham Hong Dang</t>
  </si>
  <si>
    <t>Phí thành viên
Phí tanning
Phí phân hạng 01
Phí phân hạng thêm HĐ số 7</t>
  </si>
  <si>
    <t>Duong Tien Dat</t>
  </si>
  <si>
    <t>Phí thành viên HĐ số 6</t>
  </si>
  <si>
    <t>Hur Gyeong Un</t>
  </si>
  <si>
    <t>Phí thành viên HĐ số 5</t>
  </si>
  <si>
    <t>Dam Vinh Hung</t>
  </si>
  <si>
    <t>Phí thành viên
Phí tanning
Phí phân hạng 01
Phí phân hạng thêm HĐ số 4</t>
  </si>
  <si>
    <t>Nguyen Hoang Ba Dat</t>
  </si>
  <si>
    <t>Phí thành viên
Phí tanning
Phí phân hạng 01
Phí phân hạng thêm HĐ số 3</t>
  </si>
  <si>
    <t>Nguyen Tuan Tu</t>
  </si>
  <si>
    <t>Phí thành viên
Phí tanning
Phí phân hạng 01
Phí phân hạng thêm HĐ số 2</t>
  </si>
  <si>
    <t>Do Tan Tai</t>
  </si>
  <si>
    <t>Phí thành viên
Phí tanning
Phí phân hạng 01
Phí phân hạng thêm HĐ số 1</t>
  </si>
  <si>
    <t>16/05/2026</t>
  </si>
  <si>
    <t>Nguyen Cong Dat</t>
  </si>
  <si>
    <t>Phí thành viên HĐ số 16</t>
  </si>
  <si>
    <t>Tran Van Dong</t>
  </si>
  <si>
    <t>Phí thành viên
Phí tanning
Phí phân hạng 01
Phí phân hạng thêm HĐ số 15</t>
  </si>
  <si>
    <t>17/05/2026</t>
  </si>
  <si>
    <t>Nguyen Tung Lam</t>
  </si>
  <si>
    <t>Phí thành viên HĐ số 19</t>
  </si>
  <si>
    <t>Dang Vu Truong Huy</t>
  </si>
  <si>
    <t>Phí thành viên HĐ số 18</t>
  </si>
  <si>
    <t>Trinh Viet Thai</t>
  </si>
  <si>
    <t>Phí thành viên
Phí tanning
Phí phân hạng 01
Phí phân hạng thêm HĐ số 17</t>
  </si>
  <si>
    <t>18/05/2026</t>
  </si>
  <si>
    <t>Pham Minh Duc</t>
  </si>
  <si>
    <t>Phí thành viên
Phí phân hạng 01 HĐ số 23</t>
  </si>
  <si>
    <t>Phí tanning
Phí phân hạng 01 HĐ số 22</t>
  </si>
  <si>
    <t>Vu Quang Minh</t>
  </si>
  <si>
    <t>Phí thành viên HĐ số 21</t>
  </si>
  <si>
    <t>Phí tanning
Phí phân hạng 01
Phí phân hạng thêm HĐ số 20</t>
  </si>
  <si>
    <t>19/05/2026</t>
  </si>
  <si>
    <t>Vu Tran Anh Kiet</t>
  </si>
  <si>
    <t>Phí thành viên HĐ số 27</t>
  </si>
  <si>
    <t>Dang Nhu Huynh</t>
  </si>
  <si>
    <t>Phí thành viên HĐ số 26</t>
  </si>
  <si>
    <t>Le Van Canh</t>
  </si>
  <si>
    <t>Phí thành viên HĐ số 25</t>
  </si>
  <si>
    <t>Pham Hung Cuong</t>
  </si>
  <si>
    <t>Phí phân hạng 01
Phí phân hạng thêm HĐ số 24</t>
  </si>
  <si>
    <t>20/05/2026</t>
  </si>
  <si>
    <t>Phí tanning
Phí phân hạng 01 HĐ số 29</t>
  </si>
  <si>
    <t>Tran Thi Thu Hang</t>
  </si>
  <si>
    <t>Phí thành viên HĐ số 28</t>
  </si>
  <si>
    <t>21/05/2026</t>
  </si>
  <si>
    <t>Phí tanning
Phí phân hạng 01
Phí phân hạng thêm HĐ số 33</t>
  </si>
  <si>
    <t>Phí phân hạng 01 HĐ số 32</t>
  </si>
  <si>
    <t>Nguyen Duc Tai</t>
  </si>
  <si>
    <t>Phí thành viên
Phí tanning
Phí phân hạng 01
Phí phân hạng thêm HĐ số 31</t>
  </si>
  <si>
    <t>Hwang Injae</t>
  </si>
  <si>
    <t>Phí tanning
Phí phân hạng 01 HĐ số 30</t>
  </si>
  <si>
    <t>Bui Hong Phuc</t>
  </si>
  <si>
    <t>Phí thành viên
Phí phân hạng 01
Phí phân hạng thêm HĐ số 35</t>
  </si>
  <si>
    <t>Dong Gia Khanh</t>
  </si>
  <si>
    <t>Phí thành viên HĐ số 34</t>
  </si>
  <si>
    <t>23/05/2026</t>
  </si>
  <si>
    <t>Pham Hoai Nam</t>
  </si>
  <si>
    <t>Phí thành viên HĐ số 37</t>
  </si>
  <si>
    <t>Phí tanning
Phí phân hạng 01
Phí phân hạng thêm HĐ số 36</t>
  </si>
  <si>
    <t>Nguyen Van Tu</t>
  </si>
  <si>
    <t>Phí tanning
Phí phân hạng 01
Phí phân hạng thêm
Phí thành viên HĐ số 39</t>
  </si>
  <si>
    <t>Vu Tien Le</t>
  </si>
  <si>
    <t>Phí thành viên HĐ số 38</t>
  </si>
  <si>
    <t>Phí tanning
Phí phân hạng 01
Phí phân hạng thêm HĐ số 41</t>
  </si>
  <si>
    <t>Le Dinh Hai</t>
  </si>
  <si>
    <t>Phí thành viên HĐ số 40</t>
  </si>
  <si>
    <t>26/05/2026</t>
  </si>
  <si>
    <t>Pham Tuan Ninh</t>
  </si>
  <si>
    <t>Phí thành viên HĐ số 42</t>
  </si>
  <si>
    <t>Hoang Trung Duc</t>
  </si>
  <si>
    <t>Phí thành viên HĐ số 46</t>
  </si>
  <si>
    <t>Phí thành viên
Phí tanning
Phí phân hạng 01 HĐ số 45</t>
  </si>
  <si>
    <t>Nguyen Truong Thanh An</t>
  </si>
  <si>
    <t>Phí thành viên
Phí tanning
Phí phân hạng 01
Phí phân hạng thêm HĐ số 44</t>
  </si>
  <si>
    <t>Le Dang Hoang</t>
  </si>
  <si>
    <t>Phí thành viên
Phí tanning
Phí phân hạng 01
Phí phân hạng thêm HĐ số 43</t>
  </si>
  <si>
    <t>Phí tanning
Phí phân hạng 01 HĐ số 55</t>
  </si>
  <si>
    <t>Chu Trong Hieu</t>
  </si>
  <si>
    <t>Phí thành viên
Phí tanning
Phí phân hạng 01 HĐ số 54</t>
  </si>
  <si>
    <t>Le Van Huan</t>
  </si>
  <si>
    <t>Phí thành viên HĐ số 53</t>
  </si>
  <si>
    <t>Taiel Josue Shivani Meirone</t>
  </si>
  <si>
    <t>Phí thành viên HĐ số 52</t>
  </si>
  <si>
    <t>Pham Tan Anh</t>
  </si>
  <si>
    <t>Phí thành viên
Phí phân hạng 01 HĐ số 51</t>
  </si>
  <si>
    <t>La Quyet Tam</t>
  </si>
  <si>
    <t>Phí thành viên
Phí phân hạng 01 HĐ số 50</t>
  </si>
  <si>
    <t>Phí tanning
Phí phân hạng 01
Phí phân hạng thêm HĐ số 49</t>
  </si>
  <si>
    <t>Tran Manh Hung</t>
  </si>
  <si>
    <t>Phí thành viên HĐ số 48</t>
  </si>
  <si>
    <t>Nguyen Duy Tan</t>
  </si>
  <si>
    <t>Phí thành viên
Phí tanning
Phí phân hạng 01
Phí phân hạng thêm HĐ số 47</t>
  </si>
  <si>
    <t>Lai The Ha</t>
  </si>
  <si>
    <t>Phí thành viên HĐ số 61</t>
  </si>
  <si>
    <t>Tran Van Hiep</t>
  </si>
  <si>
    <t>Phí thành viên HĐ số 60</t>
  </si>
  <si>
    <t>Ha Dat Hung</t>
  </si>
  <si>
    <t>Phí thành viên HĐ số 59</t>
  </si>
  <si>
    <t>Hoang Ngoc Huy</t>
  </si>
  <si>
    <t>Phí thành viên
Phí tanning
Phí phân hạng 01
Phí phân hạng thêm HĐ số 58</t>
  </si>
  <si>
    <t>Phí thành viên HĐ số 57</t>
  </si>
  <si>
    <t>Pham Van Linh</t>
  </si>
  <si>
    <t>Phí thành viên
Phí tanning
Phí phân hạng 01
Phí phân hạng thêm HĐ số 56</t>
  </si>
  <si>
    <t>Nguyen De Nhi</t>
  </si>
  <si>
    <t>Phí thành viên HĐ số 67</t>
  </si>
  <si>
    <t>Bui Van Huy</t>
  </si>
  <si>
    <t>Phí thành viên HĐ số 66</t>
  </si>
  <si>
    <t>Phí tanning
Phí phân hạng 01
Phí phân hạng thêm HĐ số 65</t>
  </si>
  <si>
    <t>Phí tanning
Phí phân hạng 01
Phí phân hạng thêm HĐ số 64</t>
  </si>
  <si>
    <t>Phí tanning
Phí phân hạng 01
Phí phân hạng thêm HĐ số 63</t>
  </si>
  <si>
    <t>Pham Xuan Chien</t>
  </si>
  <si>
    <t>Phí thành viên
Phí tanning
Phí phân hạng 01
Phí phân hạng thêm HĐ số 62</t>
  </si>
  <si>
    <t>Hoang Van Thai</t>
  </si>
  <si>
    <t>Phí thành viên
Phí tanning
Phí phân hạng 01 HĐ số 69</t>
  </si>
  <si>
    <t>Phí tanning
Phí phân hạng 01
Phí phân hạng thêm HĐ số 68</t>
  </si>
  <si>
    <t>Ngo Anh Dung</t>
  </si>
  <si>
    <t>Phí thành viên HĐ số 71</t>
  </si>
  <si>
    <t>Phí phân hạng 01 HĐ số 70</t>
  </si>
  <si>
    <t>06/06/2026</t>
  </si>
  <si>
    <t>Nguyen Duy Duc</t>
  </si>
  <si>
    <t>Phí thành viên HĐ số 72</t>
  </si>
  <si>
    <t>Pham Van Do</t>
  </si>
  <si>
    <t>Phí thành viên HĐ số 74</t>
  </si>
  <si>
    <t>Doan Trong Sang</t>
  </si>
  <si>
    <t>Phí thành viên HĐ số 73</t>
  </si>
  <si>
    <t>Phí tanning
Phí phân hạng 01
Phí phân hạng thêm HĐ số 75</t>
  </si>
  <si>
    <t>Phí tanning
Phí phân hạng 01
Phí phân hạng thêm HĐ số 76</t>
  </si>
  <si>
    <t>Nguyen Ngoc Nhat</t>
  </si>
  <si>
    <t>Phí thành viên HĐ số 77</t>
  </si>
  <si>
    <t>28/06/2026</t>
  </si>
  <si>
    <t>Phí tanning
Phí phân hạng 01
Phí phân hạng thêm HĐ số 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</si>
</sst>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1" fontId="0" fillId="0" borderId="0" xfId="0" applyNumberFormat="1"/>
    <xf numFmtId="3" fontId="0" fillId="0" borderId="0" xfId="0" applyNumberFormat="1"/>
    <xf numFmtId="1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R158"/>
  <sheetViews>
    <sheetView tabSelected="1" topLeftCell="A45" workbookViewId="0">
      <selection activeCell="K3" sqref="K3:K80"/>
    </sheetView>
  </sheetViews>
  <sheetFormatPr defaultRowHeight="15.75" x14ac:dyDescent="0.25"/>
  <cols>
    <col min="9" max="9" width="11.125" style="1" bestFit="1" customWidth="1"/>
    <col min="10" max="10" width="9.125" style="1" bestFit="1" customWidth="1"/>
    <col min="11" max="11" width="11.125" style="1" bestFit="1" customWidth="1"/>
    <col min="12" max="12" width="12.125" style="1" bestFit="1" customWidth="1"/>
    <col min="13" max="15" width="12.125" style="1" customWidth="1"/>
  </cols>
  <sheetData>
    <row r="1" spans="1:14" x14ac:dyDescent="0.25">
      <c r="K1" s="1">
        <f>SUBTOTAL(9,K3:K158)</f>
        <v>6057473</v>
      </c>
      <c r="L1" s="1">
        <f>SUBTOTAL(9,L3:L158)</f>
        <v>82410784</v>
      </c>
    </row>
    <row r="2" spans="1:14" x14ac:dyDescent="0.25">
      <c r="A2" t="s">
        <v>0</v>
      </c>
      <c r="B2" t="s">
        <v>1</v>
      </c>
      <c r="C2" t="s">
        <v>2</v>
      </c>
      <c r="D2" t="s">
        <v>3</v>
      </c>
      <c r="E2" t="s">
        <v>4</v>
      </c>
      <c r="F2" t="s">
        <v>5</v>
      </c>
      <c r="G2" t="s">
        <v>6</v>
      </c>
      <c r="H2" t="s">
        <v>7</v>
      </c>
      <c r="I2" s="1" t="s">
        <v>8</v>
      </c>
      <c r="J2" s="1" t="s">
        <v>9</v>
      </c>
      <c r="K2" s="1" t="s">
        <v>10</v>
      </c>
      <c r="L2" s="1" t="s">
        <v>11</v>
      </c>
    </row>
    <row r="3" spans="1:14" x14ac:dyDescent="0.25">
      <c r="A3">
        <v>1</v>
      </c>
      <c r="B3" t="s">
        <v>12</v>
      </c>
      <c r="C3" t="s">
        <v>13</v>
      </c>
      <c r="D3">
        <v>20</v>
      </c>
      <c r="E3" t="s">
        <v>14</v>
      </c>
      <c r="F3" t="s">
        <v>15</v>
      </c>
      <c r="G3" t="s">
        <v>16</v>
      </c>
      <c r="H3" t="s">
        <v>17</v>
      </c>
      <c r="I3" s="1">
        <v>5000000</v>
      </c>
      <c r="J3" s="1">
        <v>0</v>
      </c>
      <c r="K3" s="1">
        <v>400000</v>
      </c>
      <c r="L3" s="1">
        <v>5400000</v>
      </c>
      <c r="M3" s="3">
        <f>K3/(L3-K3)</f>
        <v>0.08</v>
      </c>
      <c r="N3" s="1">
        <f>L3-K3</f>
        <v>5000000</v>
      </c>
    </row>
    <row r="4" spans="1:14" x14ac:dyDescent="0.25">
      <c r="A4">
        <v>2</v>
      </c>
      <c r="B4" t="s">
        <v>12</v>
      </c>
      <c r="C4" t="s">
        <v>13</v>
      </c>
      <c r="D4">
        <v>38543484</v>
      </c>
      <c r="E4" t="s">
        <v>18</v>
      </c>
      <c r="F4" t="s">
        <v>19</v>
      </c>
      <c r="G4" t="s">
        <v>20</v>
      </c>
      <c r="H4" t="s">
        <v>21</v>
      </c>
      <c r="I4" s="1">
        <v>306092</v>
      </c>
      <c r="J4" s="1">
        <v>0</v>
      </c>
      <c r="K4" s="1">
        <v>22908</v>
      </c>
      <c r="L4" s="1">
        <v>329000</v>
      </c>
      <c r="M4" s="3">
        <f t="shared" ref="M4:M67" si="0">K4/(L4-K4)</f>
        <v>7.484024410961411E-2</v>
      </c>
      <c r="N4" s="1">
        <f t="shared" ref="N4:N5" si="1">L4-K4</f>
        <v>306092</v>
      </c>
    </row>
    <row r="5" spans="1:14" x14ac:dyDescent="0.25">
      <c r="A5">
        <v>3</v>
      </c>
      <c r="B5" t="s">
        <v>12</v>
      </c>
      <c r="C5" t="s">
        <v>22</v>
      </c>
      <c r="D5">
        <v>39125861</v>
      </c>
      <c r="E5" t="s">
        <v>18</v>
      </c>
      <c r="F5" t="s">
        <v>19</v>
      </c>
      <c r="G5" t="s">
        <v>20</v>
      </c>
      <c r="H5" t="s">
        <v>23</v>
      </c>
      <c r="I5" s="1">
        <v>365480</v>
      </c>
      <c r="J5" s="1">
        <v>42480</v>
      </c>
      <c r="K5" s="1">
        <v>22334</v>
      </c>
      <c r="L5" s="1">
        <v>323000</v>
      </c>
      <c r="M5" s="3">
        <f t="shared" si="0"/>
        <v>7.4281761156898357E-2</v>
      </c>
      <c r="N5" s="1">
        <f t="shared" si="1"/>
        <v>300666</v>
      </c>
    </row>
    <row r="6" spans="1:14" hidden="1" x14ac:dyDescent="0.25">
      <c r="A6">
        <v>4</v>
      </c>
      <c r="B6" t="s">
        <v>12</v>
      </c>
      <c r="C6" t="s">
        <v>24</v>
      </c>
      <c r="D6">
        <v>1676</v>
      </c>
      <c r="E6" t="s">
        <v>25</v>
      </c>
      <c r="F6" t="s">
        <v>26</v>
      </c>
      <c r="G6" t="s">
        <v>27</v>
      </c>
      <c r="H6" t="s">
        <v>28</v>
      </c>
      <c r="I6" s="1">
        <v>9600000</v>
      </c>
      <c r="J6" s="1">
        <v>0</v>
      </c>
      <c r="K6" s="1">
        <v>960000</v>
      </c>
      <c r="L6" s="1">
        <v>10560000</v>
      </c>
      <c r="M6" s="3">
        <f t="shared" si="0"/>
        <v>0.1</v>
      </c>
    </row>
    <row r="7" spans="1:14" x14ac:dyDescent="0.25">
      <c r="A7">
        <v>5</v>
      </c>
      <c r="B7" t="s">
        <v>12</v>
      </c>
      <c r="C7" t="s">
        <v>29</v>
      </c>
      <c r="D7">
        <v>53001070</v>
      </c>
      <c r="E7" t="s">
        <v>18</v>
      </c>
      <c r="F7" t="s">
        <v>19</v>
      </c>
      <c r="G7" t="s">
        <v>20</v>
      </c>
      <c r="H7" t="s">
        <v>30</v>
      </c>
      <c r="I7" s="1">
        <v>66960</v>
      </c>
      <c r="J7" s="1">
        <v>6960</v>
      </c>
      <c r="K7" s="1">
        <v>4152</v>
      </c>
      <c r="L7" s="1">
        <v>60000</v>
      </c>
      <c r="M7" s="3">
        <f t="shared" si="0"/>
        <v>7.4344649763644174E-2</v>
      </c>
      <c r="N7" s="1">
        <f t="shared" ref="N7:N26" si="2">L7-K7</f>
        <v>55848</v>
      </c>
    </row>
    <row r="8" spans="1:14" x14ac:dyDescent="0.25">
      <c r="A8">
        <v>6</v>
      </c>
      <c r="B8" t="s">
        <v>12</v>
      </c>
      <c r="C8" t="s">
        <v>31</v>
      </c>
      <c r="D8">
        <v>53442891</v>
      </c>
      <c r="E8" t="s">
        <v>18</v>
      </c>
      <c r="F8" t="s">
        <v>19</v>
      </c>
      <c r="G8" t="s">
        <v>20</v>
      </c>
      <c r="H8" t="s">
        <v>32</v>
      </c>
      <c r="I8" s="1">
        <v>114386</v>
      </c>
      <c r="J8" s="1">
        <v>13386</v>
      </c>
      <c r="K8" s="1">
        <v>6984</v>
      </c>
      <c r="L8" s="1">
        <v>101000</v>
      </c>
      <c r="M8" s="3">
        <f t="shared" si="0"/>
        <v>7.4285228046289994E-2</v>
      </c>
      <c r="N8" s="1">
        <f t="shared" si="2"/>
        <v>94016</v>
      </c>
    </row>
    <row r="9" spans="1:14" x14ac:dyDescent="0.25">
      <c r="A9">
        <v>7</v>
      </c>
      <c r="B9" t="s">
        <v>12</v>
      </c>
      <c r="C9" t="s">
        <v>31</v>
      </c>
      <c r="D9">
        <v>53421441</v>
      </c>
      <c r="E9" t="s">
        <v>18</v>
      </c>
      <c r="F9" t="s">
        <v>19</v>
      </c>
      <c r="G9" t="s">
        <v>20</v>
      </c>
      <c r="H9" t="s">
        <v>33</v>
      </c>
      <c r="I9" s="1">
        <v>153445</v>
      </c>
      <c r="J9" s="1">
        <v>18445</v>
      </c>
      <c r="K9" s="1">
        <v>9333</v>
      </c>
      <c r="L9" s="1">
        <v>135000</v>
      </c>
      <c r="M9" s="3">
        <f t="shared" si="0"/>
        <v>7.4267707512712167E-2</v>
      </c>
      <c r="N9" s="1">
        <f t="shared" si="2"/>
        <v>125667</v>
      </c>
    </row>
    <row r="10" spans="1:14" x14ac:dyDescent="0.25">
      <c r="A10">
        <v>8</v>
      </c>
      <c r="B10" t="s">
        <v>12</v>
      </c>
      <c r="C10" t="s">
        <v>31</v>
      </c>
      <c r="D10">
        <v>53272380</v>
      </c>
      <c r="E10" t="s">
        <v>18</v>
      </c>
      <c r="F10" t="s">
        <v>19</v>
      </c>
      <c r="G10" t="s">
        <v>20</v>
      </c>
      <c r="H10" t="s">
        <v>34</v>
      </c>
      <c r="I10" s="1">
        <v>196210</v>
      </c>
      <c r="J10" s="1">
        <v>29210</v>
      </c>
      <c r="K10" s="1">
        <v>11530</v>
      </c>
      <c r="L10" s="1">
        <v>167000</v>
      </c>
      <c r="M10" s="3">
        <f t="shared" si="0"/>
        <v>7.4162217791213736E-2</v>
      </c>
      <c r="N10" s="1">
        <f t="shared" si="2"/>
        <v>155470</v>
      </c>
    </row>
    <row r="11" spans="1:14" x14ac:dyDescent="0.25">
      <c r="A11">
        <v>9</v>
      </c>
      <c r="B11" t="s">
        <v>12</v>
      </c>
      <c r="C11" t="s">
        <v>35</v>
      </c>
      <c r="D11">
        <v>56851787</v>
      </c>
      <c r="E11" t="s">
        <v>18</v>
      </c>
      <c r="F11" t="s">
        <v>19</v>
      </c>
      <c r="G11" t="s">
        <v>20</v>
      </c>
      <c r="H11" t="s">
        <v>36</v>
      </c>
      <c r="I11" s="1">
        <v>87963</v>
      </c>
      <c r="J11" s="1">
        <v>0</v>
      </c>
      <c r="K11" s="1">
        <v>7037</v>
      </c>
      <c r="L11" s="1">
        <v>95000</v>
      </c>
      <c r="M11" s="3">
        <f t="shared" si="0"/>
        <v>7.9999545263349361E-2</v>
      </c>
      <c r="N11" s="1">
        <f t="shared" si="2"/>
        <v>87963</v>
      </c>
    </row>
    <row r="12" spans="1:14" x14ac:dyDescent="0.25">
      <c r="A12">
        <v>10</v>
      </c>
      <c r="B12" t="s">
        <v>12</v>
      </c>
      <c r="C12" t="s">
        <v>37</v>
      </c>
      <c r="D12">
        <v>57324050</v>
      </c>
      <c r="E12" t="s">
        <v>18</v>
      </c>
      <c r="F12" t="s">
        <v>19</v>
      </c>
      <c r="G12" t="s">
        <v>20</v>
      </c>
      <c r="H12" t="s">
        <v>38</v>
      </c>
      <c r="I12" s="1">
        <v>314332</v>
      </c>
      <c r="J12" s="1">
        <v>36332</v>
      </c>
      <c r="K12" s="1">
        <v>19224</v>
      </c>
      <c r="L12" s="1">
        <v>278000</v>
      </c>
      <c r="M12" s="3">
        <f t="shared" si="0"/>
        <v>7.4288187467153058E-2</v>
      </c>
      <c r="N12" s="1">
        <f t="shared" si="2"/>
        <v>258776</v>
      </c>
    </row>
    <row r="13" spans="1:14" x14ac:dyDescent="0.25">
      <c r="A13">
        <v>11</v>
      </c>
      <c r="B13" t="s">
        <v>12</v>
      </c>
      <c r="C13" t="s">
        <v>39</v>
      </c>
      <c r="D13">
        <v>3294</v>
      </c>
      <c r="E13" t="s">
        <v>40</v>
      </c>
      <c r="F13" t="s">
        <v>41</v>
      </c>
      <c r="G13" t="s">
        <v>42</v>
      </c>
      <c r="H13" t="s">
        <v>43</v>
      </c>
      <c r="I13" s="1">
        <v>3101700</v>
      </c>
      <c r="J13" s="1">
        <v>0</v>
      </c>
      <c r="K13" s="1">
        <v>248136</v>
      </c>
      <c r="L13" s="1">
        <v>3349836</v>
      </c>
      <c r="M13" s="3">
        <f t="shared" si="0"/>
        <v>0.08</v>
      </c>
      <c r="N13" s="1">
        <f t="shared" si="2"/>
        <v>3101700</v>
      </c>
    </row>
    <row r="14" spans="1:14" x14ac:dyDescent="0.25">
      <c r="A14">
        <v>12</v>
      </c>
      <c r="B14" t="s">
        <v>12</v>
      </c>
      <c r="C14" t="s">
        <v>39</v>
      </c>
      <c r="D14">
        <v>291</v>
      </c>
      <c r="E14" t="s">
        <v>44</v>
      </c>
      <c r="F14" t="s">
        <v>45</v>
      </c>
      <c r="G14" t="s">
        <v>46</v>
      </c>
      <c r="H14" t="s">
        <v>47</v>
      </c>
      <c r="I14" s="1">
        <v>20000000</v>
      </c>
      <c r="J14" s="1">
        <v>0</v>
      </c>
      <c r="K14" s="1">
        <v>1600000</v>
      </c>
      <c r="L14" s="1">
        <v>21600000</v>
      </c>
      <c r="M14" s="3">
        <f t="shared" si="0"/>
        <v>0.08</v>
      </c>
      <c r="N14" s="1">
        <f t="shared" si="2"/>
        <v>20000000</v>
      </c>
    </row>
    <row r="15" spans="1:14" x14ac:dyDescent="0.25">
      <c r="A15">
        <v>13</v>
      </c>
      <c r="B15" t="s">
        <v>12</v>
      </c>
      <c r="C15" t="s">
        <v>48</v>
      </c>
      <c r="D15">
        <v>67711382</v>
      </c>
      <c r="E15" t="s">
        <v>18</v>
      </c>
      <c r="F15" t="s">
        <v>19</v>
      </c>
      <c r="G15" t="s">
        <v>20</v>
      </c>
      <c r="H15" t="s">
        <v>49</v>
      </c>
      <c r="I15" s="1">
        <v>201819</v>
      </c>
      <c r="J15" s="1">
        <v>16819</v>
      </c>
      <c r="K15" s="1">
        <v>12811</v>
      </c>
      <c r="L15" s="1">
        <v>185000</v>
      </c>
      <c r="M15" s="3">
        <f t="shared" si="0"/>
        <v>7.4400803767952661E-2</v>
      </c>
      <c r="N15" s="1">
        <f t="shared" si="2"/>
        <v>172189</v>
      </c>
    </row>
    <row r="16" spans="1:14" x14ac:dyDescent="0.25">
      <c r="A16">
        <v>14</v>
      </c>
      <c r="B16" t="s">
        <v>12</v>
      </c>
      <c r="C16" t="s">
        <v>48</v>
      </c>
      <c r="D16">
        <v>67488390</v>
      </c>
      <c r="E16" t="s">
        <v>18</v>
      </c>
      <c r="F16" t="s">
        <v>19</v>
      </c>
      <c r="G16" t="s">
        <v>20</v>
      </c>
      <c r="H16" t="s">
        <v>50</v>
      </c>
      <c r="I16" s="1">
        <v>36111</v>
      </c>
      <c r="J16" s="1">
        <v>5111</v>
      </c>
      <c r="K16" s="1">
        <v>2297</v>
      </c>
      <c r="L16" s="1">
        <v>31000</v>
      </c>
      <c r="M16" s="3">
        <f t="shared" si="0"/>
        <v>8.0026478068494583E-2</v>
      </c>
      <c r="N16" s="1">
        <f t="shared" si="2"/>
        <v>28703</v>
      </c>
    </row>
    <row r="17" spans="1:14" x14ac:dyDescent="0.25">
      <c r="A17">
        <v>15</v>
      </c>
      <c r="B17" t="s">
        <v>12</v>
      </c>
      <c r="C17" t="s">
        <v>48</v>
      </c>
      <c r="D17">
        <v>67481869</v>
      </c>
      <c r="E17" t="s">
        <v>18</v>
      </c>
      <c r="F17" t="s">
        <v>19</v>
      </c>
      <c r="G17" t="s">
        <v>20</v>
      </c>
      <c r="H17" t="s">
        <v>51</v>
      </c>
      <c r="I17" s="1">
        <v>39058</v>
      </c>
      <c r="J17" s="1">
        <v>5058</v>
      </c>
      <c r="K17" s="1">
        <v>2350</v>
      </c>
      <c r="L17" s="1">
        <v>34000</v>
      </c>
      <c r="M17" s="3">
        <f t="shared" si="0"/>
        <v>7.4249605055292253E-2</v>
      </c>
      <c r="N17" s="1">
        <f t="shared" si="2"/>
        <v>31650</v>
      </c>
    </row>
    <row r="18" spans="1:14" x14ac:dyDescent="0.25">
      <c r="A18">
        <v>16</v>
      </c>
      <c r="B18" t="s">
        <v>12</v>
      </c>
      <c r="C18" t="s">
        <v>48</v>
      </c>
      <c r="D18">
        <v>67458511</v>
      </c>
      <c r="E18" t="s">
        <v>18</v>
      </c>
      <c r="F18" t="s">
        <v>19</v>
      </c>
      <c r="G18" t="s">
        <v>20</v>
      </c>
      <c r="H18" t="s">
        <v>52</v>
      </c>
      <c r="I18" s="1">
        <v>38889</v>
      </c>
      <c r="J18" s="1">
        <v>889</v>
      </c>
      <c r="K18" s="1">
        <v>2815</v>
      </c>
      <c r="L18" s="1">
        <v>38000</v>
      </c>
      <c r="M18" s="3">
        <f t="shared" si="0"/>
        <v>8.0005684240443367E-2</v>
      </c>
      <c r="N18" s="1">
        <f t="shared" si="2"/>
        <v>35185</v>
      </c>
    </row>
    <row r="19" spans="1:14" x14ac:dyDescent="0.25">
      <c r="A19">
        <v>17</v>
      </c>
      <c r="B19" t="s">
        <v>12</v>
      </c>
      <c r="C19" t="s">
        <v>48</v>
      </c>
      <c r="D19">
        <v>67436961</v>
      </c>
      <c r="E19" t="s">
        <v>18</v>
      </c>
      <c r="F19" t="s">
        <v>19</v>
      </c>
      <c r="G19" t="s">
        <v>20</v>
      </c>
      <c r="H19" t="s">
        <v>53</v>
      </c>
      <c r="I19" s="1">
        <v>263184</v>
      </c>
      <c r="J19" s="1">
        <v>30184</v>
      </c>
      <c r="K19" s="1">
        <v>16112</v>
      </c>
      <c r="L19" s="1">
        <v>233000</v>
      </c>
      <c r="M19" s="3">
        <f t="shared" si="0"/>
        <v>7.4287189701597131E-2</v>
      </c>
      <c r="N19" s="1">
        <f t="shared" si="2"/>
        <v>216888</v>
      </c>
    </row>
    <row r="20" spans="1:14" x14ac:dyDescent="0.25">
      <c r="A20">
        <v>18</v>
      </c>
      <c r="B20" t="s">
        <v>12</v>
      </c>
      <c r="C20" t="s">
        <v>48</v>
      </c>
      <c r="D20">
        <v>136820</v>
      </c>
      <c r="E20" t="s">
        <v>18</v>
      </c>
      <c r="F20" t="s">
        <v>54</v>
      </c>
      <c r="G20" t="s">
        <v>55</v>
      </c>
      <c r="H20" t="s">
        <v>56</v>
      </c>
      <c r="I20" s="1">
        <v>15175925.93</v>
      </c>
      <c r="J20" s="1">
        <v>0</v>
      </c>
      <c r="K20" s="1">
        <v>1214074</v>
      </c>
      <c r="L20" s="1">
        <v>16390000</v>
      </c>
      <c r="M20" s="3">
        <f t="shared" si="0"/>
        <v>7.9999994728493007E-2</v>
      </c>
      <c r="N20" s="1">
        <f t="shared" si="2"/>
        <v>15175926</v>
      </c>
    </row>
    <row r="21" spans="1:14" x14ac:dyDescent="0.25">
      <c r="A21">
        <v>19</v>
      </c>
      <c r="B21" t="s">
        <v>12</v>
      </c>
      <c r="C21" t="s">
        <v>57</v>
      </c>
      <c r="D21">
        <v>68023262</v>
      </c>
      <c r="E21" t="s">
        <v>18</v>
      </c>
      <c r="F21" t="s">
        <v>19</v>
      </c>
      <c r="G21" t="s">
        <v>20</v>
      </c>
      <c r="H21" t="s">
        <v>58</v>
      </c>
      <c r="I21" s="1">
        <v>94866</v>
      </c>
      <c r="J21" s="1">
        <v>6866</v>
      </c>
      <c r="K21" s="1">
        <v>6096</v>
      </c>
      <c r="L21" s="1">
        <v>88000</v>
      </c>
      <c r="M21" s="3">
        <f t="shared" si="0"/>
        <v>7.4428599335807769E-2</v>
      </c>
      <c r="N21" s="1">
        <f t="shared" si="2"/>
        <v>81904</v>
      </c>
    </row>
    <row r="22" spans="1:14" x14ac:dyDescent="0.25">
      <c r="A22">
        <v>20</v>
      </c>
      <c r="B22" t="s">
        <v>12</v>
      </c>
      <c r="C22" t="s">
        <v>57</v>
      </c>
      <c r="D22">
        <v>67964312</v>
      </c>
      <c r="E22" t="s">
        <v>18</v>
      </c>
      <c r="F22" t="s">
        <v>19</v>
      </c>
      <c r="G22" t="s">
        <v>20</v>
      </c>
      <c r="H22" t="s">
        <v>59</v>
      </c>
      <c r="I22" s="1">
        <v>171130</v>
      </c>
      <c r="J22" s="1">
        <v>13130</v>
      </c>
      <c r="K22" s="1">
        <v>10944</v>
      </c>
      <c r="L22" s="1">
        <v>158000</v>
      </c>
      <c r="M22" s="3">
        <f t="shared" si="0"/>
        <v>7.4420628876074424E-2</v>
      </c>
      <c r="N22" s="1">
        <f t="shared" si="2"/>
        <v>147056</v>
      </c>
    </row>
    <row r="23" spans="1:14" x14ac:dyDescent="0.25">
      <c r="A23">
        <v>21</v>
      </c>
      <c r="B23" t="s">
        <v>12</v>
      </c>
      <c r="C23" t="s">
        <v>57</v>
      </c>
      <c r="D23">
        <v>67911456</v>
      </c>
      <c r="E23" t="s">
        <v>18</v>
      </c>
      <c r="F23" t="s">
        <v>19</v>
      </c>
      <c r="G23" t="s">
        <v>20</v>
      </c>
      <c r="H23" t="s">
        <v>60</v>
      </c>
      <c r="I23" s="1">
        <v>180403</v>
      </c>
      <c r="J23" s="1">
        <v>26403</v>
      </c>
      <c r="K23" s="1">
        <v>10635</v>
      </c>
      <c r="L23" s="1">
        <v>154000</v>
      </c>
      <c r="M23" s="3">
        <f t="shared" si="0"/>
        <v>7.4181285529941063E-2</v>
      </c>
      <c r="N23" s="1">
        <f t="shared" si="2"/>
        <v>143365</v>
      </c>
    </row>
    <row r="24" spans="1:14" x14ac:dyDescent="0.25">
      <c r="A24">
        <v>22</v>
      </c>
      <c r="B24" t="s">
        <v>12</v>
      </c>
      <c r="C24" t="s">
        <v>61</v>
      </c>
      <c r="D24">
        <v>1031240</v>
      </c>
      <c r="E24" t="s">
        <v>62</v>
      </c>
      <c r="F24" t="s">
        <v>63</v>
      </c>
      <c r="G24" t="s">
        <v>64</v>
      </c>
      <c r="H24" t="s">
        <v>65</v>
      </c>
      <c r="I24" s="1">
        <v>3054667</v>
      </c>
      <c r="J24" s="1">
        <v>0</v>
      </c>
      <c r="K24" s="1">
        <v>235333</v>
      </c>
      <c r="L24" s="1">
        <v>3290000</v>
      </c>
      <c r="M24" s="3">
        <f t="shared" si="0"/>
        <v>7.7040476097721938E-2</v>
      </c>
      <c r="N24" s="1">
        <f t="shared" si="2"/>
        <v>3054667</v>
      </c>
    </row>
    <row r="25" spans="1:14" x14ac:dyDescent="0.25">
      <c r="A25">
        <v>23</v>
      </c>
      <c r="B25" t="s">
        <v>12</v>
      </c>
      <c r="C25" t="s">
        <v>61</v>
      </c>
      <c r="D25">
        <v>69209742</v>
      </c>
      <c r="E25" t="s">
        <v>18</v>
      </c>
      <c r="F25" t="s">
        <v>19</v>
      </c>
      <c r="G25" t="s">
        <v>20</v>
      </c>
      <c r="H25" t="s">
        <v>66</v>
      </c>
      <c r="I25" s="1">
        <v>137628</v>
      </c>
      <c r="J25" s="1">
        <v>19628</v>
      </c>
      <c r="K25" s="1">
        <v>8150</v>
      </c>
      <c r="L25" s="1">
        <v>118000</v>
      </c>
      <c r="M25" s="3">
        <f t="shared" si="0"/>
        <v>7.4192080109239875E-2</v>
      </c>
      <c r="N25" s="1">
        <f t="shared" si="2"/>
        <v>109850</v>
      </c>
    </row>
    <row r="26" spans="1:14" x14ac:dyDescent="0.25">
      <c r="A26">
        <v>24</v>
      </c>
      <c r="B26" t="s">
        <v>12</v>
      </c>
      <c r="C26" t="s">
        <v>61</v>
      </c>
      <c r="D26">
        <v>69082311</v>
      </c>
      <c r="E26" t="s">
        <v>18</v>
      </c>
      <c r="F26" t="s">
        <v>19</v>
      </c>
      <c r="G26" t="s">
        <v>20</v>
      </c>
      <c r="H26" t="s">
        <v>67</v>
      </c>
      <c r="I26" s="1">
        <v>137628</v>
      </c>
      <c r="J26" s="1">
        <v>19628</v>
      </c>
      <c r="K26" s="1">
        <v>8150</v>
      </c>
      <c r="L26" s="1">
        <v>118000</v>
      </c>
      <c r="M26" s="3">
        <f t="shared" si="0"/>
        <v>7.4192080109239875E-2</v>
      </c>
      <c r="N26" s="1">
        <f t="shared" si="2"/>
        <v>109850</v>
      </c>
    </row>
    <row r="27" spans="1:14" hidden="1" x14ac:dyDescent="0.25">
      <c r="A27">
        <v>25</v>
      </c>
      <c r="B27" t="s">
        <v>12</v>
      </c>
      <c r="C27" t="s">
        <v>68</v>
      </c>
      <c r="D27">
        <v>44460</v>
      </c>
      <c r="E27" t="s">
        <v>69</v>
      </c>
      <c r="F27" t="s">
        <v>70</v>
      </c>
      <c r="G27" t="s">
        <v>71</v>
      </c>
      <c r="H27" t="s">
        <v>72</v>
      </c>
      <c r="I27" s="1">
        <v>199000</v>
      </c>
      <c r="J27" s="1">
        <v>0</v>
      </c>
      <c r="K27" s="1">
        <v>0</v>
      </c>
      <c r="L27" s="1">
        <v>199000</v>
      </c>
      <c r="M27" s="3">
        <f t="shared" si="0"/>
        <v>0</v>
      </c>
    </row>
    <row r="28" spans="1:14" x14ac:dyDescent="0.25">
      <c r="A28">
        <v>26</v>
      </c>
      <c r="B28" t="s">
        <v>12</v>
      </c>
      <c r="C28" t="s">
        <v>68</v>
      </c>
      <c r="D28">
        <v>1042833</v>
      </c>
      <c r="E28" t="s">
        <v>62</v>
      </c>
      <c r="F28" t="s">
        <v>63</v>
      </c>
      <c r="G28" t="s">
        <v>64</v>
      </c>
      <c r="H28" t="s">
        <v>73</v>
      </c>
      <c r="I28" s="1">
        <v>5689334</v>
      </c>
      <c r="J28" s="1">
        <v>0</v>
      </c>
      <c r="K28" s="1">
        <v>436666</v>
      </c>
      <c r="L28" s="1">
        <v>6126000</v>
      </c>
      <c r="M28" s="3">
        <f t="shared" si="0"/>
        <v>7.6751690092372857E-2</v>
      </c>
      <c r="N28" s="1">
        <f t="shared" ref="N28:N80" si="3">L28-K28</f>
        <v>5689334</v>
      </c>
    </row>
    <row r="29" spans="1:14" x14ac:dyDescent="0.25">
      <c r="A29">
        <v>27</v>
      </c>
      <c r="B29" t="s">
        <v>12</v>
      </c>
      <c r="C29" t="s">
        <v>68</v>
      </c>
      <c r="D29">
        <v>70563517</v>
      </c>
      <c r="E29" t="s">
        <v>18</v>
      </c>
      <c r="F29" t="s">
        <v>19</v>
      </c>
      <c r="G29" t="s">
        <v>20</v>
      </c>
      <c r="H29" t="s">
        <v>74</v>
      </c>
      <c r="I29" s="1">
        <v>54913</v>
      </c>
      <c r="J29" s="1">
        <v>0</v>
      </c>
      <c r="K29" s="1">
        <v>3791</v>
      </c>
      <c r="L29" s="1">
        <v>55000</v>
      </c>
      <c r="M29" s="3">
        <f t="shared" si="0"/>
        <v>7.4029955671854553E-2</v>
      </c>
      <c r="N29" s="1">
        <f t="shared" si="3"/>
        <v>51209</v>
      </c>
    </row>
    <row r="30" spans="1:14" x14ac:dyDescent="0.25">
      <c r="A30">
        <v>28</v>
      </c>
      <c r="B30" t="s">
        <v>12</v>
      </c>
      <c r="C30" t="s">
        <v>68</v>
      </c>
      <c r="D30">
        <v>70325232</v>
      </c>
      <c r="E30" t="s">
        <v>18</v>
      </c>
      <c r="F30" t="s">
        <v>19</v>
      </c>
      <c r="G30" t="s">
        <v>20</v>
      </c>
      <c r="H30" t="s">
        <v>75</v>
      </c>
      <c r="I30" s="1">
        <v>369135</v>
      </c>
      <c r="J30" s="1">
        <v>72135</v>
      </c>
      <c r="K30" s="1">
        <v>20457</v>
      </c>
      <c r="L30" s="1">
        <v>297000</v>
      </c>
      <c r="M30" s="3">
        <f t="shared" si="0"/>
        <v>7.3974029355290141E-2</v>
      </c>
      <c r="N30" s="1">
        <f t="shared" si="3"/>
        <v>276543</v>
      </c>
    </row>
    <row r="31" spans="1:14" x14ac:dyDescent="0.25">
      <c r="A31">
        <v>29</v>
      </c>
      <c r="B31" t="s">
        <v>12</v>
      </c>
      <c r="C31" t="s">
        <v>68</v>
      </c>
      <c r="D31">
        <v>47098499</v>
      </c>
      <c r="E31" t="s">
        <v>76</v>
      </c>
      <c r="F31" t="s">
        <v>77</v>
      </c>
      <c r="G31" t="s">
        <v>78</v>
      </c>
      <c r="H31" t="s">
        <v>79</v>
      </c>
      <c r="I31" s="1">
        <v>46296</v>
      </c>
      <c r="J31" s="1">
        <v>16296</v>
      </c>
      <c r="K31" s="1">
        <v>2222</v>
      </c>
      <c r="L31" s="1">
        <v>30000</v>
      </c>
      <c r="M31" s="3">
        <f t="shared" si="0"/>
        <v>7.9991360069119444E-2</v>
      </c>
      <c r="N31" s="1">
        <f t="shared" si="3"/>
        <v>27778</v>
      </c>
    </row>
    <row r="32" spans="1:14" x14ac:dyDescent="0.25">
      <c r="A32">
        <v>30</v>
      </c>
      <c r="B32" t="s">
        <v>12</v>
      </c>
      <c r="C32" t="s">
        <v>68</v>
      </c>
      <c r="D32">
        <v>47081625</v>
      </c>
      <c r="E32" t="s">
        <v>76</v>
      </c>
      <c r="F32" t="s">
        <v>77</v>
      </c>
      <c r="G32" t="s">
        <v>78</v>
      </c>
      <c r="H32" t="s">
        <v>80</v>
      </c>
      <c r="I32" s="1">
        <v>37037</v>
      </c>
      <c r="J32" s="1">
        <v>5037</v>
      </c>
      <c r="K32" s="1">
        <v>2371</v>
      </c>
      <c r="L32" s="1">
        <v>32000</v>
      </c>
      <c r="M32" s="3">
        <f t="shared" si="0"/>
        <v>8.0022950487697864E-2</v>
      </c>
      <c r="N32" s="1">
        <f t="shared" si="3"/>
        <v>29629</v>
      </c>
    </row>
    <row r="33" spans="1:14" x14ac:dyDescent="0.25">
      <c r="A33">
        <v>31</v>
      </c>
      <c r="B33" t="s">
        <v>12</v>
      </c>
      <c r="C33" t="s">
        <v>68</v>
      </c>
      <c r="D33">
        <v>47064605</v>
      </c>
      <c r="E33" t="s">
        <v>76</v>
      </c>
      <c r="F33" t="s">
        <v>77</v>
      </c>
      <c r="G33" t="s">
        <v>78</v>
      </c>
      <c r="H33" t="s">
        <v>81</v>
      </c>
      <c r="I33" s="1">
        <v>140741</v>
      </c>
      <c r="J33" s="1">
        <v>12741</v>
      </c>
      <c r="K33" s="1">
        <v>9481</v>
      </c>
      <c r="L33" s="1">
        <v>128000</v>
      </c>
      <c r="M33" s="3">
        <f t="shared" si="0"/>
        <v>7.9995612517824152E-2</v>
      </c>
      <c r="N33" s="1">
        <f t="shared" si="3"/>
        <v>118519</v>
      </c>
    </row>
    <row r="34" spans="1:14" x14ac:dyDescent="0.25">
      <c r="A34">
        <v>32</v>
      </c>
      <c r="B34" t="s">
        <v>12</v>
      </c>
      <c r="C34" t="s">
        <v>68</v>
      </c>
      <c r="D34">
        <v>24672</v>
      </c>
      <c r="E34" t="s">
        <v>82</v>
      </c>
      <c r="F34" t="s">
        <v>83</v>
      </c>
      <c r="G34" t="s">
        <v>84</v>
      </c>
      <c r="H34" t="s">
        <v>85</v>
      </c>
      <c r="I34" s="1">
        <v>480000</v>
      </c>
      <c r="J34" s="1">
        <v>0</v>
      </c>
      <c r="K34" s="1">
        <v>38400</v>
      </c>
      <c r="L34" s="1">
        <v>518400</v>
      </c>
      <c r="M34" s="3">
        <f t="shared" si="0"/>
        <v>0.08</v>
      </c>
      <c r="N34" s="1">
        <f t="shared" si="3"/>
        <v>480000</v>
      </c>
    </row>
    <row r="35" spans="1:14" x14ac:dyDescent="0.25">
      <c r="A35">
        <v>33</v>
      </c>
      <c r="B35" t="s">
        <v>12</v>
      </c>
      <c r="C35" t="s">
        <v>86</v>
      </c>
      <c r="D35">
        <v>47600497</v>
      </c>
      <c r="E35" t="s">
        <v>76</v>
      </c>
      <c r="F35" t="s">
        <v>77</v>
      </c>
      <c r="G35" t="s">
        <v>78</v>
      </c>
      <c r="H35" t="s">
        <v>87</v>
      </c>
      <c r="I35" s="1">
        <v>104630</v>
      </c>
      <c r="J35" s="1">
        <v>3630</v>
      </c>
      <c r="K35" s="1">
        <v>7482</v>
      </c>
      <c r="L35" s="1">
        <v>101000</v>
      </c>
      <c r="M35" s="3">
        <f t="shared" si="0"/>
        <v>8.0005988152013513E-2</v>
      </c>
      <c r="N35" s="1">
        <f t="shared" si="3"/>
        <v>93518</v>
      </c>
    </row>
    <row r="36" spans="1:14" x14ac:dyDescent="0.25">
      <c r="A36">
        <v>34</v>
      </c>
      <c r="B36" t="s">
        <v>12</v>
      </c>
      <c r="C36" t="s">
        <v>86</v>
      </c>
      <c r="D36">
        <v>47546465</v>
      </c>
      <c r="E36" t="s">
        <v>76</v>
      </c>
      <c r="F36" t="s">
        <v>77</v>
      </c>
      <c r="G36" t="s">
        <v>78</v>
      </c>
      <c r="H36" t="s">
        <v>88</v>
      </c>
      <c r="I36" s="1">
        <v>72223</v>
      </c>
      <c r="J36" s="1">
        <v>2223</v>
      </c>
      <c r="K36" s="1">
        <v>5185</v>
      </c>
      <c r="L36" s="1">
        <v>70000</v>
      </c>
      <c r="M36" s="3">
        <f t="shared" si="0"/>
        <v>7.9996914294530583E-2</v>
      </c>
      <c r="N36" s="1">
        <f t="shared" si="3"/>
        <v>64815</v>
      </c>
    </row>
    <row r="37" spans="1:14" x14ac:dyDescent="0.25">
      <c r="A37">
        <v>35</v>
      </c>
      <c r="B37" t="s">
        <v>12</v>
      </c>
      <c r="C37" t="s">
        <v>86</v>
      </c>
      <c r="D37">
        <v>47484853</v>
      </c>
      <c r="E37" t="s">
        <v>76</v>
      </c>
      <c r="F37" t="s">
        <v>77</v>
      </c>
      <c r="G37" t="s">
        <v>78</v>
      </c>
      <c r="H37" t="s">
        <v>89</v>
      </c>
      <c r="I37" s="1">
        <v>62037</v>
      </c>
      <c r="J37" s="1">
        <v>9037</v>
      </c>
      <c r="K37" s="1">
        <v>3925</v>
      </c>
      <c r="L37" s="1">
        <v>53000</v>
      </c>
      <c r="M37" s="3">
        <f t="shared" si="0"/>
        <v>7.9979623025980648E-2</v>
      </c>
      <c r="N37" s="1">
        <f t="shared" si="3"/>
        <v>49075</v>
      </c>
    </row>
    <row r="38" spans="1:14" x14ac:dyDescent="0.25">
      <c r="A38">
        <v>36</v>
      </c>
      <c r="B38" t="s">
        <v>12</v>
      </c>
      <c r="C38" t="s">
        <v>86</v>
      </c>
      <c r="D38">
        <v>47362505</v>
      </c>
      <c r="E38" t="s">
        <v>76</v>
      </c>
      <c r="F38" t="s">
        <v>77</v>
      </c>
      <c r="G38" t="s">
        <v>78</v>
      </c>
      <c r="H38" t="s">
        <v>90</v>
      </c>
      <c r="I38" s="1">
        <v>37963</v>
      </c>
      <c r="J38" s="1">
        <v>4963</v>
      </c>
      <c r="K38" s="1">
        <v>2445</v>
      </c>
      <c r="L38" s="1">
        <v>33000</v>
      </c>
      <c r="M38" s="3">
        <f t="shared" si="0"/>
        <v>8.0019636720667642E-2</v>
      </c>
      <c r="N38" s="1">
        <f t="shared" si="3"/>
        <v>30555</v>
      </c>
    </row>
    <row r="39" spans="1:14" x14ac:dyDescent="0.25">
      <c r="A39">
        <v>37</v>
      </c>
      <c r="B39" t="s">
        <v>12</v>
      </c>
      <c r="C39" t="s">
        <v>86</v>
      </c>
      <c r="D39">
        <v>2780</v>
      </c>
      <c r="E39" t="s">
        <v>91</v>
      </c>
      <c r="F39" t="s">
        <v>92</v>
      </c>
      <c r="G39" t="s">
        <v>93</v>
      </c>
      <c r="H39" t="s">
        <v>94</v>
      </c>
      <c r="I39" s="1">
        <v>2961000</v>
      </c>
      <c r="J39" s="1">
        <v>0</v>
      </c>
      <c r="K39" s="1">
        <v>236880</v>
      </c>
      <c r="L39" s="1">
        <v>3197880</v>
      </c>
      <c r="M39" s="3">
        <f t="shared" si="0"/>
        <v>0.08</v>
      </c>
      <c r="N39" s="1">
        <f t="shared" si="3"/>
        <v>2961000</v>
      </c>
    </row>
    <row r="40" spans="1:14" x14ac:dyDescent="0.25">
      <c r="A40">
        <v>38</v>
      </c>
      <c r="B40" t="s">
        <v>12</v>
      </c>
      <c r="C40" t="s">
        <v>95</v>
      </c>
      <c r="D40">
        <v>71702507</v>
      </c>
      <c r="E40" t="s">
        <v>18</v>
      </c>
      <c r="F40" t="s">
        <v>19</v>
      </c>
      <c r="G40" t="s">
        <v>20</v>
      </c>
      <c r="H40" t="s">
        <v>96</v>
      </c>
      <c r="I40" s="1">
        <v>28833</v>
      </c>
      <c r="J40" s="1">
        <v>7833</v>
      </c>
      <c r="K40" s="1">
        <v>1427</v>
      </c>
      <c r="L40" s="1">
        <v>21000</v>
      </c>
      <c r="M40" s="3">
        <f t="shared" si="0"/>
        <v>7.2906554948142854E-2</v>
      </c>
      <c r="N40" s="1">
        <f t="shared" si="3"/>
        <v>19573</v>
      </c>
    </row>
    <row r="41" spans="1:14" x14ac:dyDescent="0.25">
      <c r="A41">
        <v>39</v>
      </c>
      <c r="B41" t="s">
        <v>12</v>
      </c>
      <c r="C41" t="s">
        <v>95</v>
      </c>
      <c r="D41">
        <v>47975233</v>
      </c>
      <c r="E41" t="s">
        <v>76</v>
      </c>
      <c r="F41" t="s">
        <v>77</v>
      </c>
      <c r="G41" t="s">
        <v>78</v>
      </c>
      <c r="H41" t="s">
        <v>97</v>
      </c>
      <c r="I41" s="1">
        <v>87963</v>
      </c>
      <c r="J41" s="1">
        <v>12963</v>
      </c>
      <c r="K41" s="1">
        <v>5555</v>
      </c>
      <c r="L41" s="1">
        <v>75000</v>
      </c>
      <c r="M41" s="3">
        <f t="shared" si="0"/>
        <v>7.9991360069119444E-2</v>
      </c>
      <c r="N41" s="1">
        <f t="shared" si="3"/>
        <v>69445</v>
      </c>
    </row>
    <row r="42" spans="1:14" x14ac:dyDescent="0.25">
      <c r="A42">
        <v>40</v>
      </c>
      <c r="B42" t="s">
        <v>12</v>
      </c>
      <c r="C42" t="s">
        <v>95</v>
      </c>
      <c r="D42">
        <v>47877678</v>
      </c>
      <c r="E42" t="s">
        <v>76</v>
      </c>
      <c r="F42" t="s">
        <v>77</v>
      </c>
      <c r="G42" t="s">
        <v>78</v>
      </c>
      <c r="H42" t="s">
        <v>98</v>
      </c>
      <c r="I42" s="1">
        <v>85186</v>
      </c>
      <c r="J42" s="1">
        <v>5186</v>
      </c>
      <c r="K42" s="1">
        <v>5926</v>
      </c>
      <c r="L42" s="1">
        <v>80000</v>
      </c>
      <c r="M42" s="3">
        <f t="shared" si="0"/>
        <v>8.0001080001079999E-2</v>
      </c>
      <c r="N42" s="1">
        <f t="shared" si="3"/>
        <v>74074</v>
      </c>
    </row>
    <row r="43" spans="1:14" x14ac:dyDescent="0.25">
      <c r="A43">
        <v>41</v>
      </c>
      <c r="B43" t="s">
        <v>12</v>
      </c>
      <c r="C43" t="s">
        <v>95</v>
      </c>
      <c r="D43">
        <v>47749262</v>
      </c>
      <c r="E43" t="s">
        <v>76</v>
      </c>
      <c r="F43" t="s">
        <v>77</v>
      </c>
      <c r="G43" t="s">
        <v>78</v>
      </c>
      <c r="H43" t="s">
        <v>99</v>
      </c>
      <c r="I43" s="1">
        <v>40741</v>
      </c>
      <c r="J43" s="1">
        <v>4741</v>
      </c>
      <c r="K43" s="1">
        <v>2667</v>
      </c>
      <c r="L43" s="1">
        <v>36000</v>
      </c>
      <c r="M43" s="3">
        <f t="shared" si="0"/>
        <v>8.0010800108001073E-2</v>
      </c>
      <c r="N43" s="1">
        <f t="shared" si="3"/>
        <v>33333</v>
      </c>
    </row>
    <row r="44" spans="1:14" x14ac:dyDescent="0.25">
      <c r="A44">
        <v>42</v>
      </c>
      <c r="B44" t="s">
        <v>12</v>
      </c>
      <c r="C44" t="s">
        <v>100</v>
      </c>
      <c r="D44">
        <v>3843</v>
      </c>
      <c r="E44" t="s">
        <v>101</v>
      </c>
      <c r="F44" t="s">
        <v>102</v>
      </c>
      <c r="G44" t="s">
        <v>103</v>
      </c>
      <c r="H44" t="s">
        <v>104</v>
      </c>
      <c r="I44" s="1">
        <v>357000</v>
      </c>
      <c r="J44" s="1">
        <v>0</v>
      </c>
      <c r="K44" s="1">
        <v>28560</v>
      </c>
      <c r="L44" s="1">
        <v>385560</v>
      </c>
      <c r="M44" s="3">
        <f t="shared" si="0"/>
        <v>0.08</v>
      </c>
      <c r="N44" s="1">
        <f t="shared" si="3"/>
        <v>357000</v>
      </c>
    </row>
    <row r="45" spans="1:14" x14ac:dyDescent="0.25">
      <c r="A45">
        <v>43</v>
      </c>
      <c r="B45" t="s">
        <v>12</v>
      </c>
      <c r="C45" t="s">
        <v>100</v>
      </c>
      <c r="D45">
        <v>3737</v>
      </c>
      <c r="E45" t="s">
        <v>101</v>
      </c>
      <c r="F45" t="s">
        <v>102</v>
      </c>
      <c r="G45" t="s">
        <v>103</v>
      </c>
      <c r="H45" t="s">
        <v>105</v>
      </c>
      <c r="I45" s="1">
        <v>9444444</v>
      </c>
      <c r="J45" s="1">
        <v>0</v>
      </c>
      <c r="K45" s="1">
        <v>755556</v>
      </c>
      <c r="L45" s="1">
        <v>10200000</v>
      </c>
      <c r="M45" s="3">
        <f t="shared" si="0"/>
        <v>8.0000050823531801E-2</v>
      </c>
      <c r="N45" s="1">
        <f t="shared" si="3"/>
        <v>9444444</v>
      </c>
    </row>
    <row r="46" spans="1:14" x14ac:dyDescent="0.25">
      <c r="A46">
        <v>44</v>
      </c>
      <c r="B46" t="s">
        <v>12</v>
      </c>
      <c r="C46" t="s">
        <v>100</v>
      </c>
      <c r="D46">
        <v>48038832</v>
      </c>
      <c r="E46" t="s">
        <v>76</v>
      </c>
      <c r="F46" t="s">
        <v>77</v>
      </c>
      <c r="G46" t="s">
        <v>78</v>
      </c>
      <c r="H46" t="s">
        <v>106</v>
      </c>
      <c r="I46" s="1">
        <v>97222</v>
      </c>
      <c r="J46" s="1">
        <v>14222</v>
      </c>
      <c r="K46" s="1">
        <v>6148</v>
      </c>
      <c r="L46" s="1">
        <v>83000</v>
      </c>
      <c r="M46" s="3">
        <f t="shared" si="0"/>
        <v>7.9997918076302507E-2</v>
      </c>
      <c r="N46" s="1">
        <f t="shared" si="3"/>
        <v>76852</v>
      </c>
    </row>
    <row r="47" spans="1:14" x14ac:dyDescent="0.25">
      <c r="A47">
        <v>45</v>
      </c>
      <c r="B47" t="s">
        <v>12</v>
      </c>
      <c r="C47" t="s">
        <v>100</v>
      </c>
      <c r="D47">
        <v>235912</v>
      </c>
      <c r="E47" t="s">
        <v>107</v>
      </c>
      <c r="F47" t="s">
        <v>108</v>
      </c>
      <c r="G47" t="s">
        <v>109</v>
      </c>
      <c r="H47" t="s">
        <v>110</v>
      </c>
      <c r="I47" s="1">
        <v>36111</v>
      </c>
      <c r="J47" s="1">
        <v>0</v>
      </c>
      <c r="K47" s="1">
        <v>2889</v>
      </c>
      <c r="L47" s="1">
        <v>39000</v>
      </c>
      <c r="M47" s="3">
        <f t="shared" si="0"/>
        <v>8.0003323087147957E-2</v>
      </c>
      <c r="N47" s="1">
        <f t="shared" si="3"/>
        <v>36111</v>
      </c>
    </row>
    <row r="48" spans="1:14" x14ac:dyDescent="0.25">
      <c r="A48">
        <v>46</v>
      </c>
      <c r="B48" t="s">
        <v>12</v>
      </c>
      <c r="C48" t="s">
        <v>100</v>
      </c>
      <c r="D48">
        <v>235764</v>
      </c>
      <c r="E48" t="s">
        <v>107</v>
      </c>
      <c r="F48" t="s">
        <v>108</v>
      </c>
      <c r="G48" t="s">
        <v>109</v>
      </c>
      <c r="H48" t="s">
        <v>111</v>
      </c>
      <c r="I48" s="1">
        <v>40741</v>
      </c>
      <c r="J48" s="1">
        <v>0</v>
      </c>
      <c r="K48" s="1">
        <v>3259</v>
      </c>
      <c r="L48" s="1">
        <v>44000</v>
      </c>
      <c r="M48" s="3">
        <f t="shared" si="0"/>
        <v>7.9993127316462534E-2</v>
      </c>
      <c r="N48" s="1">
        <f t="shared" si="3"/>
        <v>40741</v>
      </c>
    </row>
    <row r="49" spans="1:14" x14ac:dyDescent="0.25">
      <c r="A49">
        <v>47</v>
      </c>
      <c r="B49" t="s">
        <v>12</v>
      </c>
      <c r="C49" t="s">
        <v>112</v>
      </c>
      <c r="D49">
        <v>1432209</v>
      </c>
      <c r="E49" t="s">
        <v>113</v>
      </c>
      <c r="F49" t="s">
        <v>114</v>
      </c>
      <c r="G49" t="s">
        <v>115</v>
      </c>
      <c r="H49" t="s">
        <v>116</v>
      </c>
      <c r="I49" s="1">
        <v>2852100</v>
      </c>
      <c r="J49" s="1">
        <v>0</v>
      </c>
      <c r="K49" s="1">
        <v>228168</v>
      </c>
      <c r="L49" s="1">
        <v>3080268</v>
      </c>
      <c r="M49" s="3">
        <f t="shared" si="0"/>
        <v>0.08</v>
      </c>
      <c r="N49" s="1">
        <f t="shared" si="3"/>
        <v>2852100</v>
      </c>
    </row>
    <row r="50" spans="1:14" x14ac:dyDescent="0.25">
      <c r="A50">
        <v>48</v>
      </c>
      <c r="B50" t="s">
        <v>12</v>
      </c>
      <c r="C50" t="s">
        <v>112</v>
      </c>
      <c r="D50">
        <v>236756</v>
      </c>
      <c r="E50" t="s">
        <v>107</v>
      </c>
      <c r="F50" t="s">
        <v>108</v>
      </c>
      <c r="G50" t="s">
        <v>109</v>
      </c>
      <c r="H50" t="s">
        <v>117</v>
      </c>
      <c r="I50" s="1">
        <v>35185</v>
      </c>
      <c r="J50" s="1">
        <v>0</v>
      </c>
      <c r="K50" s="1">
        <v>2815</v>
      </c>
      <c r="L50" s="1">
        <v>38000</v>
      </c>
      <c r="M50" s="3">
        <f t="shared" si="0"/>
        <v>8.0005684240443367E-2</v>
      </c>
      <c r="N50" s="1">
        <f t="shared" si="3"/>
        <v>35185</v>
      </c>
    </row>
    <row r="51" spans="1:14" x14ac:dyDescent="0.25">
      <c r="A51">
        <v>49</v>
      </c>
      <c r="B51" t="s">
        <v>12</v>
      </c>
      <c r="C51" t="s">
        <v>118</v>
      </c>
      <c r="D51">
        <v>73935147</v>
      </c>
      <c r="E51" t="s">
        <v>18</v>
      </c>
      <c r="F51" t="s">
        <v>19</v>
      </c>
      <c r="G51" t="s">
        <v>20</v>
      </c>
      <c r="H51" t="s">
        <v>119</v>
      </c>
      <c r="I51" s="1">
        <v>164573</v>
      </c>
      <c r="J51" s="1">
        <v>33573</v>
      </c>
      <c r="K51" s="1">
        <v>9019</v>
      </c>
      <c r="L51" s="1">
        <v>131000</v>
      </c>
      <c r="M51" s="3">
        <f t="shared" si="0"/>
        <v>7.3937744402816835E-2</v>
      </c>
      <c r="N51" s="1">
        <f t="shared" si="3"/>
        <v>121981</v>
      </c>
    </row>
    <row r="52" spans="1:14" x14ac:dyDescent="0.25">
      <c r="A52">
        <v>50</v>
      </c>
      <c r="B52" t="s">
        <v>12</v>
      </c>
      <c r="C52" t="s">
        <v>118</v>
      </c>
      <c r="D52">
        <v>73794645</v>
      </c>
      <c r="E52" t="s">
        <v>18</v>
      </c>
      <c r="F52" t="s">
        <v>19</v>
      </c>
      <c r="G52" t="s">
        <v>20</v>
      </c>
      <c r="H52" t="s">
        <v>120</v>
      </c>
      <c r="I52" s="1">
        <v>75926</v>
      </c>
      <c r="J52" s="1">
        <v>13926</v>
      </c>
      <c r="K52" s="1">
        <v>4592</v>
      </c>
      <c r="L52" s="1">
        <v>62000</v>
      </c>
      <c r="M52" s="3">
        <f t="shared" si="0"/>
        <v>7.998885172798216E-2</v>
      </c>
      <c r="N52" s="1">
        <f t="shared" si="3"/>
        <v>57408</v>
      </c>
    </row>
    <row r="53" spans="1:14" x14ac:dyDescent="0.25">
      <c r="A53">
        <v>51</v>
      </c>
      <c r="B53" t="s">
        <v>12</v>
      </c>
      <c r="C53" t="s">
        <v>118</v>
      </c>
      <c r="D53">
        <v>73766308</v>
      </c>
      <c r="E53" t="s">
        <v>18</v>
      </c>
      <c r="F53" t="s">
        <v>19</v>
      </c>
      <c r="G53" t="s">
        <v>20</v>
      </c>
      <c r="H53" t="s">
        <v>121</v>
      </c>
      <c r="I53" s="1">
        <v>37037</v>
      </c>
      <c r="J53" s="1">
        <v>5037</v>
      </c>
      <c r="K53" s="1">
        <v>2371</v>
      </c>
      <c r="L53" s="1">
        <v>32000</v>
      </c>
      <c r="M53" s="3">
        <f t="shared" si="0"/>
        <v>8.0022950487697864E-2</v>
      </c>
      <c r="N53" s="1">
        <f t="shared" si="3"/>
        <v>29629</v>
      </c>
    </row>
    <row r="54" spans="1:14" x14ac:dyDescent="0.25">
      <c r="A54">
        <v>52</v>
      </c>
      <c r="B54" t="s">
        <v>12</v>
      </c>
      <c r="C54" t="s">
        <v>118</v>
      </c>
      <c r="D54">
        <v>73724764</v>
      </c>
      <c r="E54" t="s">
        <v>18</v>
      </c>
      <c r="F54" t="s">
        <v>19</v>
      </c>
      <c r="G54" t="s">
        <v>20</v>
      </c>
      <c r="H54" t="s">
        <v>122</v>
      </c>
      <c r="I54" s="1">
        <v>30556</v>
      </c>
      <c r="J54" s="1">
        <v>3556</v>
      </c>
      <c r="K54" s="1">
        <v>2000</v>
      </c>
      <c r="L54" s="1">
        <v>27000</v>
      </c>
      <c r="M54" s="3">
        <f t="shared" si="0"/>
        <v>0.08</v>
      </c>
      <c r="N54" s="1">
        <f t="shared" si="3"/>
        <v>25000</v>
      </c>
    </row>
    <row r="55" spans="1:14" x14ac:dyDescent="0.25">
      <c r="A55">
        <v>53</v>
      </c>
      <c r="B55" t="s">
        <v>12</v>
      </c>
      <c r="C55" t="s">
        <v>118</v>
      </c>
      <c r="D55">
        <v>73668334</v>
      </c>
      <c r="E55" t="s">
        <v>18</v>
      </c>
      <c r="F55" t="s">
        <v>19</v>
      </c>
      <c r="G55" t="s">
        <v>20</v>
      </c>
      <c r="H55" t="s">
        <v>123</v>
      </c>
      <c r="I55" s="1">
        <v>96683</v>
      </c>
      <c r="J55" s="1">
        <v>26683</v>
      </c>
      <c r="K55" s="1">
        <v>4799</v>
      </c>
      <c r="L55" s="1">
        <v>70000</v>
      </c>
      <c r="M55" s="3">
        <f t="shared" si="0"/>
        <v>7.3603165595619705E-2</v>
      </c>
      <c r="N55" s="1">
        <f t="shared" si="3"/>
        <v>65201</v>
      </c>
    </row>
    <row r="56" spans="1:14" x14ac:dyDescent="0.25">
      <c r="A56">
        <v>54</v>
      </c>
      <c r="B56" t="s">
        <v>12</v>
      </c>
      <c r="C56" t="s">
        <v>118</v>
      </c>
      <c r="D56">
        <v>73586560</v>
      </c>
      <c r="E56" t="s">
        <v>18</v>
      </c>
      <c r="F56" t="s">
        <v>19</v>
      </c>
      <c r="G56" t="s">
        <v>20</v>
      </c>
      <c r="H56" t="s">
        <v>124</v>
      </c>
      <c r="I56" s="1">
        <v>69724</v>
      </c>
      <c r="J56" s="1">
        <v>18724</v>
      </c>
      <c r="K56" s="1">
        <v>3498</v>
      </c>
      <c r="L56" s="1">
        <v>51000</v>
      </c>
      <c r="M56" s="3">
        <f t="shared" si="0"/>
        <v>7.3639004673487427E-2</v>
      </c>
      <c r="N56" s="1">
        <f t="shared" si="3"/>
        <v>47502</v>
      </c>
    </row>
    <row r="57" spans="1:14" x14ac:dyDescent="0.25">
      <c r="A57">
        <v>55</v>
      </c>
      <c r="B57" t="s">
        <v>12</v>
      </c>
      <c r="C57" t="s">
        <v>125</v>
      </c>
      <c r="D57">
        <v>74941613</v>
      </c>
      <c r="E57" t="s">
        <v>18</v>
      </c>
      <c r="F57" t="s">
        <v>19</v>
      </c>
      <c r="G57" t="s">
        <v>20</v>
      </c>
      <c r="H57" t="s">
        <v>126</v>
      </c>
      <c r="I57" s="1">
        <v>179629</v>
      </c>
      <c r="J57" s="1">
        <v>3629</v>
      </c>
      <c r="K57" s="1">
        <v>13037</v>
      </c>
      <c r="L57" s="1">
        <v>176000</v>
      </c>
      <c r="M57" s="3">
        <f t="shared" si="0"/>
        <v>7.9999754545510324E-2</v>
      </c>
      <c r="N57" s="1">
        <f t="shared" si="3"/>
        <v>162963</v>
      </c>
    </row>
    <row r="58" spans="1:14" x14ac:dyDescent="0.25">
      <c r="A58">
        <v>56</v>
      </c>
      <c r="B58" t="s">
        <v>12</v>
      </c>
      <c r="C58" t="s">
        <v>125</v>
      </c>
      <c r="D58">
        <v>74839534</v>
      </c>
      <c r="E58" t="s">
        <v>18</v>
      </c>
      <c r="F58" t="s">
        <v>19</v>
      </c>
      <c r="G58" t="s">
        <v>20</v>
      </c>
      <c r="H58" t="s">
        <v>127</v>
      </c>
      <c r="I58" s="1">
        <v>151851</v>
      </c>
      <c r="J58" s="1">
        <v>1851</v>
      </c>
      <c r="K58" s="1">
        <v>11111</v>
      </c>
      <c r="L58" s="1">
        <v>150000</v>
      </c>
      <c r="M58" s="3">
        <f t="shared" si="0"/>
        <v>7.9999136000691196E-2</v>
      </c>
      <c r="N58" s="1">
        <f t="shared" si="3"/>
        <v>138889</v>
      </c>
    </row>
    <row r="59" spans="1:14" x14ac:dyDescent="0.25">
      <c r="A59">
        <v>57</v>
      </c>
      <c r="B59" t="s">
        <v>12</v>
      </c>
      <c r="C59" t="s">
        <v>128</v>
      </c>
      <c r="D59">
        <v>264839</v>
      </c>
      <c r="E59" t="s">
        <v>107</v>
      </c>
      <c r="F59" t="s">
        <v>108</v>
      </c>
      <c r="G59" t="s">
        <v>109</v>
      </c>
      <c r="H59" t="s">
        <v>129</v>
      </c>
      <c r="I59" s="1">
        <v>35185</v>
      </c>
      <c r="J59" s="1">
        <v>0</v>
      </c>
      <c r="K59" s="1">
        <v>2815</v>
      </c>
      <c r="L59" s="1">
        <v>38000</v>
      </c>
      <c r="M59" s="3">
        <f t="shared" si="0"/>
        <v>8.0005684240443367E-2</v>
      </c>
      <c r="N59" s="1">
        <f t="shared" si="3"/>
        <v>35185</v>
      </c>
    </row>
    <row r="60" spans="1:14" x14ac:dyDescent="0.25">
      <c r="A60">
        <v>58</v>
      </c>
      <c r="B60" t="s">
        <v>12</v>
      </c>
      <c r="C60" t="s">
        <v>128</v>
      </c>
      <c r="D60">
        <v>264528</v>
      </c>
      <c r="E60" t="s">
        <v>107</v>
      </c>
      <c r="F60" t="s">
        <v>108</v>
      </c>
      <c r="G60" t="s">
        <v>109</v>
      </c>
      <c r="H60" t="s">
        <v>130</v>
      </c>
      <c r="I60" s="1">
        <v>15741</v>
      </c>
      <c r="J60" s="1">
        <v>0</v>
      </c>
      <c r="K60" s="1">
        <v>1259</v>
      </c>
      <c r="L60" s="1">
        <v>17000</v>
      </c>
      <c r="M60" s="3">
        <f t="shared" si="0"/>
        <v>7.9982212057683758E-2</v>
      </c>
      <c r="N60" s="1">
        <f t="shared" si="3"/>
        <v>15741</v>
      </c>
    </row>
    <row r="61" spans="1:14" x14ac:dyDescent="0.25">
      <c r="A61">
        <v>59</v>
      </c>
      <c r="B61" t="s">
        <v>12</v>
      </c>
      <c r="C61" t="s">
        <v>131</v>
      </c>
      <c r="D61">
        <v>82053825</v>
      </c>
      <c r="E61" t="s">
        <v>18</v>
      </c>
      <c r="F61" t="s">
        <v>19</v>
      </c>
      <c r="G61" t="s">
        <v>20</v>
      </c>
      <c r="H61" t="s">
        <v>132</v>
      </c>
      <c r="I61" s="1">
        <v>83716</v>
      </c>
      <c r="J61" s="1">
        <v>1716</v>
      </c>
      <c r="K61" s="1">
        <v>5692</v>
      </c>
      <c r="L61" s="1">
        <v>82000</v>
      </c>
      <c r="M61" s="3">
        <f t="shared" si="0"/>
        <v>7.4592441159511455E-2</v>
      </c>
      <c r="N61" s="1">
        <f t="shared" si="3"/>
        <v>76308</v>
      </c>
    </row>
    <row r="62" spans="1:14" x14ac:dyDescent="0.25">
      <c r="A62">
        <v>60</v>
      </c>
      <c r="B62" t="s">
        <v>12</v>
      </c>
      <c r="C62" t="s">
        <v>131</v>
      </c>
      <c r="D62">
        <v>82032524</v>
      </c>
      <c r="E62" t="s">
        <v>18</v>
      </c>
      <c r="F62" t="s">
        <v>19</v>
      </c>
      <c r="G62" t="s">
        <v>20</v>
      </c>
      <c r="H62" t="s">
        <v>133</v>
      </c>
      <c r="I62" s="1">
        <v>153480</v>
      </c>
      <c r="J62" s="1">
        <v>2480</v>
      </c>
      <c r="K62" s="1">
        <v>10482</v>
      </c>
      <c r="L62" s="1">
        <v>151000</v>
      </c>
      <c r="M62" s="3">
        <f t="shared" si="0"/>
        <v>7.4595425497089335E-2</v>
      </c>
      <c r="N62" s="1">
        <f t="shared" si="3"/>
        <v>140518</v>
      </c>
    </row>
    <row r="63" spans="1:14" x14ac:dyDescent="0.25">
      <c r="A63">
        <v>61</v>
      </c>
      <c r="B63" t="s">
        <v>12</v>
      </c>
      <c r="C63" t="s">
        <v>134</v>
      </c>
      <c r="D63">
        <v>82734571</v>
      </c>
      <c r="E63" t="s">
        <v>18</v>
      </c>
      <c r="F63" t="s">
        <v>19</v>
      </c>
      <c r="G63" t="s">
        <v>20</v>
      </c>
      <c r="H63" t="s">
        <v>135</v>
      </c>
      <c r="I63" s="1">
        <v>134837</v>
      </c>
      <c r="J63" s="1">
        <v>19837</v>
      </c>
      <c r="K63" s="1">
        <v>7941</v>
      </c>
      <c r="L63" s="1">
        <v>115000</v>
      </c>
      <c r="M63" s="3">
        <f t="shared" si="0"/>
        <v>7.417405355925237E-2</v>
      </c>
      <c r="N63" s="1">
        <f t="shared" si="3"/>
        <v>107059</v>
      </c>
    </row>
    <row r="64" spans="1:14" x14ac:dyDescent="0.25">
      <c r="A64">
        <v>62</v>
      </c>
      <c r="B64" t="s">
        <v>12</v>
      </c>
      <c r="C64" t="s">
        <v>134</v>
      </c>
      <c r="D64">
        <v>82577115</v>
      </c>
      <c r="E64" t="s">
        <v>18</v>
      </c>
      <c r="F64" t="s">
        <v>19</v>
      </c>
      <c r="G64" t="s">
        <v>20</v>
      </c>
      <c r="H64" t="s">
        <v>136</v>
      </c>
      <c r="I64" s="1">
        <v>29767</v>
      </c>
      <c r="J64" s="1">
        <v>0</v>
      </c>
      <c r="K64" s="1">
        <v>2085</v>
      </c>
      <c r="L64" s="1">
        <v>30000</v>
      </c>
      <c r="M64" s="3">
        <f t="shared" si="0"/>
        <v>7.4691026329930146E-2</v>
      </c>
      <c r="N64" s="1">
        <f t="shared" si="3"/>
        <v>27915</v>
      </c>
    </row>
    <row r="65" spans="1:14" x14ac:dyDescent="0.25">
      <c r="A65">
        <v>63</v>
      </c>
      <c r="B65" t="s">
        <v>12</v>
      </c>
      <c r="C65" t="s">
        <v>134</v>
      </c>
      <c r="D65">
        <v>82485853</v>
      </c>
      <c r="E65" t="s">
        <v>18</v>
      </c>
      <c r="F65" t="s">
        <v>19</v>
      </c>
      <c r="G65" t="s">
        <v>20</v>
      </c>
      <c r="H65" t="s">
        <v>137</v>
      </c>
      <c r="I65" s="1">
        <v>124607</v>
      </c>
      <c r="J65" s="1">
        <v>18607</v>
      </c>
      <c r="K65" s="1">
        <v>7319</v>
      </c>
      <c r="L65" s="1">
        <v>106000</v>
      </c>
      <c r="M65" s="3">
        <f t="shared" si="0"/>
        <v>7.4168279608029908E-2</v>
      </c>
      <c r="N65" s="1">
        <f t="shared" si="3"/>
        <v>98681</v>
      </c>
    </row>
    <row r="66" spans="1:14" x14ac:dyDescent="0.25">
      <c r="A66">
        <v>64</v>
      </c>
      <c r="B66" t="s">
        <v>12</v>
      </c>
      <c r="C66" t="s">
        <v>134</v>
      </c>
      <c r="D66">
        <v>282376</v>
      </c>
      <c r="E66" t="s">
        <v>138</v>
      </c>
      <c r="F66" t="s">
        <v>139</v>
      </c>
      <c r="G66" t="s">
        <v>140</v>
      </c>
      <c r="H66" t="s">
        <v>141</v>
      </c>
      <c r="I66" s="1">
        <v>1472222</v>
      </c>
      <c r="J66" s="1">
        <v>0</v>
      </c>
      <c r="K66" s="1">
        <v>117778</v>
      </c>
      <c r="L66" s="1">
        <v>1590000</v>
      </c>
      <c r="M66" s="3">
        <f t="shared" si="0"/>
        <v>8.0000163018892526E-2</v>
      </c>
      <c r="N66" s="1">
        <f t="shared" si="3"/>
        <v>1472222</v>
      </c>
    </row>
    <row r="67" spans="1:14" x14ac:dyDescent="0.25">
      <c r="A67">
        <v>65</v>
      </c>
      <c r="B67" t="s">
        <v>12</v>
      </c>
      <c r="C67" t="s">
        <v>134</v>
      </c>
      <c r="D67">
        <v>8350</v>
      </c>
      <c r="E67" t="s">
        <v>142</v>
      </c>
      <c r="F67" t="s">
        <v>143</v>
      </c>
      <c r="G67" t="s">
        <v>144</v>
      </c>
      <c r="H67" t="s">
        <v>145</v>
      </c>
      <c r="I67" s="1">
        <v>748000</v>
      </c>
      <c r="J67" s="1">
        <v>0</v>
      </c>
      <c r="K67" s="1">
        <v>59840</v>
      </c>
      <c r="L67" s="1">
        <v>807840</v>
      </c>
      <c r="M67" s="3">
        <f t="shared" si="0"/>
        <v>0.08</v>
      </c>
      <c r="N67" s="1">
        <f t="shared" si="3"/>
        <v>748000</v>
      </c>
    </row>
    <row r="68" spans="1:14" x14ac:dyDescent="0.25">
      <c r="A68">
        <v>66</v>
      </c>
      <c r="B68" t="s">
        <v>12</v>
      </c>
      <c r="C68" t="s">
        <v>146</v>
      </c>
      <c r="D68">
        <v>83261546</v>
      </c>
      <c r="E68" t="s">
        <v>18</v>
      </c>
      <c r="F68" t="s">
        <v>19</v>
      </c>
      <c r="G68" t="s">
        <v>20</v>
      </c>
      <c r="H68" t="s">
        <v>147</v>
      </c>
      <c r="I68" s="1">
        <v>150926</v>
      </c>
      <c r="J68" s="1">
        <v>11926</v>
      </c>
      <c r="K68" s="1">
        <v>10296</v>
      </c>
      <c r="L68" s="1">
        <v>139000</v>
      </c>
      <c r="M68" s="3">
        <f t="shared" ref="M68:M131" si="4">K68/(L68-K68)</f>
        <v>7.9997513674788662E-2</v>
      </c>
      <c r="N68" s="1">
        <f t="shared" si="3"/>
        <v>128704</v>
      </c>
    </row>
    <row r="69" spans="1:14" x14ac:dyDescent="0.25">
      <c r="A69">
        <v>67</v>
      </c>
      <c r="B69" t="s">
        <v>12</v>
      </c>
      <c r="C69" t="s">
        <v>146</v>
      </c>
      <c r="D69">
        <v>83213702</v>
      </c>
      <c r="E69" t="s">
        <v>18</v>
      </c>
      <c r="F69" t="s">
        <v>19</v>
      </c>
      <c r="G69" t="s">
        <v>20</v>
      </c>
      <c r="H69" t="s">
        <v>148</v>
      </c>
      <c r="I69" s="1">
        <v>130207</v>
      </c>
      <c r="J69" s="1">
        <v>10207</v>
      </c>
      <c r="K69" s="1">
        <v>8311</v>
      </c>
      <c r="L69" s="1">
        <v>120000</v>
      </c>
      <c r="M69" s="3">
        <f t="shared" si="4"/>
        <v>7.4411983274986798E-2</v>
      </c>
      <c r="N69" s="1">
        <f t="shared" si="3"/>
        <v>111689</v>
      </c>
    </row>
    <row r="70" spans="1:14" x14ac:dyDescent="0.25">
      <c r="A70">
        <v>68</v>
      </c>
      <c r="B70" t="s">
        <v>12</v>
      </c>
      <c r="C70" t="s">
        <v>149</v>
      </c>
      <c r="D70">
        <v>84276078</v>
      </c>
      <c r="E70" t="s">
        <v>18</v>
      </c>
      <c r="F70" t="s">
        <v>19</v>
      </c>
      <c r="G70" t="s">
        <v>20</v>
      </c>
      <c r="H70" t="s">
        <v>150</v>
      </c>
      <c r="I70" s="1">
        <v>259507</v>
      </c>
      <c r="J70" s="1">
        <v>10507</v>
      </c>
      <c r="K70" s="1">
        <v>17271</v>
      </c>
      <c r="L70" s="1">
        <v>249000</v>
      </c>
      <c r="M70" s="3">
        <f t="shared" si="4"/>
        <v>7.4531025465090689E-2</v>
      </c>
      <c r="N70" s="1">
        <f t="shared" si="3"/>
        <v>231729</v>
      </c>
    </row>
    <row r="71" spans="1:14" x14ac:dyDescent="0.25">
      <c r="A71">
        <v>69</v>
      </c>
      <c r="B71" t="s">
        <v>12</v>
      </c>
      <c r="C71" t="s">
        <v>149</v>
      </c>
      <c r="D71">
        <v>84090940</v>
      </c>
      <c r="E71" t="s">
        <v>18</v>
      </c>
      <c r="F71" t="s">
        <v>19</v>
      </c>
      <c r="G71" t="s">
        <v>20</v>
      </c>
      <c r="H71" t="s">
        <v>151</v>
      </c>
      <c r="I71" s="1">
        <v>33334</v>
      </c>
      <c r="J71" s="1">
        <v>3334</v>
      </c>
      <c r="K71" s="1">
        <v>2222</v>
      </c>
      <c r="L71" s="1">
        <v>30000</v>
      </c>
      <c r="M71" s="3">
        <f t="shared" si="4"/>
        <v>7.9991360069119444E-2</v>
      </c>
      <c r="N71" s="1">
        <f t="shared" si="3"/>
        <v>27778</v>
      </c>
    </row>
    <row r="72" spans="1:14" x14ac:dyDescent="0.25">
      <c r="A72">
        <v>70</v>
      </c>
      <c r="B72" t="s">
        <v>12</v>
      </c>
      <c r="C72" t="s">
        <v>149</v>
      </c>
      <c r="D72">
        <v>84044237</v>
      </c>
      <c r="E72" t="s">
        <v>18</v>
      </c>
      <c r="F72" t="s">
        <v>19</v>
      </c>
      <c r="G72" t="s">
        <v>20</v>
      </c>
      <c r="H72" t="s">
        <v>152</v>
      </c>
      <c r="I72" s="1">
        <v>147854</v>
      </c>
      <c r="J72" s="1">
        <v>22854</v>
      </c>
      <c r="K72" s="1">
        <v>8628</v>
      </c>
      <c r="L72" s="1">
        <v>125000</v>
      </c>
      <c r="M72" s="3">
        <f t="shared" si="4"/>
        <v>7.4141546076375756E-2</v>
      </c>
      <c r="N72" s="1">
        <f t="shared" si="3"/>
        <v>116372</v>
      </c>
    </row>
    <row r="73" spans="1:14" x14ac:dyDescent="0.25">
      <c r="A73">
        <v>71</v>
      </c>
      <c r="B73" t="s">
        <v>12</v>
      </c>
      <c r="C73" t="s">
        <v>153</v>
      </c>
      <c r="D73">
        <v>84680443</v>
      </c>
      <c r="E73" t="s">
        <v>18</v>
      </c>
      <c r="F73" t="s">
        <v>19</v>
      </c>
      <c r="G73" t="s">
        <v>20</v>
      </c>
      <c r="H73" t="s">
        <v>154</v>
      </c>
      <c r="I73" s="1">
        <v>140741</v>
      </c>
      <c r="J73" s="1">
        <v>20741</v>
      </c>
      <c r="K73" s="1">
        <v>8889</v>
      </c>
      <c r="L73" s="1">
        <v>120000</v>
      </c>
      <c r="M73" s="3">
        <f t="shared" si="4"/>
        <v>8.0001080001079999E-2</v>
      </c>
      <c r="N73" s="1">
        <f t="shared" si="3"/>
        <v>111111</v>
      </c>
    </row>
    <row r="74" spans="1:14" x14ac:dyDescent="0.25">
      <c r="A74">
        <v>72</v>
      </c>
      <c r="B74" t="s">
        <v>12</v>
      </c>
      <c r="C74" t="s">
        <v>153</v>
      </c>
      <c r="D74">
        <v>121579</v>
      </c>
      <c r="E74" t="s">
        <v>155</v>
      </c>
      <c r="F74" t="s">
        <v>156</v>
      </c>
      <c r="G74" t="s">
        <v>157</v>
      </c>
      <c r="H74" t="s">
        <v>158</v>
      </c>
      <c r="I74" s="1">
        <v>48148</v>
      </c>
      <c r="J74" s="1">
        <v>0</v>
      </c>
      <c r="K74" s="1">
        <v>3852</v>
      </c>
      <c r="L74" s="1">
        <v>52000</v>
      </c>
      <c r="M74" s="3">
        <f t="shared" si="4"/>
        <v>8.0003323087147957E-2</v>
      </c>
      <c r="N74" s="1">
        <f t="shared" si="3"/>
        <v>48148</v>
      </c>
    </row>
    <row r="75" spans="1:14" x14ac:dyDescent="0.25">
      <c r="A75">
        <v>73</v>
      </c>
      <c r="B75" t="s">
        <v>12</v>
      </c>
      <c r="C75" t="s">
        <v>159</v>
      </c>
      <c r="D75">
        <v>86397873</v>
      </c>
      <c r="E75" t="s">
        <v>18</v>
      </c>
      <c r="F75" t="s">
        <v>19</v>
      </c>
      <c r="G75" t="s">
        <v>20</v>
      </c>
      <c r="H75" t="s">
        <v>160</v>
      </c>
      <c r="I75" s="1">
        <v>37037</v>
      </c>
      <c r="J75" s="1">
        <v>3037</v>
      </c>
      <c r="K75" s="1">
        <v>2519</v>
      </c>
      <c r="L75" s="1">
        <v>34000</v>
      </c>
      <c r="M75" s="3">
        <f t="shared" si="4"/>
        <v>8.001651789968553E-2</v>
      </c>
      <c r="N75" s="1">
        <f t="shared" si="3"/>
        <v>31481</v>
      </c>
    </row>
    <row r="76" spans="1:14" x14ac:dyDescent="0.25">
      <c r="A76">
        <v>74</v>
      </c>
      <c r="B76" t="s">
        <v>12</v>
      </c>
      <c r="C76" t="s">
        <v>159</v>
      </c>
      <c r="D76">
        <v>281358</v>
      </c>
      <c r="E76" t="s">
        <v>107</v>
      </c>
      <c r="F76" t="s">
        <v>108</v>
      </c>
      <c r="G76" t="s">
        <v>109</v>
      </c>
      <c r="H76" t="s">
        <v>161</v>
      </c>
      <c r="I76" s="1">
        <v>129630</v>
      </c>
      <c r="J76" s="1">
        <v>0</v>
      </c>
      <c r="K76" s="1">
        <v>10370</v>
      </c>
      <c r="L76" s="1">
        <v>140000</v>
      </c>
      <c r="M76" s="3">
        <f t="shared" si="4"/>
        <v>7.9996914294530583E-2</v>
      </c>
      <c r="N76" s="1">
        <f t="shared" si="3"/>
        <v>129630</v>
      </c>
    </row>
    <row r="77" spans="1:14" x14ac:dyDescent="0.25">
      <c r="A77">
        <v>75</v>
      </c>
      <c r="B77" t="s">
        <v>12</v>
      </c>
      <c r="C77" t="s">
        <v>159</v>
      </c>
      <c r="D77">
        <v>281299</v>
      </c>
      <c r="E77" t="s">
        <v>107</v>
      </c>
      <c r="F77" t="s">
        <v>108</v>
      </c>
      <c r="G77" t="s">
        <v>109</v>
      </c>
      <c r="H77" t="s">
        <v>162</v>
      </c>
      <c r="I77" s="1">
        <v>27778</v>
      </c>
      <c r="J77" s="1">
        <v>0</v>
      </c>
      <c r="K77" s="1">
        <v>2222</v>
      </c>
      <c r="L77" s="1">
        <v>30000</v>
      </c>
      <c r="M77" s="3">
        <f t="shared" si="4"/>
        <v>7.9991360069119444E-2</v>
      </c>
      <c r="N77" s="1">
        <f t="shared" si="3"/>
        <v>27778</v>
      </c>
    </row>
    <row r="78" spans="1:14" x14ac:dyDescent="0.25">
      <c r="A78">
        <v>76</v>
      </c>
      <c r="B78" t="s">
        <v>12</v>
      </c>
      <c r="C78" t="s">
        <v>159</v>
      </c>
      <c r="D78">
        <v>281201</v>
      </c>
      <c r="E78" t="s">
        <v>107</v>
      </c>
      <c r="F78" t="s">
        <v>108</v>
      </c>
      <c r="G78" t="s">
        <v>109</v>
      </c>
      <c r="H78" t="s">
        <v>163</v>
      </c>
      <c r="I78" s="1">
        <v>27778</v>
      </c>
      <c r="J78" s="1">
        <v>0</v>
      </c>
      <c r="K78" s="1">
        <v>2222</v>
      </c>
      <c r="L78" s="1">
        <v>30000</v>
      </c>
      <c r="M78" s="3">
        <f t="shared" si="4"/>
        <v>7.9991360069119444E-2</v>
      </c>
      <c r="N78" s="1">
        <f t="shared" si="3"/>
        <v>27778</v>
      </c>
    </row>
    <row r="79" spans="1:14" x14ac:dyDescent="0.25">
      <c r="A79">
        <v>77</v>
      </c>
      <c r="B79" t="s">
        <v>12</v>
      </c>
      <c r="C79" t="s">
        <v>159</v>
      </c>
      <c r="D79">
        <v>281133</v>
      </c>
      <c r="E79" t="s">
        <v>107</v>
      </c>
      <c r="F79" t="s">
        <v>108</v>
      </c>
      <c r="G79" t="s">
        <v>109</v>
      </c>
      <c r="H79" t="s">
        <v>164</v>
      </c>
      <c r="I79" s="1">
        <v>10185</v>
      </c>
      <c r="J79" s="1">
        <v>0</v>
      </c>
      <c r="K79" s="1">
        <v>815</v>
      </c>
      <c r="L79" s="1">
        <v>11000</v>
      </c>
      <c r="M79" s="3">
        <f t="shared" si="4"/>
        <v>8.0019636720667642E-2</v>
      </c>
      <c r="N79" s="1">
        <f t="shared" si="3"/>
        <v>10185</v>
      </c>
    </row>
    <row r="80" spans="1:14" x14ac:dyDescent="0.25">
      <c r="A80">
        <v>78</v>
      </c>
      <c r="B80" t="s">
        <v>12</v>
      </c>
      <c r="C80" t="s">
        <v>165</v>
      </c>
      <c r="D80">
        <v>86723182</v>
      </c>
      <c r="E80" t="s">
        <v>18</v>
      </c>
      <c r="F80" t="s">
        <v>19</v>
      </c>
      <c r="G80" t="s">
        <v>20</v>
      </c>
      <c r="H80" t="s">
        <v>166</v>
      </c>
      <c r="I80" s="1">
        <v>335722</v>
      </c>
      <c r="J80" s="1">
        <v>38722</v>
      </c>
      <c r="K80" s="1">
        <v>20538</v>
      </c>
      <c r="L80" s="1">
        <v>297000</v>
      </c>
      <c r="M80" s="3">
        <f t="shared" si="4"/>
        <v>7.428869066996549E-2</v>
      </c>
      <c r="N80" s="1">
        <f t="shared" si="3"/>
        <v>276462</v>
      </c>
    </row>
    <row r="81" spans="1:18" hidden="1" x14ac:dyDescent="0.25">
      <c r="A81">
        <v>79</v>
      </c>
      <c r="B81" t="s">
        <v>167</v>
      </c>
      <c r="C81" t="s">
        <v>168</v>
      </c>
      <c r="D81">
        <v>14</v>
      </c>
      <c r="E81" t="s">
        <v>169</v>
      </c>
      <c r="G81" t="s">
        <v>170</v>
      </c>
      <c r="H81" t="s">
        <v>171</v>
      </c>
      <c r="I81" s="1">
        <v>5648148</v>
      </c>
      <c r="J81" s="1">
        <v>0</v>
      </c>
      <c r="K81" s="1">
        <v>451852</v>
      </c>
      <c r="L81" s="1">
        <v>6100000</v>
      </c>
      <c r="M81" s="3">
        <f t="shared" si="4"/>
        <v>8.0000028327869593E-2</v>
      </c>
      <c r="P81" s="2"/>
      <c r="Q81" s="1"/>
      <c r="R81" s="1"/>
    </row>
    <row r="82" spans="1:18" hidden="1" x14ac:dyDescent="0.25">
      <c r="A82">
        <v>80</v>
      </c>
      <c r="B82" t="s">
        <v>167</v>
      </c>
      <c r="C82" t="s">
        <v>168</v>
      </c>
      <c r="D82">
        <v>13</v>
      </c>
      <c r="E82" t="s">
        <v>169</v>
      </c>
      <c r="G82" t="s">
        <v>172</v>
      </c>
      <c r="H82" t="s">
        <v>173</v>
      </c>
      <c r="I82" s="1">
        <v>2500000</v>
      </c>
      <c r="J82" s="1">
        <v>0</v>
      </c>
      <c r="K82" s="1">
        <v>200000</v>
      </c>
      <c r="L82" s="1">
        <v>2700000</v>
      </c>
      <c r="M82" s="3">
        <f t="shared" si="4"/>
        <v>0.08</v>
      </c>
      <c r="P82" s="2"/>
      <c r="Q82" s="1"/>
      <c r="R82" s="1"/>
    </row>
    <row r="83" spans="1:18" hidden="1" x14ac:dyDescent="0.25">
      <c r="A83">
        <v>81</v>
      </c>
      <c r="B83" t="s">
        <v>167</v>
      </c>
      <c r="C83" t="s">
        <v>168</v>
      </c>
      <c r="D83">
        <v>12</v>
      </c>
      <c r="E83" t="s">
        <v>169</v>
      </c>
      <c r="G83" t="s">
        <v>174</v>
      </c>
      <c r="H83" t="s">
        <v>175</v>
      </c>
      <c r="I83" s="1">
        <v>2500000</v>
      </c>
      <c r="J83" s="1">
        <v>0</v>
      </c>
      <c r="K83" s="1">
        <v>200000</v>
      </c>
      <c r="L83" s="1">
        <v>2700000</v>
      </c>
      <c r="M83" s="3">
        <f t="shared" si="4"/>
        <v>0.08</v>
      </c>
      <c r="P83" s="2"/>
      <c r="Q83" s="1"/>
      <c r="R83" s="1"/>
    </row>
    <row r="84" spans="1:18" hidden="1" x14ac:dyDescent="0.25">
      <c r="A84">
        <v>82</v>
      </c>
      <c r="B84" t="s">
        <v>167</v>
      </c>
      <c r="C84" t="s">
        <v>168</v>
      </c>
      <c r="D84">
        <v>11</v>
      </c>
      <c r="E84" t="s">
        <v>169</v>
      </c>
      <c r="G84" t="s">
        <v>176</v>
      </c>
      <c r="H84" t="s">
        <v>177</v>
      </c>
      <c r="I84" s="1">
        <v>2500000</v>
      </c>
      <c r="J84" s="1">
        <v>0</v>
      </c>
      <c r="K84" s="1">
        <v>200000</v>
      </c>
      <c r="L84" s="1">
        <v>2700000</v>
      </c>
      <c r="M84" s="3">
        <f t="shared" si="4"/>
        <v>0.08</v>
      </c>
      <c r="P84" s="2"/>
      <c r="Q84" s="1"/>
      <c r="R84" s="1"/>
    </row>
    <row r="85" spans="1:18" hidden="1" x14ac:dyDescent="0.25">
      <c r="A85">
        <v>83</v>
      </c>
      <c r="B85" t="s">
        <v>167</v>
      </c>
      <c r="C85" t="s">
        <v>168</v>
      </c>
      <c r="D85">
        <v>10</v>
      </c>
      <c r="E85" t="s">
        <v>169</v>
      </c>
      <c r="G85" t="s">
        <v>178</v>
      </c>
      <c r="H85" t="s">
        <v>179</v>
      </c>
      <c r="I85" s="1">
        <v>7500000</v>
      </c>
      <c r="J85" s="1">
        <v>0</v>
      </c>
      <c r="K85" s="1">
        <v>600000</v>
      </c>
      <c r="L85" s="1">
        <v>8100000</v>
      </c>
      <c r="M85" s="3">
        <f t="shared" si="4"/>
        <v>0.08</v>
      </c>
      <c r="P85" s="2"/>
      <c r="Q85" s="1"/>
      <c r="R85" s="1"/>
    </row>
    <row r="86" spans="1:18" hidden="1" x14ac:dyDescent="0.25">
      <c r="A86">
        <v>84</v>
      </c>
      <c r="B86" t="s">
        <v>167</v>
      </c>
      <c r="C86" t="s">
        <v>168</v>
      </c>
      <c r="D86">
        <v>9</v>
      </c>
      <c r="E86" t="s">
        <v>169</v>
      </c>
      <c r="G86" t="s">
        <v>180</v>
      </c>
      <c r="H86" t="s">
        <v>181</v>
      </c>
      <c r="I86" s="1">
        <v>7314815</v>
      </c>
      <c r="J86" s="1">
        <v>0</v>
      </c>
      <c r="K86" s="1">
        <v>585185</v>
      </c>
      <c r="L86" s="1">
        <v>7900000</v>
      </c>
      <c r="M86" s="3">
        <f t="shared" si="4"/>
        <v>7.9999972658228544E-2</v>
      </c>
      <c r="P86" s="2"/>
      <c r="Q86" s="1"/>
      <c r="R86" s="1"/>
    </row>
    <row r="87" spans="1:18" hidden="1" x14ac:dyDescent="0.25">
      <c r="A87">
        <v>85</v>
      </c>
      <c r="B87" t="s">
        <v>167</v>
      </c>
      <c r="C87" t="s">
        <v>168</v>
      </c>
      <c r="D87">
        <v>8</v>
      </c>
      <c r="E87" t="s">
        <v>169</v>
      </c>
      <c r="G87" t="s">
        <v>182</v>
      </c>
      <c r="H87" t="s">
        <v>183</v>
      </c>
      <c r="I87" s="1">
        <v>2500000</v>
      </c>
      <c r="J87" s="1">
        <v>0</v>
      </c>
      <c r="K87" s="1">
        <v>200000</v>
      </c>
      <c r="L87" s="1">
        <v>2700000</v>
      </c>
      <c r="M87" s="3">
        <f t="shared" si="4"/>
        <v>0.08</v>
      </c>
      <c r="P87" s="2"/>
      <c r="Q87" s="1"/>
      <c r="R87" s="1"/>
    </row>
    <row r="88" spans="1:18" hidden="1" x14ac:dyDescent="0.25">
      <c r="A88">
        <v>86</v>
      </c>
      <c r="B88" t="s">
        <v>167</v>
      </c>
      <c r="C88" t="s">
        <v>168</v>
      </c>
      <c r="D88">
        <v>7</v>
      </c>
      <c r="E88" t="s">
        <v>169</v>
      </c>
      <c r="G88" t="s">
        <v>184</v>
      </c>
      <c r="H88" t="s">
        <v>185</v>
      </c>
      <c r="I88" s="1">
        <v>8981481</v>
      </c>
      <c r="J88" s="1">
        <v>0</v>
      </c>
      <c r="K88" s="1">
        <v>718519</v>
      </c>
      <c r="L88" s="1">
        <v>9700000</v>
      </c>
      <c r="M88" s="3">
        <f t="shared" si="4"/>
        <v>8.0000057896910323E-2</v>
      </c>
      <c r="P88" s="2"/>
      <c r="Q88" s="1"/>
      <c r="R88" s="1"/>
    </row>
    <row r="89" spans="1:18" hidden="1" x14ac:dyDescent="0.25">
      <c r="A89">
        <v>87</v>
      </c>
      <c r="B89" t="s">
        <v>167</v>
      </c>
      <c r="C89" t="s">
        <v>168</v>
      </c>
      <c r="D89">
        <v>6</v>
      </c>
      <c r="E89" t="s">
        <v>169</v>
      </c>
      <c r="G89" t="s">
        <v>186</v>
      </c>
      <c r="H89" t="s">
        <v>187</v>
      </c>
      <c r="I89" s="1">
        <v>2500000</v>
      </c>
      <c r="J89" s="1">
        <v>0</v>
      </c>
      <c r="K89" s="1">
        <v>200000</v>
      </c>
      <c r="L89" s="1">
        <v>2700000</v>
      </c>
      <c r="M89" s="3">
        <f t="shared" si="4"/>
        <v>0.08</v>
      </c>
      <c r="P89" s="2"/>
      <c r="Q89" s="1"/>
      <c r="R89" s="1"/>
    </row>
    <row r="90" spans="1:18" hidden="1" x14ac:dyDescent="0.25">
      <c r="A90">
        <v>88</v>
      </c>
      <c r="B90" t="s">
        <v>167</v>
      </c>
      <c r="C90" t="s">
        <v>168</v>
      </c>
      <c r="D90">
        <v>5</v>
      </c>
      <c r="E90" t="s">
        <v>169</v>
      </c>
      <c r="G90" t="s">
        <v>188</v>
      </c>
      <c r="H90" t="s">
        <v>189</v>
      </c>
      <c r="I90" s="1">
        <v>2500000</v>
      </c>
      <c r="J90" s="1">
        <v>0</v>
      </c>
      <c r="K90" s="1">
        <v>200000</v>
      </c>
      <c r="L90" s="1">
        <v>2700000</v>
      </c>
      <c r="M90" s="3">
        <f t="shared" si="4"/>
        <v>0.08</v>
      </c>
      <c r="P90" s="2"/>
      <c r="Q90" s="1"/>
      <c r="R90" s="1"/>
    </row>
    <row r="91" spans="1:18" hidden="1" x14ac:dyDescent="0.25">
      <c r="A91">
        <v>89</v>
      </c>
      <c r="B91" t="s">
        <v>167</v>
      </c>
      <c r="C91" t="s">
        <v>168</v>
      </c>
      <c r="D91">
        <v>4</v>
      </c>
      <c r="E91" t="s">
        <v>169</v>
      </c>
      <c r="G91" t="s">
        <v>190</v>
      </c>
      <c r="H91" t="s">
        <v>191</v>
      </c>
      <c r="I91" s="1">
        <v>7314815</v>
      </c>
      <c r="J91" s="1">
        <v>0</v>
      </c>
      <c r="K91" s="1">
        <v>585185</v>
      </c>
      <c r="L91" s="1">
        <v>7900000</v>
      </c>
      <c r="M91" s="3">
        <f t="shared" si="4"/>
        <v>7.9999972658228544E-2</v>
      </c>
      <c r="P91" s="2"/>
      <c r="Q91" s="1"/>
      <c r="R91" s="1"/>
    </row>
    <row r="92" spans="1:18" hidden="1" x14ac:dyDescent="0.25">
      <c r="A92">
        <v>90</v>
      </c>
      <c r="B92" t="s">
        <v>167</v>
      </c>
      <c r="C92" t="s">
        <v>168</v>
      </c>
      <c r="D92">
        <v>3</v>
      </c>
      <c r="E92" t="s">
        <v>169</v>
      </c>
      <c r="G92" t="s">
        <v>192</v>
      </c>
      <c r="H92" t="s">
        <v>193</v>
      </c>
      <c r="I92" s="1">
        <v>14166666</v>
      </c>
      <c r="J92" s="1">
        <v>0</v>
      </c>
      <c r="K92" s="1">
        <v>1133334</v>
      </c>
      <c r="L92" s="1">
        <v>15300000</v>
      </c>
      <c r="M92" s="3">
        <f t="shared" si="4"/>
        <v>8.0000050823531801E-2</v>
      </c>
      <c r="P92" s="2"/>
      <c r="Q92" s="1"/>
      <c r="R92" s="1"/>
    </row>
    <row r="93" spans="1:18" hidden="1" x14ac:dyDescent="0.25">
      <c r="A93">
        <v>91</v>
      </c>
      <c r="B93" t="s">
        <v>167</v>
      </c>
      <c r="C93" t="s">
        <v>168</v>
      </c>
      <c r="D93">
        <v>2</v>
      </c>
      <c r="E93" t="s">
        <v>169</v>
      </c>
      <c r="G93" t="s">
        <v>194</v>
      </c>
      <c r="H93" t="s">
        <v>195</v>
      </c>
      <c r="I93" s="1">
        <v>7500000</v>
      </c>
      <c r="J93" s="1">
        <v>0</v>
      </c>
      <c r="K93" s="1">
        <v>600000</v>
      </c>
      <c r="L93" s="1">
        <v>8100000</v>
      </c>
      <c r="M93" s="3">
        <f t="shared" si="4"/>
        <v>0.08</v>
      </c>
      <c r="P93" s="2"/>
      <c r="Q93" s="1"/>
      <c r="R93" s="1"/>
    </row>
    <row r="94" spans="1:18" hidden="1" x14ac:dyDescent="0.25">
      <c r="A94">
        <v>92</v>
      </c>
      <c r="B94" t="s">
        <v>167</v>
      </c>
      <c r="C94" t="s">
        <v>168</v>
      </c>
      <c r="D94">
        <v>1</v>
      </c>
      <c r="E94" t="s">
        <v>169</v>
      </c>
      <c r="G94" t="s">
        <v>196</v>
      </c>
      <c r="H94" t="s">
        <v>197</v>
      </c>
      <c r="I94" s="1">
        <v>7314815</v>
      </c>
      <c r="J94" s="1">
        <v>0</v>
      </c>
      <c r="K94" s="1">
        <v>585185</v>
      </c>
      <c r="L94" s="1">
        <v>7900000</v>
      </c>
      <c r="M94" s="3">
        <f t="shared" si="4"/>
        <v>7.9999972658228544E-2</v>
      </c>
      <c r="P94" s="2"/>
      <c r="Q94" s="1"/>
      <c r="R94" s="1"/>
    </row>
    <row r="95" spans="1:18" hidden="1" x14ac:dyDescent="0.25">
      <c r="A95">
        <v>93</v>
      </c>
      <c r="B95" t="s">
        <v>167</v>
      </c>
      <c r="C95" t="s">
        <v>198</v>
      </c>
      <c r="D95">
        <v>16</v>
      </c>
      <c r="E95" t="s">
        <v>169</v>
      </c>
      <c r="G95" t="s">
        <v>199</v>
      </c>
      <c r="H95" t="s">
        <v>200</v>
      </c>
      <c r="I95" s="1">
        <v>2500000</v>
      </c>
      <c r="J95" s="1">
        <v>0</v>
      </c>
      <c r="K95" s="1">
        <v>200000</v>
      </c>
      <c r="L95" s="1">
        <v>2700000</v>
      </c>
      <c r="M95" s="3">
        <f t="shared" si="4"/>
        <v>0.08</v>
      </c>
      <c r="P95" s="2"/>
      <c r="Q95" s="1"/>
      <c r="R95" s="1"/>
    </row>
    <row r="96" spans="1:18" hidden="1" x14ac:dyDescent="0.25">
      <c r="A96">
        <v>94</v>
      </c>
      <c r="B96" t="s">
        <v>167</v>
      </c>
      <c r="C96" t="s">
        <v>198</v>
      </c>
      <c r="D96">
        <v>15</v>
      </c>
      <c r="E96" t="s">
        <v>169</v>
      </c>
      <c r="G96" t="s">
        <v>201</v>
      </c>
      <c r="H96" t="s">
        <v>202</v>
      </c>
      <c r="I96" s="1">
        <v>9351851</v>
      </c>
      <c r="J96" s="1">
        <v>0</v>
      </c>
      <c r="K96" s="1">
        <v>748149</v>
      </c>
      <c r="L96" s="1">
        <v>10100000</v>
      </c>
      <c r="M96" s="3">
        <f t="shared" si="4"/>
        <v>8.0000098376246581E-2</v>
      </c>
      <c r="P96" s="2"/>
      <c r="Q96" s="1"/>
      <c r="R96" s="1"/>
    </row>
    <row r="97" spans="1:18" hidden="1" x14ac:dyDescent="0.25">
      <c r="A97">
        <v>95</v>
      </c>
      <c r="B97" t="s">
        <v>167</v>
      </c>
      <c r="C97" t="s">
        <v>203</v>
      </c>
      <c r="D97">
        <v>19</v>
      </c>
      <c r="E97" t="s">
        <v>169</v>
      </c>
      <c r="G97" t="s">
        <v>204</v>
      </c>
      <c r="H97" t="s">
        <v>205</v>
      </c>
      <c r="I97" s="1">
        <v>2500000</v>
      </c>
      <c r="J97" s="1">
        <v>0</v>
      </c>
      <c r="K97" s="1">
        <v>200000</v>
      </c>
      <c r="L97" s="1">
        <v>2700000</v>
      </c>
      <c r="M97" s="3">
        <f t="shared" si="4"/>
        <v>0.08</v>
      </c>
      <c r="P97" s="2"/>
      <c r="Q97" s="1"/>
      <c r="R97" s="1"/>
    </row>
    <row r="98" spans="1:18" hidden="1" x14ac:dyDescent="0.25">
      <c r="A98">
        <v>96</v>
      </c>
      <c r="B98" t="s">
        <v>167</v>
      </c>
      <c r="C98" t="s">
        <v>203</v>
      </c>
      <c r="D98">
        <v>18</v>
      </c>
      <c r="E98" t="s">
        <v>169</v>
      </c>
      <c r="G98" t="s">
        <v>206</v>
      </c>
      <c r="H98" t="s">
        <v>207</v>
      </c>
      <c r="I98" s="1">
        <v>2500000</v>
      </c>
      <c r="J98" s="1">
        <v>0</v>
      </c>
      <c r="K98" s="1">
        <v>200000</v>
      </c>
      <c r="L98" s="1">
        <v>2700000</v>
      </c>
      <c r="M98" s="3">
        <f t="shared" si="4"/>
        <v>0.08</v>
      </c>
      <c r="P98" s="2"/>
      <c r="Q98" s="1"/>
      <c r="R98" s="1"/>
    </row>
    <row r="99" spans="1:18" hidden="1" x14ac:dyDescent="0.25">
      <c r="A99">
        <v>97</v>
      </c>
      <c r="B99" t="s">
        <v>167</v>
      </c>
      <c r="C99" t="s">
        <v>203</v>
      </c>
      <c r="D99">
        <v>17</v>
      </c>
      <c r="E99" t="s">
        <v>169</v>
      </c>
      <c r="G99" t="s">
        <v>208</v>
      </c>
      <c r="H99" t="s">
        <v>209</v>
      </c>
      <c r="I99" s="1">
        <v>7314815</v>
      </c>
      <c r="J99" s="1">
        <v>0</v>
      </c>
      <c r="K99" s="1">
        <v>585185</v>
      </c>
      <c r="L99" s="1">
        <v>7900000</v>
      </c>
      <c r="M99" s="3">
        <f t="shared" si="4"/>
        <v>7.9999972658228544E-2</v>
      </c>
      <c r="P99" s="2"/>
      <c r="Q99" s="1"/>
      <c r="R99" s="1"/>
    </row>
    <row r="100" spans="1:18" hidden="1" x14ac:dyDescent="0.25">
      <c r="A100">
        <v>98</v>
      </c>
      <c r="B100" t="s">
        <v>167</v>
      </c>
      <c r="C100" t="s">
        <v>210</v>
      </c>
      <c r="D100">
        <v>23</v>
      </c>
      <c r="E100" t="s">
        <v>169</v>
      </c>
      <c r="G100" t="s">
        <v>211</v>
      </c>
      <c r="H100" t="s">
        <v>212</v>
      </c>
      <c r="I100" s="1">
        <v>4537037</v>
      </c>
      <c r="J100" s="1">
        <v>0</v>
      </c>
      <c r="K100" s="1">
        <v>362963</v>
      </c>
      <c r="L100" s="1">
        <v>4900000</v>
      </c>
      <c r="M100" s="3">
        <f t="shared" si="4"/>
        <v>8.0000008816326601E-2</v>
      </c>
      <c r="P100" s="2"/>
      <c r="Q100" s="1"/>
      <c r="R100" s="1"/>
    </row>
    <row r="101" spans="1:18" hidden="1" x14ac:dyDescent="0.25">
      <c r="A101">
        <v>99</v>
      </c>
      <c r="B101" t="s">
        <v>167</v>
      </c>
      <c r="C101" t="s">
        <v>210</v>
      </c>
      <c r="D101">
        <v>22</v>
      </c>
      <c r="E101" t="s">
        <v>169</v>
      </c>
      <c r="G101" t="s">
        <v>199</v>
      </c>
      <c r="H101" t="s">
        <v>213</v>
      </c>
      <c r="I101" s="1">
        <v>3148148</v>
      </c>
      <c r="J101" s="1">
        <v>0</v>
      </c>
      <c r="K101" s="1">
        <v>251852</v>
      </c>
      <c r="L101" s="1">
        <v>3400000</v>
      </c>
      <c r="M101" s="3">
        <f t="shared" si="4"/>
        <v>8.0000050823531801E-2</v>
      </c>
      <c r="P101" s="2"/>
      <c r="Q101" s="1"/>
      <c r="R101" s="1"/>
    </row>
    <row r="102" spans="1:18" hidden="1" x14ac:dyDescent="0.25">
      <c r="A102">
        <v>100</v>
      </c>
      <c r="B102" t="s">
        <v>167</v>
      </c>
      <c r="C102" t="s">
        <v>210</v>
      </c>
      <c r="D102">
        <v>21</v>
      </c>
      <c r="E102" t="s">
        <v>169</v>
      </c>
      <c r="G102" t="s">
        <v>214</v>
      </c>
      <c r="H102" t="s">
        <v>215</v>
      </c>
      <c r="I102" s="1">
        <v>2500000</v>
      </c>
      <c r="J102" s="1">
        <v>0</v>
      </c>
      <c r="K102" s="1">
        <v>200000</v>
      </c>
      <c r="L102" s="1">
        <v>2700000</v>
      </c>
      <c r="M102" s="3">
        <f t="shared" si="4"/>
        <v>0.08</v>
      </c>
      <c r="P102" s="2"/>
      <c r="Q102" s="1"/>
      <c r="R102" s="1"/>
    </row>
    <row r="103" spans="1:18" hidden="1" x14ac:dyDescent="0.25">
      <c r="A103">
        <v>101</v>
      </c>
      <c r="B103" t="s">
        <v>167</v>
      </c>
      <c r="C103" t="s">
        <v>210</v>
      </c>
      <c r="D103">
        <v>20</v>
      </c>
      <c r="E103" t="s">
        <v>169</v>
      </c>
      <c r="G103" t="s">
        <v>206</v>
      </c>
      <c r="H103" t="s">
        <v>216</v>
      </c>
      <c r="I103" s="1">
        <v>4814815</v>
      </c>
      <c r="J103" s="1">
        <v>0</v>
      </c>
      <c r="K103" s="1">
        <v>385185</v>
      </c>
      <c r="L103" s="1">
        <v>5200000</v>
      </c>
      <c r="M103" s="3">
        <f t="shared" si="4"/>
        <v>7.9999958461540066E-2</v>
      </c>
      <c r="P103" s="2"/>
      <c r="Q103" s="1"/>
      <c r="R103" s="1"/>
    </row>
    <row r="104" spans="1:18" hidden="1" x14ac:dyDescent="0.25">
      <c r="A104">
        <v>102</v>
      </c>
      <c r="B104" t="s">
        <v>167</v>
      </c>
      <c r="C104" t="s">
        <v>217</v>
      </c>
      <c r="D104">
        <v>27</v>
      </c>
      <c r="E104" t="s">
        <v>169</v>
      </c>
      <c r="G104" t="s">
        <v>218</v>
      </c>
      <c r="H104" t="s">
        <v>219</v>
      </c>
      <c r="I104" s="1">
        <v>2500000</v>
      </c>
      <c r="J104" s="1">
        <v>0</v>
      </c>
      <c r="K104" s="1">
        <v>200000</v>
      </c>
      <c r="L104" s="1">
        <v>2700000</v>
      </c>
      <c r="M104" s="3">
        <f t="shared" si="4"/>
        <v>0.08</v>
      </c>
      <c r="P104" s="2"/>
      <c r="Q104" s="1"/>
      <c r="R104" s="1"/>
    </row>
    <row r="105" spans="1:18" hidden="1" x14ac:dyDescent="0.25">
      <c r="A105">
        <v>103</v>
      </c>
      <c r="B105" t="s">
        <v>167</v>
      </c>
      <c r="C105" t="s">
        <v>217</v>
      </c>
      <c r="D105">
        <v>26</v>
      </c>
      <c r="E105" t="s">
        <v>169</v>
      </c>
      <c r="G105" t="s">
        <v>220</v>
      </c>
      <c r="H105" t="s">
        <v>221</v>
      </c>
      <c r="I105" s="1">
        <v>2500000</v>
      </c>
      <c r="J105" s="1">
        <v>0</v>
      </c>
      <c r="K105" s="1">
        <v>200000</v>
      </c>
      <c r="L105" s="1">
        <v>2700000</v>
      </c>
      <c r="M105" s="3">
        <f t="shared" si="4"/>
        <v>0.08</v>
      </c>
      <c r="P105" s="2"/>
      <c r="Q105" s="1"/>
      <c r="R105" s="1"/>
    </row>
    <row r="106" spans="1:18" hidden="1" x14ac:dyDescent="0.25">
      <c r="A106">
        <v>104</v>
      </c>
      <c r="B106" t="s">
        <v>167</v>
      </c>
      <c r="C106" t="s">
        <v>217</v>
      </c>
      <c r="D106">
        <v>25</v>
      </c>
      <c r="E106" t="s">
        <v>169</v>
      </c>
      <c r="G106" t="s">
        <v>222</v>
      </c>
      <c r="H106" t="s">
        <v>223</v>
      </c>
      <c r="I106" s="1">
        <v>2500000</v>
      </c>
      <c r="J106" s="1">
        <v>0</v>
      </c>
      <c r="K106" s="1">
        <v>200000</v>
      </c>
      <c r="L106" s="1">
        <v>2700000</v>
      </c>
      <c r="M106" s="3">
        <f t="shared" si="4"/>
        <v>0.08</v>
      </c>
      <c r="P106" s="2"/>
      <c r="Q106" s="1"/>
      <c r="R106" s="1"/>
    </row>
    <row r="107" spans="1:18" hidden="1" x14ac:dyDescent="0.25">
      <c r="A107">
        <v>105</v>
      </c>
      <c r="B107" t="s">
        <v>167</v>
      </c>
      <c r="C107" t="s">
        <v>217</v>
      </c>
      <c r="D107">
        <v>24</v>
      </c>
      <c r="E107" t="s">
        <v>169</v>
      </c>
      <c r="G107" t="s">
        <v>224</v>
      </c>
      <c r="H107" t="s">
        <v>225</v>
      </c>
      <c r="I107" s="1">
        <v>5370371</v>
      </c>
      <c r="J107" s="1">
        <v>0</v>
      </c>
      <c r="K107" s="1">
        <v>429629</v>
      </c>
      <c r="L107" s="1">
        <v>5800000</v>
      </c>
      <c r="M107" s="3">
        <f t="shared" si="4"/>
        <v>7.9999873379325195E-2</v>
      </c>
      <c r="P107" s="2"/>
      <c r="Q107" s="1"/>
      <c r="R107" s="1"/>
    </row>
    <row r="108" spans="1:18" hidden="1" x14ac:dyDescent="0.25">
      <c r="A108">
        <v>106</v>
      </c>
      <c r="B108" t="s">
        <v>167</v>
      </c>
      <c r="C108" t="s">
        <v>226</v>
      </c>
      <c r="D108">
        <v>29</v>
      </c>
      <c r="E108" t="s">
        <v>169</v>
      </c>
      <c r="G108" t="s">
        <v>218</v>
      </c>
      <c r="H108" t="s">
        <v>227</v>
      </c>
      <c r="I108" s="1">
        <v>3148148</v>
      </c>
      <c r="J108" s="1">
        <v>0</v>
      </c>
      <c r="K108" s="1">
        <v>251852</v>
      </c>
      <c r="L108" s="1">
        <v>3400000</v>
      </c>
      <c r="M108" s="3">
        <f t="shared" si="4"/>
        <v>8.0000050823531801E-2</v>
      </c>
      <c r="P108" s="2"/>
      <c r="Q108" s="1"/>
      <c r="R108" s="1"/>
    </row>
    <row r="109" spans="1:18" hidden="1" x14ac:dyDescent="0.25">
      <c r="A109">
        <v>107</v>
      </c>
      <c r="B109" t="s">
        <v>167</v>
      </c>
      <c r="C109" t="s">
        <v>226</v>
      </c>
      <c r="D109">
        <v>28</v>
      </c>
      <c r="E109" t="s">
        <v>169</v>
      </c>
      <c r="G109" t="s">
        <v>228</v>
      </c>
      <c r="H109" t="s">
        <v>229</v>
      </c>
      <c r="I109" s="1">
        <v>2500000</v>
      </c>
      <c r="J109" s="1">
        <v>0</v>
      </c>
      <c r="K109" s="1">
        <v>200000</v>
      </c>
      <c r="L109" s="1">
        <v>2700000</v>
      </c>
      <c r="M109" s="3">
        <f t="shared" si="4"/>
        <v>0.08</v>
      </c>
      <c r="P109" s="2"/>
      <c r="Q109" s="1"/>
      <c r="R109" s="1"/>
    </row>
    <row r="110" spans="1:18" hidden="1" x14ac:dyDescent="0.25">
      <c r="A110">
        <v>108</v>
      </c>
      <c r="B110" t="s">
        <v>167</v>
      </c>
      <c r="C110" t="s">
        <v>230</v>
      </c>
      <c r="D110">
        <v>33</v>
      </c>
      <c r="E110" t="s">
        <v>169</v>
      </c>
      <c r="G110" t="s">
        <v>214</v>
      </c>
      <c r="H110" t="s">
        <v>231</v>
      </c>
      <c r="I110" s="1">
        <v>4814815</v>
      </c>
      <c r="J110" s="1">
        <v>0</v>
      </c>
      <c r="K110" s="1">
        <v>385185</v>
      </c>
      <c r="L110" s="1">
        <v>5200000</v>
      </c>
      <c r="M110" s="3">
        <f t="shared" si="4"/>
        <v>7.9999958461540066E-2</v>
      </c>
      <c r="P110" s="2"/>
      <c r="Q110" s="1"/>
      <c r="R110" s="1"/>
    </row>
    <row r="111" spans="1:18" hidden="1" x14ac:dyDescent="0.25">
      <c r="A111">
        <v>109</v>
      </c>
      <c r="B111" t="s">
        <v>167</v>
      </c>
      <c r="C111" t="s">
        <v>230</v>
      </c>
      <c r="D111">
        <v>32</v>
      </c>
      <c r="E111" t="s">
        <v>169</v>
      </c>
      <c r="G111" t="s">
        <v>204</v>
      </c>
      <c r="H111" t="s">
        <v>232</v>
      </c>
      <c r="I111" s="1">
        <v>2037037</v>
      </c>
      <c r="J111" s="1">
        <v>0</v>
      </c>
      <c r="K111" s="1">
        <v>162963</v>
      </c>
      <c r="L111" s="1">
        <v>2200000</v>
      </c>
      <c r="M111" s="3">
        <f t="shared" si="4"/>
        <v>8.0000019636363995E-2</v>
      </c>
      <c r="P111" s="2"/>
      <c r="Q111" s="1"/>
      <c r="R111" s="1"/>
    </row>
    <row r="112" spans="1:18" hidden="1" x14ac:dyDescent="0.25">
      <c r="A112">
        <v>110</v>
      </c>
      <c r="B112" t="s">
        <v>167</v>
      </c>
      <c r="C112" t="s">
        <v>230</v>
      </c>
      <c r="D112">
        <v>31</v>
      </c>
      <c r="E112" t="s">
        <v>169</v>
      </c>
      <c r="G112" t="s">
        <v>233</v>
      </c>
      <c r="H112" t="s">
        <v>234</v>
      </c>
      <c r="I112" s="1">
        <v>7500000</v>
      </c>
      <c r="J112" s="1">
        <v>0</v>
      </c>
      <c r="K112" s="1">
        <v>600000</v>
      </c>
      <c r="L112" s="1">
        <v>8100000</v>
      </c>
      <c r="M112" s="3">
        <f t="shared" si="4"/>
        <v>0.08</v>
      </c>
      <c r="P112" s="2"/>
      <c r="Q112" s="1"/>
      <c r="R112" s="1"/>
    </row>
    <row r="113" spans="1:18" hidden="1" x14ac:dyDescent="0.25">
      <c r="A113">
        <v>111</v>
      </c>
      <c r="B113" t="s">
        <v>167</v>
      </c>
      <c r="C113" t="s">
        <v>230</v>
      </c>
      <c r="D113">
        <v>30</v>
      </c>
      <c r="E113" t="s">
        <v>169</v>
      </c>
      <c r="G113" t="s">
        <v>235</v>
      </c>
      <c r="H113" t="s">
        <v>236</v>
      </c>
      <c r="I113" s="1">
        <v>3148148</v>
      </c>
      <c r="J113" s="1">
        <v>0</v>
      </c>
      <c r="K113" s="1">
        <v>251852</v>
      </c>
      <c r="L113" s="1">
        <v>3400000</v>
      </c>
      <c r="M113" s="3">
        <f t="shared" si="4"/>
        <v>8.0000050823531801E-2</v>
      </c>
      <c r="P113" s="2"/>
      <c r="Q113" s="1"/>
      <c r="R113" s="1"/>
    </row>
    <row r="114" spans="1:18" hidden="1" x14ac:dyDescent="0.25">
      <c r="A114">
        <v>112</v>
      </c>
      <c r="B114" t="s">
        <v>167</v>
      </c>
      <c r="C114" t="s">
        <v>39</v>
      </c>
      <c r="D114">
        <v>35</v>
      </c>
      <c r="E114" t="s">
        <v>169</v>
      </c>
      <c r="G114" t="s">
        <v>237</v>
      </c>
      <c r="H114" t="s">
        <v>238</v>
      </c>
      <c r="I114" s="1">
        <v>6203704</v>
      </c>
      <c r="J114" s="1">
        <v>0</v>
      </c>
      <c r="K114" s="1">
        <v>496296</v>
      </c>
      <c r="L114" s="1">
        <v>6700000</v>
      </c>
      <c r="M114" s="3">
        <f t="shared" si="4"/>
        <v>7.9999948417912914E-2</v>
      </c>
      <c r="P114" s="2"/>
      <c r="Q114" s="1"/>
      <c r="R114" s="1"/>
    </row>
    <row r="115" spans="1:18" hidden="1" x14ac:dyDescent="0.25">
      <c r="A115">
        <v>113</v>
      </c>
      <c r="B115" t="s">
        <v>167</v>
      </c>
      <c r="C115" t="s">
        <v>39</v>
      </c>
      <c r="D115">
        <v>34</v>
      </c>
      <c r="E115" t="s">
        <v>169</v>
      </c>
      <c r="G115" t="s">
        <v>239</v>
      </c>
      <c r="H115" t="s">
        <v>240</v>
      </c>
      <c r="I115" s="1">
        <v>2500000</v>
      </c>
      <c r="J115" s="1">
        <v>0</v>
      </c>
      <c r="K115" s="1">
        <v>200000</v>
      </c>
      <c r="L115" s="1">
        <v>2700000</v>
      </c>
      <c r="M115" s="3">
        <f t="shared" si="4"/>
        <v>0.08</v>
      </c>
      <c r="P115" s="2"/>
      <c r="Q115" s="1"/>
      <c r="R115" s="1"/>
    </row>
    <row r="116" spans="1:18" hidden="1" x14ac:dyDescent="0.25">
      <c r="A116">
        <v>114</v>
      </c>
      <c r="B116" t="s">
        <v>167</v>
      </c>
      <c r="C116" t="s">
        <v>241</v>
      </c>
      <c r="D116">
        <v>37</v>
      </c>
      <c r="E116" t="s">
        <v>169</v>
      </c>
      <c r="G116" t="s">
        <v>242</v>
      </c>
      <c r="H116" t="s">
        <v>243</v>
      </c>
      <c r="I116" s="1">
        <v>2500000</v>
      </c>
      <c r="J116" s="1">
        <v>0</v>
      </c>
      <c r="K116" s="1">
        <v>200000</v>
      </c>
      <c r="L116" s="1">
        <v>2700000</v>
      </c>
      <c r="M116" s="3">
        <f t="shared" si="4"/>
        <v>0.08</v>
      </c>
      <c r="P116" s="2"/>
      <c r="Q116" s="1"/>
      <c r="R116" s="1"/>
    </row>
    <row r="117" spans="1:18" hidden="1" x14ac:dyDescent="0.25">
      <c r="A117">
        <v>115</v>
      </c>
      <c r="B117" t="s">
        <v>167</v>
      </c>
      <c r="C117" t="s">
        <v>241</v>
      </c>
      <c r="D117">
        <v>36</v>
      </c>
      <c r="E117" t="s">
        <v>169</v>
      </c>
      <c r="G117" t="s">
        <v>239</v>
      </c>
      <c r="H117" t="s">
        <v>244</v>
      </c>
      <c r="I117" s="1">
        <v>6666667</v>
      </c>
      <c r="J117" s="1">
        <v>0</v>
      </c>
      <c r="K117" s="1">
        <v>533333</v>
      </c>
      <c r="L117" s="1">
        <v>7200000</v>
      </c>
      <c r="M117" s="3">
        <f t="shared" si="4"/>
        <v>7.9999946000002695E-2</v>
      </c>
      <c r="P117" s="2"/>
      <c r="Q117" s="1"/>
      <c r="R117" s="1"/>
    </row>
    <row r="118" spans="1:18" hidden="1" x14ac:dyDescent="0.25">
      <c r="A118">
        <v>116</v>
      </c>
      <c r="B118" t="s">
        <v>167</v>
      </c>
      <c r="C118" t="s">
        <v>48</v>
      </c>
      <c r="D118">
        <v>39</v>
      </c>
      <c r="E118" t="s">
        <v>169</v>
      </c>
      <c r="G118" t="s">
        <v>245</v>
      </c>
      <c r="H118" t="s">
        <v>246</v>
      </c>
      <c r="I118" s="1">
        <v>7314815</v>
      </c>
      <c r="J118" s="1">
        <v>0</v>
      </c>
      <c r="K118" s="1">
        <v>585185</v>
      </c>
      <c r="L118" s="1">
        <v>7900000</v>
      </c>
      <c r="M118" s="3">
        <f t="shared" si="4"/>
        <v>7.9999972658228544E-2</v>
      </c>
      <c r="P118" s="2"/>
      <c r="Q118" s="1"/>
      <c r="R118" s="1"/>
    </row>
    <row r="119" spans="1:18" hidden="1" x14ac:dyDescent="0.25">
      <c r="A119">
        <v>117</v>
      </c>
      <c r="B119" t="s">
        <v>167</v>
      </c>
      <c r="C119" t="s">
        <v>48</v>
      </c>
      <c r="D119">
        <v>38</v>
      </c>
      <c r="E119" t="s">
        <v>169</v>
      </c>
      <c r="G119" t="s">
        <v>247</v>
      </c>
      <c r="H119" t="s">
        <v>248</v>
      </c>
      <c r="I119" s="1">
        <v>2500000</v>
      </c>
      <c r="J119" s="1">
        <v>0</v>
      </c>
      <c r="K119" s="1">
        <v>200000</v>
      </c>
      <c r="L119" s="1">
        <v>2700000</v>
      </c>
      <c r="M119" s="3">
        <f t="shared" si="4"/>
        <v>0.08</v>
      </c>
      <c r="P119" s="2"/>
      <c r="Q119" s="1"/>
      <c r="R119" s="1"/>
    </row>
    <row r="120" spans="1:18" hidden="1" x14ac:dyDescent="0.25">
      <c r="A120">
        <v>118</v>
      </c>
      <c r="B120" t="s">
        <v>167</v>
      </c>
      <c r="C120" t="s">
        <v>57</v>
      </c>
      <c r="D120">
        <v>41</v>
      </c>
      <c r="E120" t="s">
        <v>169</v>
      </c>
      <c r="G120" t="s">
        <v>174</v>
      </c>
      <c r="H120" t="s">
        <v>249</v>
      </c>
      <c r="I120" s="1">
        <v>6481482</v>
      </c>
      <c r="J120" s="1">
        <v>0</v>
      </c>
      <c r="K120" s="1">
        <v>518518</v>
      </c>
      <c r="L120" s="1">
        <v>7000000</v>
      </c>
      <c r="M120" s="3">
        <f t="shared" si="4"/>
        <v>7.9999913600006911E-2</v>
      </c>
      <c r="P120" s="2"/>
      <c r="Q120" s="1"/>
      <c r="R120" s="1"/>
    </row>
    <row r="121" spans="1:18" hidden="1" x14ac:dyDescent="0.25">
      <c r="A121">
        <v>119</v>
      </c>
      <c r="B121" t="s">
        <v>167</v>
      </c>
      <c r="C121" t="s">
        <v>57</v>
      </c>
      <c r="D121">
        <v>40</v>
      </c>
      <c r="E121" t="s">
        <v>169</v>
      </c>
      <c r="G121" t="s">
        <v>250</v>
      </c>
      <c r="H121" t="s">
        <v>251</v>
      </c>
      <c r="I121" s="1">
        <v>2500000</v>
      </c>
      <c r="J121" s="1">
        <v>0</v>
      </c>
      <c r="K121" s="1">
        <v>200000</v>
      </c>
      <c r="L121" s="1">
        <v>2700000</v>
      </c>
      <c r="M121" s="3">
        <f t="shared" si="4"/>
        <v>0.08</v>
      </c>
      <c r="P121" s="2"/>
      <c r="Q121" s="1"/>
      <c r="R121" s="1"/>
    </row>
    <row r="122" spans="1:18" hidden="1" x14ac:dyDescent="0.25">
      <c r="A122">
        <v>120</v>
      </c>
      <c r="B122" t="s">
        <v>167</v>
      </c>
      <c r="C122" t="s">
        <v>252</v>
      </c>
      <c r="D122">
        <v>42</v>
      </c>
      <c r="E122" t="s">
        <v>169</v>
      </c>
      <c r="G122" t="s">
        <v>253</v>
      </c>
      <c r="H122" t="s">
        <v>254</v>
      </c>
      <c r="I122" s="1">
        <v>2500000</v>
      </c>
      <c r="J122" s="1">
        <v>0</v>
      </c>
      <c r="K122" s="1">
        <v>200000</v>
      </c>
      <c r="L122" s="1">
        <v>2700000</v>
      </c>
      <c r="M122" s="3">
        <f t="shared" si="4"/>
        <v>0.08</v>
      </c>
      <c r="P122" s="2"/>
      <c r="Q122" s="1"/>
      <c r="R122" s="1"/>
    </row>
    <row r="123" spans="1:18" hidden="1" x14ac:dyDescent="0.25">
      <c r="A123">
        <v>121</v>
      </c>
      <c r="B123" t="s">
        <v>167</v>
      </c>
      <c r="C123" t="s">
        <v>61</v>
      </c>
      <c r="D123">
        <v>46</v>
      </c>
      <c r="E123" t="s">
        <v>169</v>
      </c>
      <c r="G123" t="s">
        <v>255</v>
      </c>
      <c r="H123" t="s">
        <v>256</v>
      </c>
      <c r="I123" s="1">
        <v>2500000</v>
      </c>
      <c r="J123" s="1">
        <v>0</v>
      </c>
      <c r="K123" s="1">
        <v>200000</v>
      </c>
      <c r="L123" s="1">
        <v>2700000</v>
      </c>
      <c r="M123" s="3">
        <f t="shared" si="4"/>
        <v>0.08</v>
      </c>
      <c r="P123" s="2"/>
      <c r="Q123" s="1"/>
      <c r="R123" s="1"/>
    </row>
    <row r="124" spans="1:18" hidden="1" x14ac:dyDescent="0.25">
      <c r="A124">
        <v>122</v>
      </c>
      <c r="B124" t="s">
        <v>167</v>
      </c>
      <c r="C124" t="s">
        <v>61</v>
      </c>
      <c r="D124">
        <v>45</v>
      </c>
      <c r="E124" t="s">
        <v>169</v>
      </c>
      <c r="G124" t="s">
        <v>170</v>
      </c>
      <c r="H124" t="s">
        <v>257</v>
      </c>
      <c r="I124" s="1">
        <v>5648148</v>
      </c>
      <c r="J124" s="1">
        <v>0</v>
      </c>
      <c r="K124" s="1">
        <v>451852</v>
      </c>
      <c r="L124" s="1">
        <v>6100000</v>
      </c>
      <c r="M124" s="3">
        <f t="shared" si="4"/>
        <v>8.0000028327869593E-2</v>
      </c>
      <c r="P124" s="2"/>
      <c r="Q124" s="1"/>
      <c r="R124" s="1"/>
    </row>
    <row r="125" spans="1:18" hidden="1" x14ac:dyDescent="0.25">
      <c r="A125">
        <v>123</v>
      </c>
      <c r="B125" t="s">
        <v>167</v>
      </c>
      <c r="C125" t="s">
        <v>61</v>
      </c>
      <c r="D125">
        <v>44</v>
      </c>
      <c r="E125" t="s">
        <v>169</v>
      </c>
      <c r="G125" t="s">
        <v>258</v>
      </c>
      <c r="H125" t="s">
        <v>259</v>
      </c>
      <c r="I125" s="1">
        <v>7500000</v>
      </c>
      <c r="J125" s="1">
        <v>0</v>
      </c>
      <c r="K125" s="1">
        <v>600000</v>
      </c>
      <c r="L125" s="1">
        <v>8100000</v>
      </c>
      <c r="M125" s="3">
        <f t="shared" si="4"/>
        <v>0.08</v>
      </c>
      <c r="P125" s="2"/>
      <c r="Q125" s="1"/>
      <c r="R125" s="1"/>
    </row>
    <row r="126" spans="1:18" hidden="1" x14ac:dyDescent="0.25">
      <c r="A126">
        <v>124</v>
      </c>
      <c r="B126" t="s">
        <v>167</v>
      </c>
      <c r="C126" t="s">
        <v>61</v>
      </c>
      <c r="D126">
        <v>43</v>
      </c>
      <c r="E126" t="s">
        <v>169</v>
      </c>
      <c r="G126" t="s">
        <v>260</v>
      </c>
      <c r="H126" t="s">
        <v>261</v>
      </c>
      <c r="I126" s="1">
        <v>8981481</v>
      </c>
      <c r="J126" s="1">
        <v>0</v>
      </c>
      <c r="K126" s="1">
        <v>718519</v>
      </c>
      <c r="L126" s="1">
        <v>9700000</v>
      </c>
      <c r="M126" s="3">
        <f t="shared" si="4"/>
        <v>8.0000057896910323E-2</v>
      </c>
      <c r="P126" s="2"/>
      <c r="Q126" s="1"/>
      <c r="R126" s="1"/>
    </row>
    <row r="127" spans="1:18" hidden="1" x14ac:dyDescent="0.25">
      <c r="A127">
        <v>125</v>
      </c>
      <c r="B127" t="s">
        <v>167</v>
      </c>
      <c r="C127" t="s">
        <v>68</v>
      </c>
      <c r="D127">
        <v>55</v>
      </c>
      <c r="E127" t="s">
        <v>169</v>
      </c>
      <c r="G127" t="s">
        <v>247</v>
      </c>
      <c r="H127" t="s">
        <v>262</v>
      </c>
      <c r="I127" s="1">
        <v>3148148</v>
      </c>
      <c r="J127" s="1">
        <v>0</v>
      </c>
      <c r="K127" s="1">
        <v>251852</v>
      </c>
      <c r="L127" s="1">
        <v>3400000</v>
      </c>
      <c r="M127" s="3">
        <f t="shared" si="4"/>
        <v>8.0000050823531801E-2</v>
      </c>
      <c r="P127" s="2"/>
      <c r="Q127" s="1"/>
      <c r="R127" s="1"/>
    </row>
    <row r="128" spans="1:18" hidden="1" x14ac:dyDescent="0.25">
      <c r="A128">
        <v>126</v>
      </c>
      <c r="B128" t="s">
        <v>167</v>
      </c>
      <c r="C128" t="s">
        <v>68</v>
      </c>
      <c r="D128">
        <v>54</v>
      </c>
      <c r="E128" t="s">
        <v>169</v>
      </c>
      <c r="G128" t="s">
        <v>263</v>
      </c>
      <c r="H128" t="s">
        <v>264</v>
      </c>
      <c r="I128" s="1">
        <v>5648148</v>
      </c>
      <c r="J128" s="1">
        <v>0</v>
      </c>
      <c r="K128" s="1">
        <v>451852</v>
      </c>
      <c r="L128" s="1">
        <v>6100000</v>
      </c>
      <c r="M128" s="3">
        <f t="shared" si="4"/>
        <v>8.0000028327869593E-2</v>
      </c>
      <c r="P128" s="2"/>
      <c r="Q128" s="1"/>
      <c r="R128" s="1"/>
    </row>
    <row r="129" spans="1:18" hidden="1" x14ac:dyDescent="0.25">
      <c r="A129">
        <v>127</v>
      </c>
      <c r="B129" t="s">
        <v>167</v>
      </c>
      <c r="C129" t="s">
        <v>68</v>
      </c>
      <c r="D129">
        <v>53</v>
      </c>
      <c r="E129" t="s">
        <v>169</v>
      </c>
      <c r="G129" t="s">
        <v>265</v>
      </c>
      <c r="H129" t="s">
        <v>266</v>
      </c>
      <c r="I129" s="1">
        <v>2500000</v>
      </c>
      <c r="J129" s="1">
        <v>0</v>
      </c>
      <c r="K129" s="1">
        <v>200000</v>
      </c>
      <c r="L129" s="1">
        <v>2700000</v>
      </c>
      <c r="M129" s="3">
        <f t="shared" si="4"/>
        <v>0.08</v>
      </c>
      <c r="P129" s="2"/>
      <c r="Q129" s="1"/>
      <c r="R129" s="1"/>
    </row>
    <row r="130" spans="1:18" hidden="1" x14ac:dyDescent="0.25">
      <c r="A130">
        <v>128</v>
      </c>
      <c r="B130" t="s">
        <v>167</v>
      </c>
      <c r="C130" t="s">
        <v>68</v>
      </c>
      <c r="D130">
        <v>52</v>
      </c>
      <c r="E130" t="s">
        <v>169</v>
      </c>
      <c r="G130" t="s">
        <v>267</v>
      </c>
      <c r="H130" t="s">
        <v>268</v>
      </c>
      <c r="I130" s="1">
        <v>2500000</v>
      </c>
      <c r="J130" s="1">
        <v>0</v>
      </c>
      <c r="K130" s="1">
        <v>200000</v>
      </c>
      <c r="L130" s="1">
        <v>2700000</v>
      </c>
      <c r="M130" s="3">
        <f t="shared" si="4"/>
        <v>0.08</v>
      </c>
      <c r="P130" s="2"/>
      <c r="Q130" s="1"/>
      <c r="R130" s="1"/>
    </row>
    <row r="131" spans="1:18" hidden="1" x14ac:dyDescent="0.25">
      <c r="A131">
        <v>129</v>
      </c>
      <c r="B131" t="s">
        <v>167</v>
      </c>
      <c r="C131" t="s">
        <v>68</v>
      </c>
      <c r="D131">
        <v>51</v>
      </c>
      <c r="E131" t="s">
        <v>169</v>
      </c>
      <c r="G131" t="s">
        <v>269</v>
      </c>
      <c r="H131" t="s">
        <v>270</v>
      </c>
      <c r="I131" s="1">
        <v>4537037</v>
      </c>
      <c r="J131" s="1">
        <v>0</v>
      </c>
      <c r="K131" s="1">
        <v>362963</v>
      </c>
      <c r="L131" s="1">
        <v>4900000</v>
      </c>
      <c r="M131" s="3">
        <f t="shared" si="4"/>
        <v>8.0000008816326601E-2</v>
      </c>
      <c r="P131" s="2"/>
      <c r="Q131" s="1"/>
      <c r="R131" s="1"/>
    </row>
    <row r="132" spans="1:18" hidden="1" x14ac:dyDescent="0.25">
      <c r="A132">
        <v>130</v>
      </c>
      <c r="B132" t="s">
        <v>167</v>
      </c>
      <c r="C132" t="s">
        <v>68</v>
      </c>
      <c r="D132">
        <v>50</v>
      </c>
      <c r="E132" t="s">
        <v>169</v>
      </c>
      <c r="G132" t="s">
        <v>271</v>
      </c>
      <c r="H132" t="s">
        <v>272</v>
      </c>
      <c r="I132" s="1">
        <v>4537037</v>
      </c>
      <c r="J132" s="1">
        <v>0</v>
      </c>
      <c r="K132" s="1">
        <v>362963</v>
      </c>
      <c r="L132" s="1">
        <v>4900000</v>
      </c>
      <c r="M132" s="3">
        <f t="shared" ref="M132:M158" si="5">K132/(L132-K132)</f>
        <v>8.0000008816326601E-2</v>
      </c>
      <c r="P132" s="2"/>
      <c r="Q132" s="1"/>
      <c r="R132" s="1"/>
    </row>
    <row r="133" spans="1:18" hidden="1" x14ac:dyDescent="0.25">
      <c r="A133">
        <v>131</v>
      </c>
      <c r="B133" t="s">
        <v>167</v>
      </c>
      <c r="C133" t="s">
        <v>68</v>
      </c>
      <c r="D133">
        <v>49</v>
      </c>
      <c r="E133" t="s">
        <v>169</v>
      </c>
      <c r="G133" t="s">
        <v>242</v>
      </c>
      <c r="H133" t="s">
        <v>273</v>
      </c>
      <c r="I133" s="1">
        <v>5000000</v>
      </c>
      <c r="J133" s="1">
        <v>0</v>
      </c>
      <c r="K133" s="1">
        <v>400000</v>
      </c>
      <c r="L133" s="1">
        <v>5400000</v>
      </c>
      <c r="M133" s="3">
        <f t="shared" si="5"/>
        <v>0.08</v>
      </c>
      <c r="P133" s="2"/>
      <c r="Q133" s="1"/>
      <c r="R133" s="1"/>
    </row>
    <row r="134" spans="1:18" hidden="1" x14ac:dyDescent="0.25">
      <c r="A134">
        <v>132</v>
      </c>
      <c r="B134" t="s">
        <v>167</v>
      </c>
      <c r="C134" t="s">
        <v>68</v>
      </c>
      <c r="D134">
        <v>48</v>
      </c>
      <c r="E134" t="s">
        <v>169</v>
      </c>
      <c r="G134" t="s">
        <v>274</v>
      </c>
      <c r="H134" t="s">
        <v>275</v>
      </c>
      <c r="I134" s="1">
        <v>2500000</v>
      </c>
      <c r="J134" s="1">
        <v>0</v>
      </c>
      <c r="K134" s="1">
        <v>200000</v>
      </c>
      <c r="L134" s="1">
        <v>2700000</v>
      </c>
      <c r="M134" s="3">
        <f t="shared" si="5"/>
        <v>0.08</v>
      </c>
      <c r="P134" s="2"/>
      <c r="Q134" s="1"/>
      <c r="R134" s="1"/>
    </row>
    <row r="135" spans="1:18" hidden="1" x14ac:dyDescent="0.25">
      <c r="A135">
        <v>133</v>
      </c>
      <c r="B135" t="s">
        <v>167</v>
      </c>
      <c r="C135" t="s">
        <v>68</v>
      </c>
      <c r="D135">
        <v>47</v>
      </c>
      <c r="E135" t="s">
        <v>169</v>
      </c>
      <c r="G135" t="s">
        <v>276</v>
      </c>
      <c r="H135" t="s">
        <v>277</v>
      </c>
      <c r="I135" s="1">
        <v>7500000</v>
      </c>
      <c r="J135" s="1">
        <v>0</v>
      </c>
      <c r="K135" s="1">
        <v>600000</v>
      </c>
      <c r="L135" s="1">
        <v>8100000</v>
      </c>
      <c r="M135" s="3">
        <f t="shared" si="5"/>
        <v>0.08</v>
      </c>
      <c r="P135" s="2"/>
      <c r="Q135" s="1"/>
      <c r="R135" s="1"/>
    </row>
    <row r="136" spans="1:18" hidden="1" x14ac:dyDescent="0.25">
      <c r="A136">
        <v>134</v>
      </c>
      <c r="B136" t="s">
        <v>167</v>
      </c>
      <c r="C136" t="s">
        <v>86</v>
      </c>
      <c r="D136">
        <v>61</v>
      </c>
      <c r="E136" t="s">
        <v>169</v>
      </c>
      <c r="G136" t="s">
        <v>278</v>
      </c>
      <c r="H136" t="s">
        <v>279</v>
      </c>
      <c r="I136" s="1">
        <v>2500000</v>
      </c>
      <c r="J136" s="1">
        <v>0</v>
      </c>
      <c r="K136" s="1">
        <v>200000</v>
      </c>
      <c r="L136" s="1">
        <v>2700000</v>
      </c>
      <c r="M136" s="3">
        <f t="shared" si="5"/>
        <v>0.08</v>
      </c>
      <c r="P136" s="2"/>
      <c r="Q136" s="1"/>
      <c r="R136" s="1"/>
    </row>
    <row r="137" spans="1:18" hidden="1" x14ac:dyDescent="0.25">
      <c r="A137">
        <v>135</v>
      </c>
      <c r="B137" t="s">
        <v>167</v>
      </c>
      <c r="C137" t="s">
        <v>86</v>
      </c>
      <c r="D137">
        <v>60</v>
      </c>
      <c r="E137" t="s">
        <v>169</v>
      </c>
      <c r="G137" t="s">
        <v>280</v>
      </c>
      <c r="H137" t="s">
        <v>281</v>
      </c>
      <c r="I137" s="1">
        <v>2500000</v>
      </c>
      <c r="J137" s="1">
        <v>0</v>
      </c>
      <c r="K137" s="1">
        <v>200000</v>
      </c>
      <c r="L137" s="1">
        <v>2700000</v>
      </c>
      <c r="M137" s="3">
        <f t="shared" si="5"/>
        <v>0.08</v>
      </c>
      <c r="P137" s="2"/>
      <c r="Q137" s="1"/>
      <c r="R137" s="1"/>
    </row>
    <row r="138" spans="1:18" hidden="1" x14ac:dyDescent="0.25">
      <c r="A138">
        <v>136</v>
      </c>
      <c r="B138" t="s">
        <v>167</v>
      </c>
      <c r="C138" t="s">
        <v>86</v>
      </c>
      <c r="D138">
        <v>59</v>
      </c>
      <c r="E138" t="s">
        <v>169</v>
      </c>
      <c r="G138" t="s">
        <v>282</v>
      </c>
      <c r="H138" t="s">
        <v>283</v>
      </c>
      <c r="I138" s="1">
        <v>2500000</v>
      </c>
      <c r="J138" s="1">
        <v>0</v>
      </c>
      <c r="K138" s="1">
        <v>200000</v>
      </c>
      <c r="L138" s="1">
        <v>2700000</v>
      </c>
      <c r="M138" s="3">
        <f t="shared" si="5"/>
        <v>0.08</v>
      </c>
      <c r="P138" s="2"/>
      <c r="Q138" s="1"/>
      <c r="R138" s="1"/>
    </row>
    <row r="139" spans="1:18" hidden="1" x14ac:dyDescent="0.25">
      <c r="A139">
        <v>137</v>
      </c>
      <c r="B139" t="s">
        <v>167</v>
      </c>
      <c r="C139" t="s">
        <v>86</v>
      </c>
      <c r="D139">
        <v>58</v>
      </c>
      <c r="E139" t="s">
        <v>169</v>
      </c>
      <c r="G139" t="s">
        <v>284</v>
      </c>
      <c r="H139" t="s">
        <v>285</v>
      </c>
      <c r="I139" s="1">
        <v>7500000</v>
      </c>
      <c r="J139" s="1">
        <v>0</v>
      </c>
      <c r="K139" s="1">
        <v>600000</v>
      </c>
      <c r="L139" s="1">
        <v>8100000</v>
      </c>
      <c r="M139" s="3">
        <f t="shared" si="5"/>
        <v>0.08</v>
      </c>
      <c r="P139" s="2"/>
      <c r="Q139" s="1"/>
      <c r="R139" s="1"/>
    </row>
    <row r="140" spans="1:18" hidden="1" x14ac:dyDescent="0.25">
      <c r="A140">
        <v>138</v>
      </c>
      <c r="B140" t="s">
        <v>167</v>
      </c>
      <c r="C140" t="s">
        <v>86</v>
      </c>
      <c r="D140">
        <v>57</v>
      </c>
      <c r="E140" t="s">
        <v>169</v>
      </c>
      <c r="G140" t="s">
        <v>265</v>
      </c>
      <c r="H140" t="s">
        <v>286</v>
      </c>
      <c r="I140" s="1">
        <v>2500000</v>
      </c>
      <c r="J140" s="1">
        <v>0</v>
      </c>
      <c r="K140" s="1">
        <v>200000</v>
      </c>
      <c r="L140" s="1">
        <v>2700000</v>
      </c>
      <c r="M140" s="3">
        <f t="shared" si="5"/>
        <v>0.08</v>
      </c>
      <c r="P140" s="2"/>
      <c r="Q140" s="1"/>
      <c r="R140" s="1"/>
    </row>
    <row r="141" spans="1:18" hidden="1" x14ac:dyDescent="0.25">
      <c r="A141">
        <v>139</v>
      </c>
      <c r="B141" t="s">
        <v>167</v>
      </c>
      <c r="C141" t="s">
        <v>86</v>
      </c>
      <c r="D141">
        <v>56</v>
      </c>
      <c r="E141" t="s">
        <v>169</v>
      </c>
      <c r="G141" t="s">
        <v>287</v>
      </c>
      <c r="H141" t="s">
        <v>288</v>
      </c>
      <c r="I141" s="1">
        <v>7500000</v>
      </c>
      <c r="J141" s="1">
        <v>0</v>
      </c>
      <c r="K141" s="1">
        <v>600000</v>
      </c>
      <c r="L141" s="1">
        <v>8100000</v>
      </c>
      <c r="M141" s="3">
        <f t="shared" si="5"/>
        <v>0.08</v>
      </c>
      <c r="P141" s="2"/>
      <c r="Q141" s="1"/>
      <c r="R141" s="1"/>
    </row>
    <row r="142" spans="1:18" hidden="1" x14ac:dyDescent="0.25">
      <c r="A142">
        <v>140</v>
      </c>
      <c r="B142" t="s">
        <v>167</v>
      </c>
      <c r="C142" t="s">
        <v>95</v>
      </c>
      <c r="D142">
        <v>67</v>
      </c>
      <c r="E142" t="s">
        <v>169</v>
      </c>
      <c r="G142" t="s">
        <v>289</v>
      </c>
      <c r="H142" t="s">
        <v>290</v>
      </c>
      <c r="I142" s="1">
        <v>2500000</v>
      </c>
      <c r="J142" s="1">
        <v>0</v>
      </c>
      <c r="K142" s="1">
        <v>200000</v>
      </c>
      <c r="L142" s="1">
        <v>2700000</v>
      </c>
      <c r="M142" s="3">
        <f t="shared" si="5"/>
        <v>0.08</v>
      </c>
      <c r="P142" s="2"/>
      <c r="Q142" s="1"/>
      <c r="R142" s="1"/>
    </row>
    <row r="143" spans="1:18" hidden="1" x14ac:dyDescent="0.25">
      <c r="A143">
        <v>141</v>
      </c>
      <c r="B143" t="s">
        <v>167</v>
      </c>
      <c r="C143" t="s">
        <v>95</v>
      </c>
      <c r="D143">
        <v>66</v>
      </c>
      <c r="E143" t="s">
        <v>169</v>
      </c>
      <c r="G143" t="s">
        <v>291</v>
      </c>
      <c r="H143" t="s">
        <v>292</v>
      </c>
      <c r="I143" s="1">
        <v>2500000</v>
      </c>
      <c r="J143" s="1">
        <v>0</v>
      </c>
      <c r="K143" s="1">
        <v>200000</v>
      </c>
      <c r="L143" s="1">
        <v>2700000</v>
      </c>
      <c r="M143" s="3">
        <f t="shared" si="5"/>
        <v>0.08</v>
      </c>
      <c r="P143" s="2"/>
      <c r="Q143" s="1"/>
      <c r="R143" s="1"/>
    </row>
    <row r="144" spans="1:18" hidden="1" x14ac:dyDescent="0.25">
      <c r="A144">
        <v>142</v>
      </c>
      <c r="B144" t="s">
        <v>167</v>
      </c>
      <c r="C144" t="s">
        <v>95</v>
      </c>
      <c r="D144">
        <v>65</v>
      </c>
      <c r="E144" t="s">
        <v>169</v>
      </c>
      <c r="G144" t="s">
        <v>222</v>
      </c>
      <c r="H144" t="s">
        <v>293</v>
      </c>
      <c r="I144" s="1">
        <v>5000000</v>
      </c>
      <c r="J144" s="1">
        <v>0</v>
      </c>
      <c r="K144" s="1">
        <v>400000</v>
      </c>
      <c r="L144" s="1">
        <v>5400000</v>
      </c>
      <c r="M144" s="3">
        <f t="shared" si="5"/>
        <v>0.08</v>
      </c>
      <c r="P144" s="2"/>
      <c r="Q144" s="1"/>
      <c r="R144" s="1"/>
    </row>
    <row r="145" spans="1:18" hidden="1" x14ac:dyDescent="0.25">
      <c r="A145">
        <v>143</v>
      </c>
      <c r="B145" t="s">
        <v>167</v>
      </c>
      <c r="C145" t="s">
        <v>95</v>
      </c>
      <c r="D145">
        <v>64</v>
      </c>
      <c r="E145" t="s">
        <v>169</v>
      </c>
      <c r="G145" t="s">
        <v>280</v>
      </c>
      <c r="H145" t="s">
        <v>294</v>
      </c>
      <c r="I145" s="1">
        <v>5000000</v>
      </c>
      <c r="J145" s="1">
        <v>0</v>
      </c>
      <c r="K145" s="1">
        <v>400000</v>
      </c>
      <c r="L145" s="1">
        <v>5400000</v>
      </c>
      <c r="M145" s="3">
        <f t="shared" si="5"/>
        <v>0.08</v>
      </c>
      <c r="P145" s="2"/>
      <c r="Q145" s="1"/>
      <c r="R145" s="1"/>
    </row>
    <row r="146" spans="1:18" hidden="1" x14ac:dyDescent="0.25">
      <c r="A146">
        <v>144</v>
      </c>
      <c r="B146" t="s">
        <v>167</v>
      </c>
      <c r="C146" t="s">
        <v>95</v>
      </c>
      <c r="D146">
        <v>63</v>
      </c>
      <c r="E146" t="s">
        <v>169</v>
      </c>
      <c r="G146" t="s">
        <v>282</v>
      </c>
      <c r="H146" t="s">
        <v>295</v>
      </c>
      <c r="I146" s="1">
        <v>5000000</v>
      </c>
      <c r="J146" s="1">
        <v>0</v>
      </c>
      <c r="K146" s="1">
        <v>400000</v>
      </c>
      <c r="L146" s="1">
        <v>5400000</v>
      </c>
      <c r="M146" s="3">
        <f t="shared" si="5"/>
        <v>0.08</v>
      </c>
      <c r="P146" s="2"/>
      <c r="Q146" s="1"/>
      <c r="R146" s="1"/>
    </row>
    <row r="147" spans="1:18" hidden="1" x14ac:dyDescent="0.25">
      <c r="A147">
        <v>145</v>
      </c>
      <c r="B147" t="s">
        <v>167</v>
      </c>
      <c r="C147" t="s">
        <v>95</v>
      </c>
      <c r="D147">
        <v>62</v>
      </c>
      <c r="E147" t="s">
        <v>169</v>
      </c>
      <c r="G147" t="s">
        <v>296</v>
      </c>
      <c r="H147" t="s">
        <v>297</v>
      </c>
      <c r="I147" s="1">
        <v>7500000</v>
      </c>
      <c r="J147" s="1">
        <v>0</v>
      </c>
      <c r="K147" s="1">
        <v>600000</v>
      </c>
      <c r="L147" s="1">
        <v>8100000</v>
      </c>
      <c r="M147" s="3">
        <f t="shared" si="5"/>
        <v>0.08</v>
      </c>
      <c r="P147" s="2"/>
      <c r="Q147" s="1"/>
      <c r="R147" s="1"/>
    </row>
    <row r="148" spans="1:18" hidden="1" x14ac:dyDescent="0.25">
      <c r="A148">
        <v>146</v>
      </c>
      <c r="B148" t="s">
        <v>167</v>
      </c>
      <c r="C148" t="s">
        <v>100</v>
      </c>
      <c r="D148">
        <v>69</v>
      </c>
      <c r="E148" t="s">
        <v>169</v>
      </c>
      <c r="G148" t="s">
        <v>298</v>
      </c>
      <c r="H148" t="s">
        <v>299</v>
      </c>
      <c r="I148" s="1">
        <v>5648148</v>
      </c>
      <c r="J148" s="1">
        <v>0</v>
      </c>
      <c r="K148" s="1">
        <v>451852</v>
      </c>
      <c r="L148" s="1">
        <v>6100000</v>
      </c>
      <c r="M148" s="3">
        <f t="shared" si="5"/>
        <v>8.0000028327869593E-2</v>
      </c>
      <c r="P148" s="2"/>
      <c r="Q148" s="1"/>
      <c r="R148" s="1"/>
    </row>
    <row r="149" spans="1:18" hidden="1" x14ac:dyDescent="0.25">
      <c r="A149">
        <v>147</v>
      </c>
      <c r="B149" t="s">
        <v>167</v>
      </c>
      <c r="C149" t="s">
        <v>100</v>
      </c>
      <c r="D149">
        <v>68</v>
      </c>
      <c r="E149" t="s">
        <v>169</v>
      </c>
      <c r="G149" t="s">
        <v>267</v>
      </c>
      <c r="H149" t="s">
        <v>300</v>
      </c>
      <c r="I149" s="1">
        <v>6481482</v>
      </c>
      <c r="J149" s="1">
        <v>0</v>
      </c>
      <c r="K149" s="1">
        <v>518518</v>
      </c>
      <c r="L149" s="1">
        <v>7000000</v>
      </c>
      <c r="M149" s="3">
        <f t="shared" si="5"/>
        <v>7.9999913600006911E-2</v>
      </c>
      <c r="P149" s="2"/>
      <c r="Q149" s="1"/>
      <c r="R149" s="1"/>
    </row>
    <row r="150" spans="1:18" hidden="1" x14ac:dyDescent="0.25">
      <c r="A150">
        <v>148</v>
      </c>
      <c r="B150" t="s">
        <v>167</v>
      </c>
      <c r="C150" t="s">
        <v>112</v>
      </c>
      <c r="D150">
        <v>71</v>
      </c>
      <c r="E150" t="s">
        <v>169</v>
      </c>
      <c r="G150" t="s">
        <v>301</v>
      </c>
      <c r="H150" t="s">
        <v>302</v>
      </c>
      <c r="I150" s="1">
        <v>2500000</v>
      </c>
      <c r="J150" s="1">
        <v>0</v>
      </c>
      <c r="K150" s="1">
        <v>200000</v>
      </c>
      <c r="L150" s="1">
        <v>2700000</v>
      </c>
      <c r="M150" s="3">
        <f t="shared" si="5"/>
        <v>0.08</v>
      </c>
      <c r="P150" s="2"/>
      <c r="Q150" s="1"/>
      <c r="R150" s="1"/>
    </row>
    <row r="151" spans="1:18" hidden="1" x14ac:dyDescent="0.25">
      <c r="A151">
        <v>149</v>
      </c>
      <c r="B151" t="s">
        <v>167</v>
      </c>
      <c r="C151" t="s">
        <v>112</v>
      </c>
      <c r="D151">
        <v>70</v>
      </c>
      <c r="E151" t="s">
        <v>169</v>
      </c>
      <c r="G151" t="s">
        <v>291</v>
      </c>
      <c r="H151" t="s">
        <v>303</v>
      </c>
      <c r="I151" s="1">
        <v>2037037</v>
      </c>
      <c r="J151" s="1">
        <v>0</v>
      </c>
      <c r="K151" s="1">
        <v>162963</v>
      </c>
      <c r="L151" s="1">
        <v>2200000</v>
      </c>
      <c r="M151" s="3">
        <f t="shared" si="5"/>
        <v>8.0000019636363995E-2</v>
      </c>
      <c r="P151" s="2"/>
      <c r="Q151" s="1"/>
      <c r="R151" s="1"/>
    </row>
    <row r="152" spans="1:18" hidden="1" x14ac:dyDescent="0.25">
      <c r="A152">
        <v>150</v>
      </c>
      <c r="B152" t="s">
        <v>167</v>
      </c>
      <c r="C152" t="s">
        <v>304</v>
      </c>
      <c r="D152">
        <v>72</v>
      </c>
      <c r="E152" t="s">
        <v>169</v>
      </c>
      <c r="G152" t="s">
        <v>305</v>
      </c>
      <c r="H152" t="s">
        <v>306</v>
      </c>
      <c r="I152" s="1">
        <v>2500000</v>
      </c>
      <c r="J152" s="1">
        <v>0</v>
      </c>
      <c r="K152" s="1">
        <v>200000</v>
      </c>
      <c r="L152" s="1">
        <v>2700000</v>
      </c>
      <c r="M152" s="3">
        <f t="shared" si="5"/>
        <v>0.08</v>
      </c>
      <c r="P152" s="2"/>
      <c r="Q152" s="1"/>
      <c r="R152" s="1"/>
    </row>
    <row r="153" spans="1:18" hidden="1" x14ac:dyDescent="0.25">
      <c r="A153">
        <v>151</v>
      </c>
      <c r="B153" t="s">
        <v>167</v>
      </c>
      <c r="C153" t="s">
        <v>128</v>
      </c>
      <c r="D153">
        <v>74</v>
      </c>
      <c r="E153" t="s">
        <v>169</v>
      </c>
      <c r="G153" t="s">
        <v>307</v>
      </c>
      <c r="H153" t="s">
        <v>308</v>
      </c>
      <c r="I153" s="1">
        <v>2500000</v>
      </c>
      <c r="J153" s="1">
        <v>0</v>
      </c>
      <c r="K153" s="1">
        <v>200000</v>
      </c>
      <c r="L153" s="1">
        <v>2700000</v>
      </c>
      <c r="M153" s="3">
        <f t="shared" si="5"/>
        <v>0.08</v>
      </c>
      <c r="P153" s="2"/>
      <c r="Q153" s="1"/>
      <c r="R153" s="1"/>
    </row>
    <row r="154" spans="1:18" hidden="1" x14ac:dyDescent="0.25">
      <c r="A154">
        <v>152</v>
      </c>
      <c r="B154" t="s">
        <v>167</v>
      </c>
      <c r="C154" t="s">
        <v>128</v>
      </c>
      <c r="D154">
        <v>73</v>
      </c>
      <c r="E154" t="s">
        <v>169</v>
      </c>
      <c r="G154" t="s">
        <v>309</v>
      </c>
      <c r="H154" t="s">
        <v>310</v>
      </c>
      <c r="I154" s="1">
        <v>2500000</v>
      </c>
      <c r="J154" s="1">
        <v>0</v>
      </c>
      <c r="K154" s="1">
        <v>200000</v>
      </c>
      <c r="L154" s="1">
        <v>2700000</v>
      </c>
      <c r="M154" s="3">
        <f t="shared" si="5"/>
        <v>0.08</v>
      </c>
      <c r="P154" s="2"/>
      <c r="Q154" s="1"/>
      <c r="R154" s="1"/>
    </row>
    <row r="155" spans="1:18" hidden="1" x14ac:dyDescent="0.25">
      <c r="A155">
        <v>153</v>
      </c>
      <c r="B155" t="s">
        <v>167</v>
      </c>
      <c r="C155" t="s">
        <v>131</v>
      </c>
      <c r="D155">
        <v>75</v>
      </c>
      <c r="E155" t="s">
        <v>169</v>
      </c>
      <c r="G155" t="s">
        <v>278</v>
      </c>
      <c r="H155" t="s">
        <v>311</v>
      </c>
      <c r="I155" s="1">
        <v>5462963</v>
      </c>
      <c r="J155" s="1">
        <v>0</v>
      </c>
      <c r="K155" s="1">
        <v>437037</v>
      </c>
      <c r="L155" s="1">
        <v>5900000</v>
      </c>
      <c r="M155" s="3">
        <f t="shared" si="5"/>
        <v>7.9999992677966147E-2</v>
      </c>
      <c r="P155" s="2"/>
      <c r="Q155" s="1"/>
      <c r="R155" s="1"/>
    </row>
    <row r="156" spans="1:18" hidden="1" x14ac:dyDescent="0.25">
      <c r="A156">
        <v>154</v>
      </c>
      <c r="B156" t="s">
        <v>167</v>
      </c>
      <c r="C156" t="s">
        <v>153</v>
      </c>
      <c r="D156">
        <v>76</v>
      </c>
      <c r="E156" t="s">
        <v>169</v>
      </c>
      <c r="G156" t="s">
        <v>296</v>
      </c>
      <c r="H156" t="s">
        <v>312</v>
      </c>
      <c r="I156" s="1">
        <v>6944445</v>
      </c>
      <c r="J156" s="1">
        <v>0</v>
      </c>
      <c r="K156" s="1">
        <v>555555</v>
      </c>
      <c r="L156" s="1">
        <v>7500000</v>
      </c>
      <c r="M156" s="3">
        <f t="shared" si="5"/>
        <v>7.9999913600006911E-2</v>
      </c>
      <c r="P156" s="2"/>
      <c r="Q156" s="1"/>
      <c r="R156" s="1"/>
    </row>
    <row r="157" spans="1:18" hidden="1" x14ac:dyDescent="0.25">
      <c r="A157">
        <v>155</v>
      </c>
      <c r="B157" t="s">
        <v>167</v>
      </c>
      <c r="C157" t="s">
        <v>165</v>
      </c>
      <c r="D157">
        <v>77</v>
      </c>
      <c r="E157" t="s">
        <v>169</v>
      </c>
      <c r="G157" t="s">
        <v>313</v>
      </c>
      <c r="H157" t="s">
        <v>314</v>
      </c>
      <c r="I157" s="1">
        <v>2500000</v>
      </c>
      <c r="J157" s="1">
        <v>0</v>
      </c>
      <c r="K157" s="1">
        <v>200000</v>
      </c>
      <c r="L157" s="1">
        <v>2700000</v>
      </c>
      <c r="M157" s="3">
        <f t="shared" si="5"/>
        <v>0.08</v>
      </c>
      <c r="P157" s="2"/>
      <c r="Q157" s="1"/>
      <c r="R157" s="1"/>
    </row>
    <row r="158" spans="1:18" hidden="1" x14ac:dyDescent="0.25">
      <c r="A158">
        <v>156</v>
      </c>
      <c r="B158" t="s">
        <v>167</v>
      </c>
      <c r="C158" t="s">
        <v>315</v>
      </c>
      <c r="D158">
        <v>78</v>
      </c>
      <c r="E158" t="s">
        <v>169</v>
      </c>
      <c r="G158" t="s">
        <v>186</v>
      </c>
      <c r="H158" t="s">
        <v>316</v>
      </c>
      <c r="I158" s="1">
        <v>5462963</v>
      </c>
      <c r="J158" s="1">
        <v>0</v>
      </c>
      <c r="K158" s="1">
        <v>437037</v>
      </c>
      <c r="L158" s="1">
        <v>5900000</v>
      </c>
      <c r="M158" s="3">
        <f t="shared" si="5"/>
        <v>7.9999992677966147E-2</v>
      </c>
      <c r="P158" s="2"/>
      <c r="Q158" s="1"/>
    </row>
  </sheetData>
  <autoFilter ref="A2:Q158" xr:uid="{00000000-0001-0000-0000-000000000000}">
    <filterColumn colId="1">
      <filters>
        <filter val="Mua vào"/>
      </filters>
    </filterColumn>
    <filterColumn colId="12">
      <filters>
        <filter val="7.29%"/>
        <filter val="7.36%"/>
        <filter val="7.39%"/>
        <filter val="7.40%"/>
        <filter val="7.41%"/>
        <filter val="7.42%"/>
        <filter val="7.43%"/>
        <filter val="7.44%"/>
        <filter val="7.45%"/>
        <filter val="7.46%"/>
        <filter val="7.47%"/>
        <filter val="7.48%"/>
        <filter val="7.68%"/>
        <filter val="7.70%"/>
        <filter val="8.00%"/>
      </filters>
    </filterColumn>
  </autoFilter>
  <pageMargins left="0.7" right="0.7" top="0.75" bottom="0.75" header="0.3" footer="0.3"/>
  <ignoredErrors>
    <ignoredError sqref="A2:L15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JOKER SON</cp:lastModifiedBy>
  <dcterms:modified xsi:type="dcterms:W3CDTF">2026-07-23T16:49:28Z</dcterms:modified>
</cp:coreProperties>
</file>