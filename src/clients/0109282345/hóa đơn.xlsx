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ER\3.accounting_excel\src\clients\0109282345\"/>
    </mc:Choice>
  </mc:AlternateContent>
  <xr:revisionPtr revIDLastSave="0" documentId="13_ncr:1_{E344371A-D0BB-40FD-88A0-8C6F04C997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2" i="1"/>
</calcChain>
</file>

<file path=xl/sharedStrings.xml><?xml version="1.0" encoding="utf-8"?>
<sst xmlns="http://schemas.openxmlformats.org/spreadsheetml/2006/main" count="84" uniqueCount="48">
  <si>
    <t>STT</t>
  </si>
  <si>
    <t>Loại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</si>
  <si>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</si>
  <si>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</si>
  <si>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</si>
  <si>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</si>
  <si>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</si>
  <si>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</si>
  <si>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</si>
  <si>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</si>
  <si>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Thuế</t>
  </si>
  <si>
    <t>Sau thuế</t>
  </si>
  <si>
    <t>Mua vào</t>
  </si>
  <si>
    <t>01/04/2026</t>
  </si>
  <si>
    <t>K26TYY</t>
  </si>
  <si>
    <t>0301452948</t>
  </si>
  <si>
    <t>NGÂN HÀNG TMCP Á CHÂU</t>
  </si>
  <si>
    <t>PHI DICH VU NGAN HANG HĐ số 17261084</t>
  </si>
  <si>
    <t>19/04/2026</t>
  </si>
  <si>
    <t>C26MHA</t>
  </si>
  <si>
    <t>0110269067</t>
  </si>
  <si>
    <t>CÔNG TY CỔ PHẦN DI CHUYỂN XANH VÀ THÔNG MINH GSM</t>
  </si>
  <si>
    <t>Cước phí vận chuyển mã 01KPHRXDQ66TXE7HX0B72ZKERA
Chiết khấu thương mại/ giảm giá mã 01KPHRXDQ66TXE7HX0B72ZKERA
Phí nền tảng mã 01KPHRXDQ66TXE7HX0B72ZKERA HĐ số 48146839</t>
  </si>
  <si>
    <t>C26MHK</t>
  </si>
  <si>
    <t>0110269067-022</t>
  </si>
  <si>
    <t>CHI NHÁNH HẢI DƯƠNG – CÔNG TY CỔ PHẦN DI CHUYỂN XANH VÀ THÔNG MINH GSM</t>
  </si>
  <si>
    <t>Cước phí vận chuyển mã 01KPJ85PKNR9MM7BM2NS0XAGK5
Chiết khấu thương mại/ giảm giá mã 01KPJ85PKNR9MM7BM2NS0XAGK5 HĐ số 782166</t>
  </si>
  <si>
    <t>23/04/2026</t>
  </si>
  <si>
    <t>PHI DICH VU NGAN HANG HĐ số 21888688</t>
  </si>
  <si>
    <t>28/04/2026</t>
  </si>
  <si>
    <t>PHI DICH VU NGAN HANG HĐ số 22659748</t>
  </si>
  <si>
    <t>30/04/2026</t>
  </si>
  <si>
    <t>Cước phí vận chuyển mã 01KQF76TRX18JZJ9GHMWE4P6HN
Chiết khấu thương mại/ giảm giá mã 01KQF76TRX18JZJ9GHMWE4P6HN
Phí nền tảng mã 01KQF76TRX18JZJ9GHMWE4P6HN HĐ số 54183829</t>
  </si>
  <si>
    <t>0110269067-035</t>
  </si>
  <si>
    <t>CHI NHÁNH HÀ NAM – CÔNG TY CỔ PHẦN DI CHUYỂN XANH VÀ THÔNG MINH GSM</t>
  </si>
  <si>
    <t>Cước phí vận chuyển mã 01KQFE69FN1H29YH49HQ6RE0M2
Chiết khấu thương mại/ giảm giá mã 01KQFE69FN1H29YH49HQ6RE0M2 HĐ số 344196</t>
  </si>
  <si>
    <t>01/06/2026</t>
  </si>
  <si>
    <t>PHI DICH VU NGAN HANG HĐ số 29262633</t>
  </si>
  <si>
    <t>PHI DICH VU NGAN HANG HĐ số 29260567</t>
  </si>
  <si>
    <t>PHI DICH VU NGAN HANG HĐ số 29259838</t>
  </si>
  <si>
    <t>16/06/2026</t>
  </si>
  <si>
    <t>PHI DICH VU NGAN HANG HĐ số 32609113</t>
  </si>
  <si>
    <t>Bán ra</t>
  </si>
  <si>
    <t>25/05/2026</t>
  </si>
  <si>
    <t>C26TNS</t>
  </si>
  <si>
    <t>0105791158</t>
  </si>
  <si>
    <t>CÔNG TY CỔ PHẦN MEDA HÀ NỘI</t>
  </si>
  <si>
    <t>Hoàn thành 100% công việc phần điện theo  hợp đồng số : MD25-0004-S031/MEDA-NRS-BQNRS20260302 HĐ số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</si>
</sst>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K12" sqref="K2:K12"/>
    </sheetView>
  </sheetViews>
  <sheetFormatPr defaultRowHeight="12.7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ht="15.75" x14ac:dyDescent="0.25">
      <c r="A2">
        <v>1</v>
      </c>
      <c r="B2" t="s">
        <v>12</v>
      </c>
      <c r="C2" t="s">
        <v>13</v>
      </c>
      <c r="D2">
        <v>17261084</v>
      </c>
      <c r="E2" t="s">
        <v>14</v>
      </c>
      <c r="F2" t="s">
        <v>15</v>
      </c>
      <c r="G2" t="s">
        <v>16</v>
      </c>
      <c r="H2" t="s">
        <v>17</v>
      </c>
      <c r="I2">
        <v>13636</v>
      </c>
      <c r="J2">
        <v>0</v>
      </c>
      <c r="K2">
        <v>1364</v>
      </c>
      <c r="L2">
        <v>15000</v>
      </c>
      <c r="M2">
        <f>L2-K2</f>
        <v>13636</v>
      </c>
    </row>
    <row r="3" spans="1:13" ht="15.75" x14ac:dyDescent="0.25">
      <c r="A3">
        <v>2</v>
      </c>
      <c r="B3" t="s">
        <v>12</v>
      </c>
      <c r="C3" t="s">
        <v>18</v>
      </c>
      <c r="D3">
        <v>48146839</v>
      </c>
      <c r="E3" t="s">
        <v>19</v>
      </c>
      <c r="F3" t="s">
        <v>20</v>
      </c>
      <c r="G3" t="s">
        <v>21</v>
      </c>
      <c r="H3" t="s">
        <v>22</v>
      </c>
      <c r="I3">
        <v>282691</v>
      </c>
      <c r="J3">
        <v>42691</v>
      </c>
      <c r="K3">
        <v>16569</v>
      </c>
      <c r="L3">
        <v>240000</v>
      </c>
      <c r="M3">
        <f t="shared" ref="M3:M12" si="0">L3-K3</f>
        <v>223431</v>
      </c>
    </row>
    <row r="4" spans="1:13" ht="15.75" x14ac:dyDescent="0.25">
      <c r="A4">
        <v>3</v>
      </c>
      <c r="B4" t="s">
        <v>12</v>
      </c>
      <c r="C4" t="s">
        <v>18</v>
      </c>
      <c r="D4">
        <v>782166</v>
      </c>
      <c r="E4" t="s">
        <v>23</v>
      </c>
      <c r="F4" t="s">
        <v>24</v>
      </c>
      <c r="G4" t="s">
        <v>25</v>
      </c>
      <c r="H4" t="s">
        <v>26</v>
      </c>
      <c r="I4">
        <v>385185</v>
      </c>
      <c r="J4">
        <v>57185</v>
      </c>
      <c r="K4">
        <v>24297</v>
      </c>
      <c r="L4">
        <v>328000</v>
      </c>
      <c r="M4">
        <f t="shared" si="0"/>
        <v>303703</v>
      </c>
    </row>
    <row r="5" spans="1:13" ht="15.75" x14ac:dyDescent="0.25">
      <c r="A5">
        <v>4</v>
      </c>
      <c r="B5" t="s">
        <v>12</v>
      </c>
      <c r="C5" t="s">
        <v>27</v>
      </c>
      <c r="D5">
        <v>21888688</v>
      </c>
      <c r="E5" t="s">
        <v>14</v>
      </c>
      <c r="F5" t="s">
        <v>15</v>
      </c>
      <c r="G5" t="s">
        <v>16</v>
      </c>
      <c r="H5" t="s">
        <v>28</v>
      </c>
      <c r="I5">
        <v>54545</v>
      </c>
      <c r="J5">
        <v>0</v>
      </c>
      <c r="K5">
        <v>5455</v>
      </c>
      <c r="L5">
        <v>60000</v>
      </c>
      <c r="M5">
        <f t="shared" si="0"/>
        <v>54545</v>
      </c>
    </row>
    <row r="6" spans="1:13" ht="15.75" x14ac:dyDescent="0.25">
      <c r="A6">
        <v>5</v>
      </c>
      <c r="B6" t="s">
        <v>12</v>
      </c>
      <c r="C6" t="s">
        <v>29</v>
      </c>
      <c r="D6">
        <v>22659748</v>
      </c>
      <c r="E6" t="s">
        <v>14</v>
      </c>
      <c r="F6" t="s">
        <v>15</v>
      </c>
      <c r="G6" t="s">
        <v>16</v>
      </c>
      <c r="H6" t="s">
        <v>30</v>
      </c>
      <c r="I6">
        <v>40909</v>
      </c>
      <c r="J6">
        <v>0</v>
      </c>
      <c r="K6">
        <v>4091</v>
      </c>
      <c r="L6">
        <v>45000</v>
      </c>
      <c r="M6">
        <f t="shared" si="0"/>
        <v>40909</v>
      </c>
    </row>
    <row r="7" spans="1:13" ht="15.75" x14ac:dyDescent="0.25">
      <c r="A7">
        <v>6</v>
      </c>
      <c r="B7" t="s">
        <v>12</v>
      </c>
      <c r="C7" t="s">
        <v>31</v>
      </c>
      <c r="D7">
        <v>54183829</v>
      </c>
      <c r="E7" t="s">
        <v>19</v>
      </c>
      <c r="F7" t="s">
        <v>20</v>
      </c>
      <c r="G7" t="s">
        <v>21</v>
      </c>
      <c r="H7" t="s">
        <v>32</v>
      </c>
      <c r="I7">
        <v>320840</v>
      </c>
      <c r="J7">
        <v>37840</v>
      </c>
      <c r="K7">
        <v>19568</v>
      </c>
      <c r="L7">
        <v>283000</v>
      </c>
      <c r="M7">
        <f t="shared" si="0"/>
        <v>263432</v>
      </c>
    </row>
    <row r="8" spans="1:13" ht="15.75" x14ac:dyDescent="0.25">
      <c r="A8">
        <v>7</v>
      </c>
      <c r="B8" t="s">
        <v>12</v>
      </c>
      <c r="C8" t="s">
        <v>31</v>
      </c>
      <c r="D8">
        <v>344196</v>
      </c>
      <c r="E8" t="s">
        <v>19</v>
      </c>
      <c r="F8" t="s">
        <v>33</v>
      </c>
      <c r="G8" t="s">
        <v>34</v>
      </c>
      <c r="H8" t="s">
        <v>35</v>
      </c>
      <c r="I8">
        <v>324074</v>
      </c>
      <c r="J8">
        <v>36074</v>
      </c>
      <c r="K8">
        <v>21334</v>
      </c>
      <c r="L8">
        <v>288000</v>
      </c>
      <c r="M8">
        <f t="shared" si="0"/>
        <v>266666</v>
      </c>
    </row>
    <row r="9" spans="1:13" ht="15.75" x14ac:dyDescent="0.25">
      <c r="A9">
        <v>8</v>
      </c>
      <c r="B9" t="s">
        <v>12</v>
      </c>
      <c r="C9" t="s">
        <v>36</v>
      </c>
      <c r="D9">
        <v>29262633</v>
      </c>
      <c r="E9" t="s">
        <v>14</v>
      </c>
      <c r="F9" t="s">
        <v>15</v>
      </c>
      <c r="G9" t="s">
        <v>16</v>
      </c>
      <c r="H9" t="s">
        <v>37</v>
      </c>
      <c r="I9">
        <v>13636</v>
      </c>
      <c r="J9">
        <v>0</v>
      </c>
      <c r="K9">
        <v>1364</v>
      </c>
      <c r="L9">
        <v>15000</v>
      </c>
      <c r="M9">
        <f t="shared" si="0"/>
        <v>13636</v>
      </c>
    </row>
    <row r="10" spans="1:13" ht="15.75" x14ac:dyDescent="0.25">
      <c r="A10">
        <v>9</v>
      </c>
      <c r="B10" t="s">
        <v>12</v>
      </c>
      <c r="C10" t="s">
        <v>36</v>
      </c>
      <c r="D10">
        <v>29260567</v>
      </c>
      <c r="E10" t="s">
        <v>14</v>
      </c>
      <c r="F10" t="s">
        <v>15</v>
      </c>
      <c r="G10" t="s">
        <v>16</v>
      </c>
      <c r="H10" t="s">
        <v>38</v>
      </c>
      <c r="I10">
        <v>13636</v>
      </c>
      <c r="J10">
        <v>0</v>
      </c>
      <c r="K10">
        <v>1364</v>
      </c>
      <c r="L10">
        <v>15000</v>
      </c>
      <c r="M10">
        <f t="shared" si="0"/>
        <v>13636</v>
      </c>
    </row>
    <row r="11" spans="1:13" ht="15.75" x14ac:dyDescent="0.25">
      <c r="A11">
        <v>10</v>
      </c>
      <c r="B11" t="s">
        <v>12</v>
      </c>
      <c r="C11" t="s">
        <v>36</v>
      </c>
      <c r="D11">
        <v>29259838</v>
      </c>
      <c r="E11" t="s">
        <v>14</v>
      </c>
      <c r="F11" t="s">
        <v>15</v>
      </c>
      <c r="G11" t="s">
        <v>16</v>
      </c>
      <c r="H11" t="s">
        <v>39</v>
      </c>
      <c r="I11">
        <v>13636</v>
      </c>
      <c r="J11">
        <v>0</v>
      </c>
      <c r="K11">
        <v>1364</v>
      </c>
      <c r="L11">
        <v>15000</v>
      </c>
      <c r="M11">
        <f t="shared" si="0"/>
        <v>13636</v>
      </c>
    </row>
    <row r="12" spans="1:13" ht="15.75" x14ac:dyDescent="0.25">
      <c r="A12">
        <v>11</v>
      </c>
      <c r="B12" t="s">
        <v>12</v>
      </c>
      <c r="C12" t="s">
        <v>40</v>
      </c>
      <c r="D12">
        <v>32609113</v>
      </c>
      <c r="E12" t="s">
        <v>14</v>
      </c>
      <c r="F12" t="s">
        <v>15</v>
      </c>
      <c r="G12" t="s">
        <v>16</v>
      </c>
      <c r="H12" t="s">
        <v>41</v>
      </c>
      <c r="I12">
        <v>13636</v>
      </c>
      <c r="J12">
        <v>0</v>
      </c>
      <c r="K12">
        <v>1364</v>
      </c>
      <c r="L12">
        <v>15000</v>
      </c>
      <c r="M12">
        <f t="shared" si="0"/>
        <v>13636</v>
      </c>
    </row>
    <row r="13" spans="1:13" ht="15.75" x14ac:dyDescent="0.25">
      <c r="A13">
        <v>12</v>
      </c>
      <c r="B13" t="s">
        <v>42</v>
      </c>
      <c r="C13" t="s">
        <v>43</v>
      </c>
      <c r="D13">
        <v>3</v>
      </c>
      <c r="E13" t="s">
        <v>44</v>
      </c>
      <c r="F13" t="s">
        <v>45</v>
      </c>
      <c r="G13" t="s">
        <v>46</v>
      </c>
      <c r="H13" t="s">
        <v>47</v>
      </c>
      <c r="I13">
        <v>783000000</v>
      </c>
      <c r="J13">
        <v>0</v>
      </c>
      <c r="K13">
        <v>62640000</v>
      </c>
      <c r="L13">
        <v>845640000</v>
      </c>
    </row>
  </sheetData>
  <pageMargins left="0.7" right="0.7" top="0.75" bottom="0.75" header="0.3" footer="0.3"/>
  <ignoredErrors>
    <ignoredError sqref="A1:L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 SON</cp:lastModifiedBy>
  <dcterms:modified xsi:type="dcterms:W3CDTF">2026-07-24T14:34:34Z</dcterms:modified>
</cp:coreProperties>
</file>