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4A5F759-38E9-4B2E-B218-22B98ED23FA0}" xr6:coauthVersionLast="47" xr6:coauthVersionMax="47" xr10:uidLastSave="{00000000-0000-0000-0000-000000000000}"/>
  <bookViews>
    <workbookView xWindow="2775" yWindow="4290" windowWidth="21600" windowHeight="11835" xr2:uid="{00000000-000D-0000-FFFF-FFFF00000000}"/>
  </bookViews>
  <sheets>
    <sheet name="Sao Kê Giao Dịch" sheetId="1" r:id="rId1"/>
  </sheets>
  <definedNames>
    <definedName name="_xlnm._FilterDatabase" localSheetId="0" hidden="1">'Sao Kê Giao Dịch'!$A$1:$M$29</definedName>
  </definedNames>
  <calcPr calcId="191029"/>
</workbook>
</file>

<file path=xl/calcChain.xml><?xml version="1.0" encoding="utf-8"?>
<calcChain xmlns="http://schemas.openxmlformats.org/spreadsheetml/2006/main">
  <c r="N12" i="1" l="1"/>
  <c r="N19" i="1"/>
  <c r="N6" i="1"/>
  <c r="N5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" i="1"/>
  <c r="E29" i="1"/>
  <c r="D29" i="1"/>
</calcChain>
</file>

<file path=xl/sharedStrings.xml><?xml version="1.0" encoding="utf-8"?>
<sst xmlns="http://schemas.openxmlformats.org/spreadsheetml/2006/main" count="162" uniqueCount="81">
  <si>
    <t>STT</t>
  </si>
  <si>
    <t>Ngày GD</t>
  </si>
  <si>
    <t>Số CT</t>
  </si>
  <si>
    <t>Số tiền ghi nợ</t>
  </si>
  <si>
    <t>Số tiền ghi có</t>
  </si>
  <si>
    <t>Số dư</t>
  </si>
  <si>
    <t>Nội dung chi tiết</t>
  </si>
  <si>
    <t>03/04/2026</t>
  </si>
  <si>
    <t>5009.20547</t>
  </si>
  <si>
    <t>SIGD:10001134.DD:260403.BO:CONG TY CO PHAN METUB VIET NAM.Remark:METUB TT 100PT SO HD HD.591.2026.METUB.ADAYA 3.1.2026.38 202603050248 ChargeDetails OUR</t>
  </si>
  <si>
    <t>5136.4886</t>
  </si>
  <si>
    <t>MBBIZ6060704886.CONG TY TNHH ADAYA chuyen tien</t>
  </si>
  <si>
    <t>5136.6010</t>
  </si>
  <si>
    <t>MBBIZ6060706010.CONG TY TNHH ADAYA chuyen tien</t>
  </si>
  <si>
    <t>5436.38412</t>
  </si>
  <si>
    <t>MBBIZ.6060729786.6093BFTVG2SVN8VR.CONG TY TNHH ADAYA chuyen tien</t>
  </si>
  <si>
    <t>04/04/2026</t>
  </si>
  <si>
    <t>5437.91122</t>
  </si>
  <si>
    <t>MBBIZ.6060828025.6094BFTVG2S3IRAR.CONG TY TNHH ADAYA chuyen tien</t>
  </si>
  <si>
    <t>08/04/2026</t>
  </si>
  <si>
    <t>5065.26394</t>
  </si>
  <si>
    <t>NTDT+KB:2061-Kho bac Nha nuoc khu vuc XIV-Phong Ke toan Nha nuoc... Thue TNCN Q1/25</t>
  </si>
  <si>
    <t>5065.26399</t>
  </si>
  <si>
    <t>NTDT+KB:2061-Kho bac Nha nuoc khu vuc XIV-Phong Ke toan Nha nuoc... Thue TNCN Q2/25</t>
  </si>
  <si>
    <t>5065.26404</t>
  </si>
  <si>
    <t>NTDT+KB:2061-Kho bac Nha nuoc khu vuc XIV-Phong Ke toan Nha nuoc... Thue TNCN Q3/25</t>
  </si>
  <si>
    <t>5165.216413</t>
  </si>
  <si>
    <t>NTDT+KB:2061-Kho bac Nha nuoc khu vuc XIV-Phong Ke toan Nha nuoc... Thue TNCN Q4/25</t>
  </si>
  <si>
    <t>5145.21422</t>
  </si>
  <si>
    <t>14/04/2026</t>
  </si>
  <si>
    <t>5433.82612</t>
  </si>
  <si>
    <t>MBBIZ.6062019370.6104BFTVG29K62KE.CONG TY TNHH ADAYA chuyen tien</t>
  </si>
  <si>
    <t>21/04/2026</t>
  </si>
  <si>
    <t>5165.33554</t>
  </si>
  <si>
    <t>NTDT+KB:2061-Kho bac Nha nuoc khu vuc XIV-Phong Ke toan Nha nuoc... Tien cham nop</t>
  </si>
  <si>
    <t>5165.33615</t>
  </si>
  <si>
    <t>5165.33740</t>
  </si>
  <si>
    <t>3165.35770</t>
  </si>
  <si>
    <t>5015335</t>
  </si>
  <si>
    <t>NTDT+KB:2061-Kho bac Nha nuoc khu vuc XIV-Phong Ke toan Nha nuoc... Thue GTGT Q1/26</t>
  </si>
  <si>
    <t>25/04/2026</t>
  </si>
  <si>
    <t>STULJASTUSA59</t>
  </si>
  <si>
    <t>INTEREST PAYMENT</t>
  </si>
  <si>
    <t>29/04/2026</t>
  </si>
  <si>
    <t>SLATISTARS</t>
  </si>
  <si>
    <t>MBBIZ6063948906.051378.CONG TY TNHH ADAYA chuyen tien</t>
  </si>
  <si>
    <t>13/05/2026</t>
  </si>
  <si>
    <t>5241.95965</t>
  </si>
  <si>
    <t>MBVCB.14200795382.NGUYEN DINH NHU NGOC chuyen tien nop tien mat vao tai khoan...</t>
  </si>
  <si>
    <t>5065.29720</t>
  </si>
  <si>
    <t>NTDT+KB:2061-Kho bac Nha nuoc khu vuc XIV-Phong Ke toan Nha nuoc... Thue GTGT Q1/2026</t>
  </si>
  <si>
    <t>5065.29729</t>
  </si>
  <si>
    <t>5065.29737</t>
  </si>
  <si>
    <t>5065.29744</t>
  </si>
  <si>
    <t>25/05/2026</t>
  </si>
  <si>
    <t>9701.1051345169</t>
  </si>
  <si>
    <t>25/06/2026</t>
  </si>
  <si>
    <t>30/06/2026</t>
  </si>
  <si>
    <t>5239.31435</t>
  </si>
  <si>
    <t>MBVCB.14899575450.NGUYEN DINH NHU NGOC chuyen tien nop tien mat vao tai khoan...</t>
  </si>
  <si>
    <t>5065.5623</t>
  </si>
  <si>
    <t>NTDT+KB:2061-Kho bac Nha nuoc khu vuc XIV-Phong Ke toan Nha nuoc...</t>
  </si>
  <si>
    <t>TỔNG CỘNG:</t>
  </si>
  <si>
    <t>BC</t>
  </si>
  <si>
    <t>BN</t>
  </si>
  <si>
    <t>Lãi tiền gửi ngân hàng</t>
  </si>
  <si>
    <t>0100112437</t>
  </si>
  <si>
    <t>0313658809</t>
  </si>
  <si>
    <t>Doanh thu dịch vụ quảng cáo dự án Neutrogena Suncare 02-03-2026 theo BBTL của hợp đồng số HĐ/591/2026/METUB-ADAYA ký ngày 24/02/2026 HĐ số 3</t>
  </si>
  <si>
    <t>4202008425</t>
  </si>
  <si>
    <t>Nộp tiền mặt vào tài khoản ngân hàng</t>
  </si>
  <si>
    <t>Phí dịch vụ chữ ký số 1 năm HĐ số 1335</t>
  </si>
  <si>
    <t>0313626324</t>
  </si>
  <si>
    <t>Nộp tiền lãi chậm nộp thuế</t>
  </si>
  <si>
    <t>Nộp thuế GTGT quý 2026.Q1</t>
  </si>
  <si>
    <t>Nộp thuế TNCN quý 2025.Q1</t>
  </si>
  <si>
    <t>Nộp thuế TNCN quý 2025.Q2</t>
  </si>
  <si>
    <t>Nộp thuế TNCN quý 2025.Q3</t>
  </si>
  <si>
    <t>Nộp thuế TNCN quý 2025.Q4</t>
  </si>
  <si>
    <t>Dịch vụ tư vấn doanh nghiệp HĐ số 52</t>
  </si>
  <si>
    <t>0316916857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</si>
</sst>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/>
    <xf numFmtId="0" fontId="0" fillId="0" borderId="1" xfId="0" applyBorder="1" applyAlignment="1">
      <alignment horizontal="left" vertical="center" wrapText="1"/>
    </xf>
    <xf numFmtId="0" fontId="2" fillId="0" borderId="1" xfId="0" applyFont="1" applyBorder="1"/>
    <xf numFmtId="3" fontId="2" fillId="0" borderId="1" xfId="0" applyNumberFormat="1" applyFont="1" applyBorder="1"/>
    <xf numFmtId="3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A9" workbookViewId="0">
      <selection activeCell="E27" sqref="E27"/>
    </sheetView>
  </sheetViews>
  <sheetFormatPr defaultRowHeight="15" x14ac:dyDescent="0.25"/>
  <cols>
    <col min="1" max="1" width="5" customWidth="1"/>
    <col min="2" max="2" width="15" customWidth="1"/>
    <col min="3" max="3" width="20" customWidth="1"/>
    <col min="4" max="6" width="18" customWidth="1"/>
    <col min="7" max="7" width="60" customWidth="1"/>
    <col min="8" max="8" width="10.140625" bestFit="1" customWidth="1"/>
    <col min="10" max="10" width="9.140625" style="8"/>
    <col min="14" max="14" width="10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 ht="45" x14ac:dyDescent="0.25">
      <c r="A2" s="2">
        <v>1</v>
      </c>
      <c r="B2" s="2" t="s">
        <v>7</v>
      </c>
      <c r="C2" s="2" t="s">
        <v>8</v>
      </c>
      <c r="D2" s="3">
        <v>0</v>
      </c>
      <c r="E2" s="3">
        <v>12960000</v>
      </c>
      <c r="F2" s="3">
        <v>60915660</v>
      </c>
      <c r="G2" s="4" t="s">
        <v>9</v>
      </c>
      <c r="H2" s="7">
        <f>SUM(D2:E2)</f>
        <v>12960000</v>
      </c>
      <c r="I2" t="s">
        <v>63</v>
      </c>
      <c r="J2" s="8" t="s">
        <v>67</v>
      </c>
      <c r="K2" t="s">
        <v>68</v>
      </c>
      <c r="L2">
        <v>1121</v>
      </c>
      <c r="M2">
        <v>131</v>
      </c>
    </row>
    <row r="3" spans="1:14" x14ac:dyDescent="0.25">
      <c r="A3" s="2">
        <v>2</v>
      </c>
      <c r="B3" s="2" t="s">
        <v>7</v>
      </c>
      <c r="C3" s="2" t="s">
        <v>10</v>
      </c>
      <c r="D3" s="3">
        <v>6900000</v>
      </c>
      <c r="E3" s="3">
        <v>0</v>
      </c>
      <c r="F3" s="3">
        <v>54015660</v>
      </c>
      <c r="G3" s="4" t="s">
        <v>11</v>
      </c>
      <c r="H3" s="7">
        <f t="shared" ref="H3:H28" si="0">SUM(D3:E3)</f>
        <v>6900000</v>
      </c>
      <c r="I3" t="s">
        <v>64</v>
      </c>
      <c r="J3" s="8" t="s">
        <v>80</v>
      </c>
      <c r="K3" t="s">
        <v>79</v>
      </c>
      <c r="L3">
        <v>331</v>
      </c>
      <c r="M3">
        <v>1121</v>
      </c>
    </row>
    <row r="4" spans="1:14" x14ac:dyDescent="0.25">
      <c r="A4" s="2">
        <v>3</v>
      </c>
      <c r="B4" s="2" t="s">
        <v>7</v>
      </c>
      <c r="C4" s="2" t="s">
        <v>12</v>
      </c>
      <c r="D4" s="3">
        <v>552000</v>
      </c>
      <c r="E4" s="3">
        <v>0</v>
      </c>
      <c r="F4" s="3">
        <v>53463660</v>
      </c>
      <c r="G4" s="4" t="s">
        <v>13</v>
      </c>
      <c r="H4" s="7">
        <f t="shared" si="0"/>
        <v>552000</v>
      </c>
      <c r="I4" t="s">
        <v>64</v>
      </c>
      <c r="J4" s="8" t="s">
        <v>80</v>
      </c>
      <c r="K4" t="s">
        <v>79</v>
      </c>
      <c r="L4">
        <v>331</v>
      </c>
      <c r="M4">
        <v>1121</v>
      </c>
      <c r="N4" s="7"/>
    </row>
    <row r="5" spans="1:14" ht="30" x14ac:dyDescent="0.25">
      <c r="A5" s="2">
        <v>4</v>
      </c>
      <c r="B5" s="2" t="s">
        <v>7</v>
      </c>
      <c r="C5" s="2" t="s">
        <v>14</v>
      </c>
      <c r="D5" s="3">
        <v>1349000</v>
      </c>
      <c r="E5" s="3">
        <v>0</v>
      </c>
      <c r="F5" s="3">
        <v>52114660</v>
      </c>
      <c r="G5" s="4" t="s">
        <v>15</v>
      </c>
      <c r="H5" s="7">
        <f t="shared" si="0"/>
        <v>1349000</v>
      </c>
      <c r="I5" t="s">
        <v>64</v>
      </c>
      <c r="J5" s="8" t="s">
        <v>72</v>
      </c>
      <c r="K5" t="s">
        <v>71</v>
      </c>
      <c r="L5">
        <v>331</v>
      </c>
      <c r="M5">
        <v>1121</v>
      </c>
      <c r="N5" s="7">
        <f>H5-22000</f>
        <v>1327000</v>
      </c>
    </row>
    <row r="6" spans="1:14" ht="30" x14ac:dyDescent="0.25">
      <c r="A6" s="2">
        <v>5</v>
      </c>
      <c r="B6" s="2" t="s">
        <v>16</v>
      </c>
      <c r="C6" s="2" t="s">
        <v>17</v>
      </c>
      <c r="D6" s="3">
        <v>8022000</v>
      </c>
      <c r="E6" s="3">
        <v>0</v>
      </c>
      <c r="F6" s="3">
        <v>44092660</v>
      </c>
      <c r="G6" s="4" t="s">
        <v>18</v>
      </c>
      <c r="H6" s="7">
        <f t="shared" si="0"/>
        <v>8022000</v>
      </c>
      <c r="I6" t="s">
        <v>64</v>
      </c>
      <c r="M6">
        <v>1121</v>
      </c>
      <c r="N6" s="7">
        <f t="shared" ref="N6:N24" si="1">H6-22000</f>
        <v>8000000</v>
      </c>
    </row>
    <row r="7" spans="1:14" ht="30" x14ac:dyDescent="0.25">
      <c r="A7" s="2">
        <v>6</v>
      </c>
      <c r="B7" s="2" t="s">
        <v>19</v>
      </c>
      <c r="C7" s="2" t="s">
        <v>20</v>
      </c>
      <c r="D7" s="3">
        <v>1450000</v>
      </c>
      <c r="E7" s="3">
        <v>0</v>
      </c>
      <c r="F7" s="3">
        <v>42642660</v>
      </c>
      <c r="G7" s="4" t="s">
        <v>21</v>
      </c>
      <c r="H7" s="7">
        <f t="shared" si="0"/>
        <v>1450000</v>
      </c>
      <c r="I7" t="s">
        <v>64</v>
      </c>
      <c r="J7" s="8" t="s">
        <v>69</v>
      </c>
      <c r="K7" t="s">
        <v>75</v>
      </c>
      <c r="L7">
        <v>3335</v>
      </c>
      <c r="M7">
        <v>1121</v>
      </c>
      <c r="N7" s="7"/>
    </row>
    <row r="8" spans="1:14" ht="30" x14ac:dyDescent="0.25">
      <c r="A8" s="2">
        <v>7</v>
      </c>
      <c r="B8" s="2" t="s">
        <v>19</v>
      </c>
      <c r="C8" s="2" t="s">
        <v>22</v>
      </c>
      <c r="D8" s="3">
        <v>300000</v>
      </c>
      <c r="E8" s="3">
        <v>0</v>
      </c>
      <c r="F8" s="3">
        <v>42342660</v>
      </c>
      <c r="G8" s="4" t="s">
        <v>23</v>
      </c>
      <c r="H8" s="7">
        <f t="shared" si="0"/>
        <v>300000</v>
      </c>
      <c r="I8" t="s">
        <v>64</v>
      </c>
      <c r="J8" s="8" t="s">
        <v>69</v>
      </c>
      <c r="K8" t="s">
        <v>76</v>
      </c>
      <c r="L8">
        <v>3335</v>
      </c>
      <c r="M8">
        <v>1121</v>
      </c>
      <c r="N8" s="7"/>
    </row>
    <row r="9" spans="1:14" ht="30" x14ac:dyDescent="0.25">
      <c r="A9" s="2">
        <v>8</v>
      </c>
      <c r="B9" s="2" t="s">
        <v>19</v>
      </c>
      <c r="C9" s="2" t="s">
        <v>24</v>
      </c>
      <c r="D9" s="3">
        <v>200000</v>
      </c>
      <c r="E9" s="3">
        <v>0</v>
      </c>
      <c r="F9" s="3">
        <v>42142660</v>
      </c>
      <c r="G9" s="4" t="s">
        <v>25</v>
      </c>
      <c r="H9" s="7">
        <f t="shared" si="0"/>
        <v>200000</v>
      </c>
      <c r="I9" t="s">
        <v>64</v>
      </c>
      <c r="J9" s="8" t="s">
        <v>69</v>
      </c>
      <c r="K9" t="s">
        <v>77</v>
      </c>
      <c r="L9">
        <v>3335</v>
      </c>
      <c r="M9">
        <v>1121</v>
      </c>
      <c r="N9" s="7"/>
    </row>
    <row r="10" spans="1:14" ht="30" x14ac:dyDescent="0.25">
      <c r="A10" s="2">
        <v>9</v>
      </c>
      <c r="B10" s="2" t="s">
        <v>19</v>
      </c>
      <c r="C10" s="2" t="s">
        <v>26</v>
      </c>
      <c r="D10" s="3">
        <v>16302911</v>
      </c>
      <c r="E10" s="3">
        <v>0</v>
      </c>
      <c r="F10" s="3">
        <v>25839749</v>
      </c>
      <c r="G10" s="4" t="s">
        <v>27</v>
      </c>
      <c r="H10" s="7">
        <f t="shared" si="0"/>
        <v>16302911</v>
      </c>
      <c r="I10" t="s">
        <v>64</v>
      </c>
      <c r="J10" s="8" t="s">
        <v>69</v>
      </c>
      <c r="K10" t="s">
        <v>78</v>
      </c>
      <c r="L10">
        <v>3335</v>
      </c>
      <c r="M10">
        <v>1121</v>
      </c>
      <c r="N10" s="7"/>
    </row>
    <row r="11" spans="1:14" ht="30" x14ac:dyDescent="0.25">
      <c r="A11" s="2">
        <v>10</v>
      </c>
      <c r="B11" s="2" t="s">
        <v>19</v>
      </c>
      <c r="C11" s="2" t="s">
        <v>28</v>
      </c>
      <c r="D11" s="3">
        <v>1870889</v>
      </c>
      <c r="E11" s="3">
        <v>0</v>
      </c>
      <c r="F11" s="3">
        <v>23968860</v>
      </c>
      <c r="G11" s="4" t="s">
        <v>27</v>
      </c>
      <c r="H11" s="7">
        <f t="shared" si="0"/>
        <v>1870889</v>
      </c>
      <c r="I11" t="s">
        <v>64</v>
      </c>
      <c r="J11" s="8" t="s">
        <v>69</v>
      </c>
      <c r="K11" t="s">
        <v>78</v>
      </c>
      <c r="L11">
        <v>3335</v>
      </c>
      <c r="M11">
        <v>1121</v>
      </c>
      <c r="N11" s="7"/>
    </row>
    <row r="12" spans="1:14" ht="30" x14ac:dyDescent="0.25">
      <c r="A12" s="2">
        <v>11</v>
      </c>
      <c r="B12" s="2" t="s">
        <v>29</v>
      </c>
      <c r="C12" s="2" t="s">
        <v>30</v>
      </c>
      <c r="D12" s="3">
        <v>8419000</v>
      </c>
      <c r="E12" s="3">
        <v>0</v>
      </c>
      <c r="F12" s="3">
        <v>15549860</v>
      </c>
      <c r="G12" s="4" t="s">
        <v>31</v>
      </c>
      <c r="H12" s="7">
        <f t="shared" si="0"/>
        <v>8419000</v>
      </c>
      <c r="I12" t="s">
        <v>64</v>
      </c>
      <c r="M12">
        <v>1121</v>
      </c>
      <c r="N12" s="7">
        <f>H12-22000</f>
        <v>8397000</v>
      </c>
    </row>
    <row r="13" spans="1:14" ht="30" x14ac:dyDescent="0.25">
      <c r="A13" s="2">
        <v>12</v>
      </c>
      <c r="B13" s="2" t="s">
        <v>32</v>
      </c>
      <c r="C13" s="2" t="s">
        <v>33</v>
      </c>
      <c r="D13" s="3">
        <v>178575</v>
      </c>
      <c r="E13" s="3">
        <v>0</v>
      </c>
      <c r="F13" s="3">
        <v>15371285</v>
      </c>
      <c r="G13" s="4" t="s">
        <v>34</v>
      </c>
      <c r="H13" s="7">
        <f t="shared" si="0"/>
        <v>178575</v>
      </c>
      <c r="I13" t="s">
        <v>64</v>
      </c>
      <c r="J13" s="8" t="s">
        <v>69</v>
      </c>
      <c r="K13" t="s">
        <v>73</v>
      </c>
      <c r="L13">
        <v>8118</v>
      </c>
      <c r="M13">
        <v>1121</v>
      </c>
      <c r="N13" s="7"/>
    </row>
    <row r="14" spans="1:14" ht="30" x14ac:dyDescent="0.25">
      <c r="A14" s="2">
        <v>13</v>
      </c>
      <c r="B14" s="2" t="s">
        <v>32</v>
      </c>
      <c r="C14" s="2" t="s">
        <v>35</v>
      </c>
      <c r="D14" s="3">
        <v>54814</v>
      </c>
      <c r="E14" s="3">
        <v>0</v>
      </c>
      <c r="F14" s="3">
        <v>15316471</v>
      </c>
      <c r="G14" s="4" t="s">
        <v>34</v>
      </c>
      <c r="H14" s="7">
        <f t="shared" si="0"/>
        <v>54814</v>
      </c>
      <c r="I14" t="s">
        <v>64</v>
      </c>
      <c r="J14" s="8" t="s">
        <v>69</v>
      </c>
      <c r="K14" t="s">
        <v>73</v>
      </c>
      <c r="L14">
        <v>8118</v>
      </c>
      <c r="M14">
        <v>1121</v>
      </c>
      <c r="N14" s="7"/>
    </row>
    <row r="15" spans="1:14" ht="30" x14ac:dyDescent="0.25">
      <c r="A15" s="2">
        <v>14</v>
      </c>
      <c r="B15" s="2" t="s">
        <v>32</v>
      </c>
      <c r="C15" s="2" t="s">
        <v>36</v>
      </c>
      <c r="D15" s="3">
        <v>313016</v>
      </c>
      <c r="E15" s="3">
        <v>0</v>
      </c>
      <c r="F15" s="3">
        <v>15003455</v>
      </c>
      <c r="G15" s="4" t="s">
        <v>34</v>
      </c>
      <c r="H15" s="7">
        <f t="shared" si="0"/>
        <v>313016</v>
      </c>
      <c r="I15" t="s">
        <v>64</v>
      </c>
      <c r="J15" s="8" t="s">
        <v>69</v>
      </c>
      <c r="K15" t="s">
        <v>73</v>
      </c>
      <c r="L15">
        <v>8118</v>
      </c>
      <c r="M15">
        <v>1121</v>
      </c>
      <c r="N15" s="7"/>
    </row>
    <row r="16" spans="1:14" ht="30" x14ac:dyDescent="0.25">
      <c r="A16" s="2">
        <v>15</v>
      </c>
      <c r="B16" s="2" t="s">
        <v>32</v>
      </c>
      <c r="C16" s="2" t="s">
        <v>37</v>
      </c>
      <c r="D16" s="3">
        <v>35921</v>
      </c>
      <c r="E16" s="3">
        <v>0</v>
      </c>
      <c r="F16" s="3">
        <v>14967534</v>
      </c>
      <c r="G16" s="4" t="s">
        <v>34</v>
      </c>
      <c r="H16" s="7">
        <f t="shared" si="0"/>
        <v>35921</v>
      </c>
      <c r="I16" t="s">
        <v>64</v>
      </c>
      <c r="J16" s="8" t="s">
        <v>69</v>
      </c>
      <c r="K16" t="s">
        <v>73</v>
      </c>
      <c r="L16">
        <v>8118</v>
      </c>
      <c r="M16">
        <v>1121</v>
      </c>
      <c r="N16" s="7"/>
    </row>
    <row r="17" spans="1:14" ht="30" x14ac:dyDescent="0.25">
      <c r="A17" s="2">
        <v>16</v>
      </c>
      <c r="B17" s="2" t="s">
        <v>32</v>
      </c>
      <c r="C17" s="2" t="s">
        <v>38</v>
      </c>
      <c r="D17" s="3">
        <v>4518247</v>
      </c>
      <c r="E17" s="3">
        <v>0</v>
      </c>
      <c r="F17" s="3">
        <v>10449287</v>
      </c>
      <c r="G17" s="4" t="s">
        <v>39</v>
      </c>
      <c r="H17" s="7">
        <f t="shared" si="0"/>
        <v>4518247</v>
      </c>
      <c r="I17" t="s">
        <v>64</v>
      </c>
      <c r="J17" s="8" t="s">
        <v>69</v>
      </c>
      <c r="K17" t="s">
        <v>74</v>
      </c>
      <c r="L17">
        <v>33311</v>
      </c>
      <c r="M17">
        <v>1121</v>
      </c>
      <c r="N17" s="7"/>
    </row>
    <row r="18" spans="1:14" x14ac:dyDescent="0.25">
      <c r="A18" s="2">
        <v>17</v>
      </c>
      <c r="B18" s="2" t="s">
        <v>40</v>
      </c>
      <c r="C18" s="2" t="s">
        <v>41</v>
      </c>
      <c r="D18" s="3">
        <v>0</v>
      </c>
      <c r="E18" s="3">
        <v>5230</v>
      </c>
      <c r="F18" s="3">
        <v>10454517</v>
      </c>
      <c r="G18" s="4" t="s">
        <v>42</v>
      </c>
      <c r="H18" s="7">
        <f t="shared" si="0"/>
        <v>5230</v>
      </c>
      <c r="I18" t="s">
        <v>63</v>
      </c>
      <c r="J18" s="8" t="s">
        <v>66</v>
      </c>
      <c r="K18" t="s">
        <v>65</v>
      </c>
      <c r="L18">
        <v>1121</v>
      </c>
      <c r="M18">
        <v>5154</v>
      </c>
    </row>
    <row r="19" spans="1:14" x14ac:dyDescent="0.25">
      <c r="A19" s="2">
        <v>18</v>
      </c>
      <c r="B19" s="2" t="s">
        <v>43</v>
      </c>
      <c r="C19" s="2" t="s">
        <v>44</v>
      </c>
      <c r="D19" s="3">
        <v>522000</v>
      </c>
      <c r="E19" s="3">
        <v>0</v>
      </c>
      <c r="F19" s="3">
        <v>9932517</v>
      </c>
      <c r="G19" s="4" t="s">
        <v>45</v>
      </c>
      <c r="H19" s="7">
        <f t="shared" si="0"/>
        <v>522000</v>
      </c>
      <c r="I19" t="s">
        <v>64</v>
      </c>
      <c r="M19">
        <v>1121</v>
      </c>
      <c r="N19" s="7">
        <f t="shared" si="1"/>
        <v>500000</v>
      </c>
    </row>
    <row r="20" spans="1:14" ht="30" x14ac:dyDescent="0.25">
      <c r="A20" s="2">
        <v>19</v>
      </c>
      <c r="B20" s="2" t="s">
        <v>46</v>
      </c>
      <c r="C20" s="2" t="s">
        <v>47</v>
      </c>
      <c r="D20" s="3">
        <v>0</v>
      </c>
      <c r="E20" s="3">
        <v>30000000</v>
      </c>
      <c r="F20" s="3">
        <v>39932517</v>
      </c>
      <c r="G20" s="4" t="s">
        <v>48</v>
      </c>
      <c r="H20" s="7">
        <f t="shared" si="0"/>
        <v>30000000</v>
      </c>
      <c r="I20" t="s">
        <v>63</v>
      </c>
      <c r="J20" s="8" t="s">
        <v>69</v>
      </c>
      <c r="K20" t="s">
        <v>70</v>
      </c>
      <c r="L20">
        <v>1121</v>
      </c>
      <c r="M20">
        <v>1111</v>
      </c>
    </row>
    <row r="21" spans="1:14" ht="30" x14ac:dyDescent="0.25">
      <c r="A21" s="2">
        <v>20</v>
      </c>
      <c r="B21" s="2" t="s">
        <v>46</v>
      </c>
      <c r="C21" s="2" t="s">
        <v>49</v>
      </c>
      <c r="D21" s="3">
        <v>26088698</v>
      </c>
      <c r="E21" s="3">
        <v>0</v>
      </c>
      <c r="F21" s="3">
        <v>13843819</v>
      </c>
      <c r="G21" s="4" t="s">
        <v>50</v>
      </c>
      <c r="H21" s="7">
        <f t="shared" si="0"/>
        <v>26088698</v>
      </c>
      <c r="I21" t="s">
        <v>64</v>
      </c>
      <c r="J21" s="8" t="s">
        <v>69</v>
      </c>
      <c r="K21" t="s">
        <v>74</v>
      </c>
      <c r="L21">
        <v>33311</v>
      </c>
      <c r="M21">
        <v>1121</v>
      </c>
      <c r="N21" s="7"/>
    </row>
    <row r="22" spans="1:14" ht="30" x14ac:dyDescent="0.25">
      <c r="A22" s="2">
        <v>21</v>
      </c>
      <c r="B22" s="2" t="s">
        <v>46</v>
      </c>
      <c r="C22" s="2" t="s">
        <v>51</v>
      </c>
      <c r="D22" s="3">
        <v>4518247</v>
      </c>
      <c r="E22" s="3">
        <v>0</v>
      </c>
      <c r="F22" s="3">
        <v>9325572</v>
      </c>
      <c r="G22" s="4" t="s">
        <v>50</v>
      </c>
      <c r="H22" s="7">
        <f t="shared" si="0"/>
        <v>4518247</v>
      </c>
      <c r="I22" t="s">
        <v>64</v>
      </c>
      <c r="J22" s="8" t="s">
        <v>69</v>
      </c>
      <c r="K22" t="s">
        <v>74</v>
      </c>
      <c r="L22">
        <v>33311</v>
      </c>
      <c r="M22">
        <v>1121</v>
      </c>
      <c r="N22" s="7"/>
    </row>
    <row r="23" spans="1:14" ht="30" x14ac:dyDescent="0.25">
      <c r="A23" s="2">
        <v>22</v>
      </c>
      <c r="B23" s="2" t="s">
        <v>46</v>
      </c>
      <c r="C23" s="2" t="s">
        <v>52</v>
      </c>
      <c r="D23" s="3">
        <v>104372</v>
      </c>
      <c r="E23" s="3">
        <v>0</v>
      </c>
      <c r="F23" s="3">
        <v>9221200</v>
      </c>
      <c r="G23" s="4" t="s">
        <v>34</v>
      </c>
      <c r="H23" s="7">
        <f t="shared" si="0"/>
        <v>104372</v>
      </c>
      <c r="I23" t="s">
        <v>64</v>
      </c>
      <c r="J23" s="8" t="s">
        <v>69</v>
      </c>
      <c r="K23" t="s">
        <v>73</v>
      </c>
      <c r="L23">
        <v>8118</v>
      </c>
      <c r="M23">
        <v>1121</v>
      </c>
      <c r="N23" s="7"/>
    </row>
    <row r="24" spans="1:14" ht="30" x14ac:dyDescent="0.25">
      <c r="A24" s="2">
        <v>23</v>
      </c>
      <c r="B24" s="2" t="s">
        <v>46</v>
      </c>
      <c r="C24" s="2" t="s">
        <v>53</v>
      </c>
      <c r="D24" s="3">
        <v>1266</v>
      </c>
      <c r="E24" s="3">
        <v>0</v>
      </c>
      <c r="F24" s="3">
        <v>9219934</v>
      </c>
      <c r="G24" s="4" t="s">
        <v>34</v>
      </c>
      <c r="H24" s="7">
        <f t="shared" si="0"/>
        <v>1266</v>
      </c>
      <c r="I24" t="s">
        <v>64</v>
      </c>
      <c r="J24" s="8" t="s">
        <v>69</v>
      </c>
      <c r="K24" t="s">
        <v>73</v>
      </c>
      <c r="L24">
        <v>8118</v>
      </c>
      <c r="M24">
        <v>1121</v>
      </c>
      <c r="N24" s="7"/>
    </row>
    <row r="25" spans="1:14" x14ac:dyDescent="0.25">
      <c r="A25" s="2">
        <v>24</v>
      </c>
      <c r="B25" s="2" t="s">
        <v>54</v>
      </c>
      <c r="C25" s="2" t="s">
        <v>55</v>
      </c>
      <c r="D25" s="3">
        <v>0</v>
      </c>
      <c r="E25" s="3">
        <v>315</v>
      </c>
      <c r="F25" s="3">
        <v>9220249</v>
      </c>
      <c r="G25" s="4" t="s">
        <v>42</v>
      </c>
      <c r="H25" s="7">
        <f t="shared" si="0"/>
        <v>315</v>
      </c>
      <c r="I25" t="s">
        <v>63</v>
      </c>
      <c r="J25" s="8" t="s">
        <v>66</v>
      </c>
      <c r="K25" t="s">
        <v>65</v>
      </c>
      <c r="L25">
        <v>1121</v>
      </c>
      <c r="M25">
        <v>5154</v>
      </c>
    </row>
    <row r="26" spans="1:14" x14ac:dyDescent="0.25">
      <c r="A26" s="2">
        <v>25</v>
      </c>
      <c r="B26" s="2" t="s">
        <v>56</v>
      </c>
      <c r="C26" s="2" t="s">
        <v>55</v>
      </c>
      <c r="D26" s="3">
        <v>0</v>
      </c>
      <c r="E26" s="3">
        <v>37</v>
      </c>
      <c r="F26" s="3">
        <v>9220286</v>
      </c>
      <c r="G26" s="4" t="s">
        <v>42</v>
      </c>
      <c r="H26" s="7">
        <f t="shared" si="0"/>
        <v>37</v>
      </c>
      <c r="I26" t="s">
        <v>63</v>
      </c>
      <c r="J26" s="8" t="s">
        <v>66</v>
      </c>
      <c r="K26" t="s">
        <v>65</v>
      </c>
      <c r="L26">
        <v>1121</v>
      </c>
      <c r="M26">
        <v>5154</v>
      </c>
    </row>
    <row r="27" spans="1:14" ht="30" x14ac:dyDescent="0.25">
      <c r="A27" s="2">
        <v>26</v>
      </c>
      <c r="B27" s="2" t="s">
        <v>57</v>
      </c>
      <c r="C27" s="2" t="s">
        <v>58</v>
      </c>
      <c r="D27" s="3">
        <v>0</v>
      </c>
      <c r="E27" s="3">
        <v>1000000</v>
      </c>
      <c r="F27" s="3">
        <v>10220286</v>
      </c>
      <c r="G27" s="4" t="s">
        <v>59</v>
      </c>
      <c r="H27" s="7">
        <f t="shared" si="0"/>
        <v>1000000</v>
      </c>
      <c r="I27" t="s">
        <v>63</v>
      </c>
      <c r="J27" s="8" t="s">
        <v>69</v>
      </c>
      <c r="K27" t="s">
        <v>70</v>
      </c>
      <c r="L27">
        <v>1121</v>
      </c>
      <c r="M27">
        <v>1111</v>
      </c>
      <c r="N27" s="7"/>
    </row>
    <row r="28" spans="1:14" ht="30" x14ac:dyDescent="0.25">
      <c r="A28" s="2">
        <v>27</v>
      </c>
      <c r="B28" s="2" t="s">
        <v>57</v>
      </c>
      <c r="C28" s="2" t="s">
        <v>60</v>
      </c>
      <c r="D28" s="3">
        <v>785678</v>
      </c>
      <c r="E28" s="3">
        <v>0</v>
      </c>
      <c r="F28" s="3">
        <v>9434608</v>
      </c>
      <c r="G28" s="4" t="s">
        <v>61</v>
      </c>
      <c r="H28" s="7">
        <f t="shared" si="0"/>
        <v>785678</v>
      </c>
      <c r="I28" t="s">
        <v>64</v>
      </c>
      <c r="M28">
        <v>1121</v>
      </c>
    </row>
    <row r="29" spans="1:14" x14ac:dyDescent="0.25">
      <c r="C29" s="5" t="s">
        <v>62</v>
      </c>
      <c r="D29" s="6">
        <f>SUM(D2:D28)</f>
        <v>82486634</v>
      </c>
      <c r="E29" s="6">
        <f>SUM(E2:E28)</f>
        <v>43965582</v>
      </c>
      <c r="F29" s="6">
        <v>9434608</v>
      </c>
    </row>
  </sheetData>
  <autoFilter ref="A1:M2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Sao Kê Giao Dịch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JOKER SON</cp:lastModifiedBy>
  <dcterms:created xsi:type="dcterms:W3CDTF">2026-07-26T04:04:37Z</dcterms:created>
  <dcterms:modified xsi:type="dcterms:W3CDTF">2026-07-26T07:16:18Z</dcterms:modified>
</cp:coreProperties>
</file>