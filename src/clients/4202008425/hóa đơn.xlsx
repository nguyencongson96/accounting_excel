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
    </mc:Choice>
  </mc:AlternateContent>
  <xr:revisionPtr revIDLastSave="0" documentId="13_ncr:1_{C48C9C00-CA43-441B-9390-B6DF39C7ABDE}" xr6:coauthVersionLast="47" xr6:coauthVersionMax="47" xr10:uidLastSave="{00000000-0000-0000-0000-000000000000}"/>
  <bookViews>
    <workbookView xWindow="-120" yWindow="-120" windowWidth="29040" windowHeight="15720" xr2:uid="{00000000-000D-0000-FFFF-FFFF00000000}"/>
  </bookViews>
  <sheets>
    <sheet name="Inv" sheetId="1" r:id="rId1"/>
  </sheets>
  <definedNames>
    <definedName name="_xlnm._FilterDatabase" localSheetId="0" hidden="1">Inv!$A$1:$M$35</definedName>
  </definedNames>
  <calcPr calcId="191029"/>
</workbook>
</file>

<file path=xl/calcChain.xml><?xml version="1.0" encoding="utf-8"?>
<calcChain xmlns="http://schemas.openxmlformats.org/spreadsheetml/2006/main">
  <c r="M24" i="1" l="1"/>
  <c r="M23" i="1"/>
  <c r="M32" i="1" l="1"/>
  <c r="M27" i="1"/>
  <c r="M26" i="1"/>
  <c r="M22" i="1"/>
  <c r="M10" i="1"/>
  <c r="M6" i="1"/>
  <c r="M15" i="1"/>
  <c r="M17" i="1"/>
  <c r="M11" i="1"/>
  <c r="M9" i="1"/>
  <c r="M7" i="1"/>
  <c r="M5" i="1"/>
  <c r="M18" i="1"/>
  <c r="M2" i="1"/>
  <c r="M31" i="1"/>
  <c r="M30" i="1"/>
  <c r="M29" i="1"/>
  <c r="M28" i="1"/>
  <c r="M25" i="1"/>
  <c r="M21" i="1"/>
  <c r="M20" i="1"/>
  <c r="M19" i="1"/>
  <c r="M16" i="1"/>
  <c r="M14" i="1"/>
  <c r="M13" i="1"/>
  <c r="M12" i="1"/>
  <c r="M8" i="1"/>
  <c r="M4" i="1"/>
  <c r="M3" i="1"/>
</calcChain>
</file>

<file path=xl/sharedStrings.xml><?xml version="1.0" encoding="utf-8"?>
<sst xmlns="http://schemas.openxmlformats.org/spreadsheetml/2006/main" count="256" uniqueCount="128">
  <si>
    <t>STT</t>
  </si>
  <si>
    <t>Loại</t>
  </si>
  <si>
    <t>Thời gian lập</t>
  </si>
  <si>
    <t>Số hóa đơn</t>
  </si>
  <si>
    <t>Ký hiệu</t>
  </si>
  <si>
    <t>Mã số thuế</t>
  </si>
  <si>
    <t>Tên đối tác</t>
  </si>
  <si>
    <t>Diễn giải</t>
  </si>
  <si>
    <t>Trước thuế</t>
  </si>
  <si>
    <t>Giảm trước thuế</t>
  </si>
  <si>
    <t>Thuế</t>
  </si>
  <si>
    <t>Sau thuế</t>
  </si>
  <si>
    <t>Mua vào</t>
  </si>
  <si>
    <t>01/01/2026</t>
  </si>
  <si>
    <t>C26MCV</t>
  </si>
  <si>
    <t>0102721191-001</t>
  </si>
  <si>
    <t>CÔNG TY CỔ PHẦN TẬP ĐOÀN GOLDEN GATE - CHI NHÁNH MIỀN NAM</t>
  </si>
  <si>
    <t>Khăn giấy màng bạc Golden Gate 2025
Phí dịch vụ 10%
Cá Giòn Xốt Hong Kong
Combo Rau Nấm
Dẻ Sườn Non Bò Mỹ Hấp Gừng
Bò Bông Tuyết Hấp Tía Tô
Tôm Sú Hấp Phô Mai
Mực Hấp Kiểu Thái
Sò Điệp Hấp Nấm
Nước Chanh Leo
Sprite (Lon)
Nước Chanh Tươi
Trứng Muối (Ăn Kèm Cháo) HĐ số 9383</t>
  </si>
  <si>
    <t>05/01/2026</t>
  </si>
  <si>
    <t>K26TPJ</t>
  </si>
  <si>
    <t>0100112437</t>
  </si>
  <si>
    <t>Ngân hàng TMCP Ngoại thương Việt Nam</t>
  </si>
  <si>
    <t>Phí dịch vụ ngân hàng HĐ số 4005</t>
  </si>
  <si>
    <t>Phí dịch vụ ngân hàng HĐ số 178</t>
  </si>
  <si>
    <t>06/01/2026</t>
  </si>
  <si>
    <t>C26TXV</t>
  </si>
  <si>
    <t>0316916857</t>
  </si>
  <si>
    <t>CÔNG TY TNHH DV TƯ VẤN - ĐẠI LÝ THUẾ XUYÊN VIỆT</t>
  </si>
  <si>
    <t>Dịch vụ tư vấn doanh nghiệp HĐ số 2</t>
  </si>
  <si>
    <t>07/01/2026</t>
  </si>
  <si>
    <t>C26TYY</t>
  </si>
  <si>
    <t>0318799313</t>
  </si>
  <si>
    <t>CÔNG TY TNHH SÁNG TẠO LAB</t>
  </si>
  <si>
    <t>Cung cấp dịch vụ Fashion Stylist theo hợp đồng số 09122025/HDDV/ADAYA-LAB ký ngày 09/12/2025 HĐ số 1</t>
  </si>
  <si>
    <t>09/01/2026</t>
  </si>
  <si>
    <t>C26MVB</t>
  </si>
  <si>
    <t>0313168515-004</t>
  </si>
  <si>
    <t>CHI NHÁNH CÔNG TY CỔ PHẦN PIZZA 4PS - NHÀ HÀNG PIZZA 4PS HAI BÀ TRƯNG</t>
  </si>
  <si>
    <t>Dịch vụ ăn uống theo bill số 081695 - 09/01/2026
Món Sushi cá hồi và phô mai Mozzarella
Món Mực sốt xoài
Nước uống Lavie Sparkling HĐ số 1786</t>
  </si>
  <si>
    <t>12/01/2026</t>
  </si>
  <si>
    <t>K26TEA</t>
  </si>
  <si>
    <t>0100112437-064</t>
  </si>
  <si>
    <t>Ngân hàng TMCP Ngoại thương Việt Nam - Chi nhánh Nha Trang</t>
  </si>
  <si>
    <t>Phí dịch vụ ngân hàng HĐ số 54894</t>
  </si>
  <si>
    <t>C26MYM</t>
  </si>
  <si>
    <t>0317070895</t>
  </si>
  <si>
    <t>CÔNG TY TNHH MANGETSU</t>
  </si>
  <si>
    <t>SAPPORO - M/ Bia Sapporo Tươi - Vừa
EDAMAME/ Đậu nành Nhật luộc
YAKI ONIGIRI WITH DIPPING SAUCE/ Cơm nắm nướng chấm sốt truyền thống
BUTA TAN/ Lưỡi heo
YAGEN NANKOTSU/ Sụn ức gà
ZUCCHINI/ Bi ngòi nướng
SALMON SASHIMI/ Sashimi Cá Hồi HĐ số 654</t>
  </si>
  <si>
    <t>13/01/2026</t>
  </si>
  <si>
    <t>C26TAA</t>
  </si>
  <si>
    <t>0316839345</t>
  </si>
  <si>
    <t>CÔNG TY TNHH HAUS OF TRANG</t>
  </si>
  <si>
    <t>Dịch vụ cho thuê địa điểm và thiết kế bối cảnh theo hợp đồng số 09122025-HDDV-HAUSOFTRANG- ADAYA ký ngày 09/12/2025 và Biên bản nghiệm thu ký ngày 13/01/2026. HĐ số 3</t>
  </si>
  <si>
    <t>C26MCT</t>
  </si>
  <si>
    <t>0316670804</t>
  </si>
  <si>
    <t>CÔNG TY TNHH WOK OF LOVE</t>
  </si>
  <si>
    <t>Mỳ Champong Cay (Lớn) - 해물짬뽕 (곱빼기) (Cấp độ cay / 매운단계: CẤP 1 (mild hot))
Dưa Leo Trộn - 오이무침
Bánh Xếp CHIÊN (6 Cái) - 군만두 (6개)
Mực Chiên Giòn - 오징어튀김
Hàu Chiên Giòn - 굴튀김
Thăn Bò Xào Sốt Tương Đen – 소안심볶음
Thịt Heo Chua Ngọt Móng Tay (Vừa) - 광동식 찹쌀 탕수육 (중간)
Sprite - 사이다
Coca Zero - 콜라 제로
Bingsu Dâu - 딸기빙수
Bingsu Xoài - 망고빙수
Cơm Chiên Trứng - 황금 계란 볶음밥 (보통) (UP SIZE: SIZE LỚN) HĐ số 432</t>
  </si>
  <si>
    <t>16/01/2026</t>
  </si>
  <si>
    <t>K26TPU</t>
  </si>
  <si>
    <t>Phí dịch vụ ngân hàng HĐ số 8735</t>
  </si>
  <si>
    <t>Phí dịch vụ ngân hàng HĐ số 8206</t>
  </si>
  <si>
    <t>Phí dịch vụ ngân hàng HĐ số 5833</t>
  </si>
  <si>
    <t>22/01/2026</t>
  </si>
  <si>
    <t>C26MYC</t>
  </si>
  <si>
    <t>0108392659-001</t>
  </si>
  <si>
    <t>CÔNG TY TNHH HAI DI LAO VIET NAM HOLDINGS - CHI NHÁNH THÀNH PHỐ HỒ CHÍ MINH</t>
  </si>
  <si>
    <t>Lẩu Thái
Lẩu Cà Chua
Lẩu dầu bò Mala
Lẩu Thảo Dược
Thịt bò Haidilao
Đậu phụ phô mai (Nửa phần)
Đậu phụ ky cuộn（Nửa Phần）
Óc heo
Thịt bò bông tuyết tươi thái lát
Thịt bò bông tuyết
Miến khoai lang
Bún sợi nưa
Cải thảo(Nửa phần)
Cải thìa(Nửa phần)
Rong biển(Nửa phần)
Nấm linh chi trắng
Nấm bào ngư
Sprite lon (lạnh)
Tôm phỉ thúy
Lẩu thập cẩm 3 món
Thịt bắp bò tươi cắt lát
Nấm đùi gà
Rau muống
Bạch tuộc baby
Mực Ngọc Đại Dương thái lát
Rau thập cẩm
Ba chỉ bò
Ba Chỉ Heo
Thịt bò cao cấp
Gia vị tự chọn
Phục vụ coi bàn
Đồ uống tự chọn HĐ số 76335</t>
  </si>
  <si>
    <t>05/02/2026</t>
  </si>
  <si>
    <t>Phí dịch vụ ngân hàng HĐ số 3965862</t>
  </si>
  <si>
    <t>C26MYY</t>
  </si>
  <si>
    <t>0318808247</t>
  </si>
  <si>
    <t>CÔNG TY TNHH THỌ THỌ HOLDINGS</t>
  </si>
  <si>
    <t>CƠM BÒ XÀO HÚNG QUẾ
CÁNH GÀ CHIÊN
NƯỚC KHÔNG CỒN CÓC THÁI
NƯỚC KHOÁNG ALBA CÓ GA 450ML
GÓI NƯỚC CÓ CỒN
SET MENU 700
Phí phục vụ HĐ số 585</t>
  </si>
  <si>
    <t>06/02/2026</t>
  </si>
  <si>
    <t>Suất ăn thỏa thích Kichi Pro Max (NL)
Suất Buffet nước ngọt
Khăn giấy màng bạc Kichi HĐ số 397480</t>
  </si>
  <si>
    <t>09/02/2026</t>
  </si>
  <si>
    <t>Phí dịch vụ ngân hàng HĐ số 4521577</t>
  </si>
  <si>
    <t>13/02/2026</t>
  </si>
  <si>
    <t>Phí dịch vụ ngân hàng HĐ số 5661424</t>
  </si>
  <si>
    <t>Phí dịch vụ ngân hàng HĐ số 5540023</t>
  </si>
  <si>
    <t>K26TDL</t>
  </si>
  <si>
    <t>0108269207</t>
  </si>
  <si>
    <t>CÔNG TY CỔ PHẦN BE GROUP</t>
  </si>
  <si>
    <t>Cước phí vận tải chuyến 1313235059
Phí sử dụng ứng dụng Be HĐ số 5019263</t>
  </si>
  <si>
    <t>14/02/2026</t>
  </si>
  <si>
    <t>C26TDC</t>
  </si>
  <si>
    <t>1101707710</t>
  </si>
  <si>
    <t>CÔNG TY TNHH MỘT THÀNH VIÊN THƯƠNG MẠI DỊCH VỤ ĐẠI ĐẠI CÁT</t>
  </si>
  <si>
    <t>Combo yến tinh chế 30
Combo yến tinh chế sâm mật ong 20 HĐ số 68</t>
  </si>
  <si>
    <t>27/02/2026</t>
  </si>
  <si>
    <t>Combo yến tinh chế 20
Combo yến tinh chế gừng mật ong 20 HĐ số 69</t>
  </si>
  <si>
    <t>18/03/2026</t>
  </si>
  <si>
    <t>Phí dịch vụ ngân hàng HĐ số 9319408</t>
  </si>
  <si>
    <t>03/04/2026</t>
  </si>
  <si>
    <t>C26TNN</t>
  </si>
  <si>
    <t>0313626324</t>
  </si>
  <si>
    <t>CÔNG TY TNHH CÔNG NGHỆ SỐ NGÂN KHOA</t>
  </si>
  <si>
    <t>Phí dịch vụ chữ ký số 1 năm HĐ số 1335</t>
  </si>
  <si>
    <t>Dịch vụ tư vấn doanh nghiệp
Phí làm hồ sơ tạm ngưng kinh doanh HĐ số 52</t>
  </si>
  <si>
    <t>Phí dịch vụ ngân hàng HĐ số 11021736</t>
  </si>
  <si>
    <t>04/04/2026</t>
  </si>
  <si>
    <t>Phí dịch vụ ngân hàng HĐ số 11184759</t>
  </si>
  <si>
    <t>14/04/2026</t>
  </si>
  <si>
    <t>Phí dịch vụ ngân hàng HĐ số 12516984</t>
  </si>
  <si>
    <t>29/04/2026</t>
  </si>
  <si>
    <t>Phí dịch vụ ngân hàng HĐ số 14208012</t>
  </si>
  <si>
    <t>05/06/2026</t>
  </si>
  <si>
    <t>C26TLG</t>
  </si>
  <si>
    <t>0319166313</t>
  </si>
  <si>
    <t>CÔNG TY TNHH DV TƯ VẤN TÂN LÊ GIA</t>
  </si>
  <si>
    <t>Dịch vụ làm hồ sơ hoạt động trở lại HĐ số 79</t>
  </si>
  <si>
    <t>Bán ra</t>
  </si>
  <si>
    <t>15/02/2026</t>
  </si>
  <si>
    <t>C26TAD</t>
  </si>
  <si>
    <t>0100367153</t>
  </si>
  <si>
    <t>CÔNG TY TNHH THIÊN NGÂN</t>
  </si>
  <si>
    <t>Thanh toán hợp đồng số 16012026_HDDV_ADAYA_THIENNGAN được lập và ký vào ngày 16 tháng 01 năm 2026 HĐ số 1</t>
  </si>
  <si>
    <t>04/03/2026</t>
  </si>
  <si>
    <t>0318025447</t>
  </si>
  <si>
    <t>CÔNG TY TNHH  T PRODUCTION</t>
  </si>
  <si>
    <t>Thanh toán đợt 2 50% theo hợp đồng số 08122025_HDDV_ADAYA_TPRODUCTION được lập và ký vào ngày 08 tháng 12 năm 2025 HĐ số 2</t>
  </si>
  <si>
    <t>23/03/2026</t>
  </si>
  <si>
    <t>0313658809</t>
  </si>
  <si>
    <t>CÔNG TY CỔ PHẦN METUB VIỆT NAM</t>
  </si>
  <si>
    <t>Thanh toán 100% dịch vụ quảng cáo dự án Neutrogena Suncare 02-03-2026 theo BBTL của hợp đồng số HĐ/591/2026/METUB-ADAYA ký ngày 24/02/2026 HĐ số 3</t>
  </si>
  <si>
    <t>Doanh thu hợp đồng số 16012026_HDDV_ADAYA_THIENNGAN được lập và ký vào ngày 16 tháng 01 năm 2026 HĐ số 1</t>
  </si>
  <si>
    <t>Doanh thu đợt 2 50% theo hợp đồng số 08122025_HDDV_ADAYA_TPRODUCTION được lập và ký vào ngày 08 tháng 12 năm 2025 HĐ số 2</t>
  </si>
  <si>
    <t>Doanh thu dịch vụ quảng cáo dự án Neutrogena Suncare 02-03-2026 theo BBTL của hợp đồng số HĐ/591/2026/METUB-ADAYA ký ngày 24/02/2026 HĐ số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</si>
</sst>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1"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5"/>
  <sheetViews>
    <sheetView tabSelected="1" topLeftCell="B1" workbookViewId="0">
      <selection activeCell="F32" sqref="F32"/>
    </sheetView>
  </sheetViews>
  <sheetFormatPr defaultRowHeight="15.75" x14ac:dyDescent="0.25"/>
  <cols>
    <col min="7" max="7" width="32.25" bestFit="1" customWidth="1"/>
    <col min="8" max="8" width="91.75" bestFit="1" customWidth="1"/>
    <col min="9" max="9" width="12.125" style="1" bestFit="1" customWidth="1"/>
    <col min="10" max="10" width="9.125" style="1" bestFit="1" customWidth="1"/>
    <col min="11" max="11" width="11.125" style="1" bestFit="1" customWidth="1"/>
    <col min="12" max="12" width="12.125" style="1" bestFit="1" customWidth="1"/>
  </cols>
  <sheetData>
    <row r="1" spans="1:19" x14ac:dyDescent="0.25">
      <c r="A1" t="s">
        <v>0</v>
      </c>
      <c r="B1" t="s">
        <v>1</v>
      </c>
      <c r="C1" t="s">
        <v>2</v>
      </c>
      <c r="D1" t="s">
        <v>3</v>
      </c>
      <c r="E1" t="s">
        <v>4</v>
      </c>
      <c r="F1" t="s">
        <v>5</v>
      </c>
      <c r="G1" t="s">
        <v>6</v>
      </c>
      <c r="H1" t="s">
        <v>7</v>
      </c>
      <c r="I1" s="1" t="s">
        <v>8</v>
      </c>
      <c r="J1" s="1" t="s">
        <v>9</v>
      </c>
      <c r="K1" s="1" t="s">
        <v>10</v>
      </c>
      <c r="L1" s="1" t="s">
        <v>11</v>
      </c>
      <c r="M1" t="s">
        <v>7</v>
      </c>
    </row>
    <row r="2" spans="1:19" x14ac:dyDescent="0.25">
      <c r="A2">
        <v>1</v>
      </c>
      <c r="B2" t="s">
        <v>12</v>
      </c>
      <c r="C2" t="s">
        <v>13</v>
      </c>
      <c r="D2">
        <v>9383</v>
      </c>
      <c r="E2" t="s">
        <v>14</v>
      </c>
      <c r="F2" t="s">
        <v>15</v>
      </c>
      <c r="G2" t="s">
        <v>16</v>
      </c>
      <c r="H2" t="s">
        <v>17</v>
      </c>
      <c r="I2" s="1">
        <v>1266100</v>
      </c>
      <c r="J2" s="1">
        <v>0</v>
      </c>
      <c r="K2" s="1">
        <v>101288</v>
      </c>
      <c r="L2" s="1">
        <v>1367388</v>
      </c>
      <c r="M2" t="str">
        <f>"Chi phí tiếp khách, ngoại giao HĐ số "&amp;D2</f>
        <v>Chi phí tiếp khách, ngoại giao HĐ số 9383</v>
      </c>
      <c r="R2" t="s">
        <v>15</v>
      </c>
      <c r="S2" t="s">
        <v>16</v>
      </c>
    </row>
    <row r="3" spans="1:19" x14ac:dyDescent="0.25">
      <c r="A3">
        <v>2</v>
      </c>
      <c r="B3" t="s">
        <v>12</v>
      </c>
      <c r="C3" t="s">
        <v>18</v>
      </c>
      <c r="D3">
        <v>4005</v>
      </c>
      <c r="E3" t="s">
        <v>19</v>
      </c>
      <c r="F3" t="s">
        <v>20</v>
      </c>
      <c r="G3" t="s">
        <v>21</v>
      </c>
      <c r="H3" t="s">
        <v>22</v>
      </c>
      <c r="I3" s="1">
        <v>20000</v>
      </c>
      <c r="J3" s="1">
        <v>0</v>
      </c>
      <c r="K3" s="1">
        <v>2000</v>
      </c>
      <c r="L3" s="1">
        <v>22000</v>
      </c>
      <c r="M3" t="str">
        <f>H3</f>
        <v>Phí dịch vụ ngân hàng HĐ số 4005</v>
      </c>
      <c r="R3" t="s">
        <v>20</v>
      </c>
      <c r="S3" t="s">
        <v>21</v>
      </c>
    </row>
    <row r="4" spans="1:19" x14ac:dyDescent="0.25">
      <c r="A4">
        <v>3</v>
      </c>
      <c r="B4" t="s">
        <v>12</v>
      </c>
      <c r="C4" t="s">
        <v>18</v>
      </c>
      <c r="D4">
        <v>178</v>
      </c>
      <c r="E4" t="s">
        <v>19</v>
      </c>
      <c r="F4" t="s">
        <v>20</v>
      </c>
      <c r="G4" t="s">
        <v>21</v>
      </c>
      <c r="H4" t="s">
        <v>23</v>
      </c>
      <c r="I4" s="1">
        <v>20000</v>
      </c>
      <c r="J4" s="1">
        <v>0</v>
      </c>
      <c r="K4" s="1">
        <v>2000</v>
      </c>
      <c r="L4" s="1">
        <v>22000</v>
      </c>
      <c r="M4" t="str">
        <f>H4</f>
        <v>Phí dịch vụ ngân hàng HĐ số 178</v>
      </c>
      <c r="R4" t="s">
        <v>26</v>
      </c>
      <c r="S4" t="s">
        <v>27</v>
      </c>
    </row>
    <row r="5" spans="1:19" x14ac:dyDescent="0.25">
      <c r="A5">
        <v>4</v>
      </c>
      <c r="B5" t="s">
        <v>12</v>
      </c>
      <c r="C5" t="s">
        <v>24</v>
      </c>
      <c r="D5">
        <v>2</v>
      </c>
      <c r="E5" t="s">
        <v>25</v>
      </c>
      <c r="F5" t="s">
        <v>26</v>
      </c>
      <c r="G5" t="s">
        <v>27</v>
      </c>
      <c r="H5" t="s">
        <v>28</v>
      </c>
      <c r="I5" s="1">
        <v>6000000</v>
      </c>
      <c r="J5" s="1">
        <v>0</v>
      </c>
      <c r="K5" s="1">
        <v>480000</v>
      </c>
      <c r="L5" s="1">
        <v>6480000</v>
      </c>
      <c r="M5" t="str">
        <f>H5</f>
        <v>Dịch vụ tư vấn doanh nghiệp HĐ số 2</v>
      </c>
      <c r="R5" t="s">
        <v>31</v>
      </c>
      <c r="S5" t="s">
        <v>32</v>
      </c>
    </row>
    <row r="6" spans="1:19" x14ac:dyDescent="0.25">
      <c r="A6">
        <v>5</v>
      </c>
      <c r="B6" t="s">
        <v>12</v>
      </c>
      <c r="C6" t="s">
        <v>29</v>
      </c>
      <c r="D6">
        <v>1</v>
      </c>
      <c r="E6" t="s">
        <v>30</v>
      </c>
      <c r="F6" t="s">
        <v>31</v>
      </c>
      <c r="G6" t="s">
        <v>32</v>
      </c>
      <c r="H6" t="s">
        <v>33</v>
      </c>
      <c r="I6" s="1">
        <v>7000000</v>
      </c>
      <c r="J6" s="1">
        <v>0</v>
      </c>
      <c r="K6" s="1">
        <v>560000</v>
      </c>
      <c r="L6" s="1">
        <v>7560000</v>
      </c>
      <c r="M6" t="str">
        <f>H6</f>
        <v>Cung cấp dịch vụ Fashion Stylist theo hợp đồng số 09122025/HDDV/ADAYA-LAB ký ngày 09/12/2025 HĐ số 1</v>
      </c>
      <c r="R6" t="s">
        <v>36</v>
      </c>
      <c r="S6" t="s">
        <v>37</v>
      </c>
    </row>
    <row r="7" spans="1:19" x14ac:dyDescent="0.25">
      <c r="A7">
        <v>6</v>
      </c>
      <c r="B7" t="s">
        <v>12</v>
      </c>
      <c r="C7" t="s">
        <v>34</v>
      </c>
      <c r="D7">
        <v>1786</v>
      </c>
      <c r="E7" t="s">
        <v>35</v>
      </c>
      <c r="F7" t="s">
        <v>36</v>
      </c>
      <c r="G7" t="s">
        <v>37</v>
      </c>
      <c r="H7" t="s">
        <v>38</v>
      </c>
      <c r="I7" s="1">
        <v>315000</v>
      </c>
      <c r="J7" s="1">
        <v>0</v>
      </c>
      <c r="K7" s="1">
        <v>25200</v>
      </c>
      <c r="L7" s="1">
        <v>340200</v>
      </c>
      <c r="M7" t="str">
        <f>"Chi phí tiếp khách, ngoại giao HĐ số "&amp;D7</f>
        <v>Chi phí tiếp khách, ngoại giao HĐ số 1786</v>
      </c>
      <c r="R7" t="s">
        <v>41</v>
      </c>
      <c r="S7" t="s">
        <v>42</v>
      </c>
    </row>
    <row r="8" spans="1:19" x14ac:dyDescent="0.25">
      <c r="A8">
        <v>7</v>
      </c>
      <c r="B8" t="s">
        <v>12</v>
      </c>
      <c r="C8" t="s">
        <v>39</v>
      </c>
      <c r="D8">
        <v>54894</v>
      </c>
      <c r="E8" t="s">
        <v>40</v>
      </c>
      <c r="F8" t="s">
        <v>41</v>
      </c>
      <c r="G8" t="s">
        <v>42</v>
      </c>
      <c r="H8" t="s">
        <v>43</v>
      </c>
      <c r="I8" s="1">
        <v>20759</v>
      </c>
      <c r="J8" s="1">
        <v>0</v>
      </c>
      <c r="K8" s="1">
        <v>2076</v>
      </c>
      <c r="L8" s="1">
        <v>22835</v>
      </c>
      <c r="M8" t="str">
        <f>H8</f>
        <v>Phí dịch vụ ngân hàng HĐ số 54894</v>
      </c>
      <c r="R8" t="s">
        <v>45</v>
      </c>
      <c r="S8" t="s">
        <v>46</v>
      </c>
    </row>
    <row r="9" spans="1:19" x14ac:dyDescent="0.25">
      <c r="A9">
        <v>8</v>
      </c>
      <c r="B9" t="s">
        <v>12</v>
      </c>
      <c r="C9" t="s">
        <v>39</v>
      </c>
      <c r="D9">
        <v>654</v>
      </c>
      <c r="E9" t="s">
        <v>44</v>
      </c>
      <c r="F9" t="s">
        <v>45</v>
      </c>
      <c r="G9" t="s">
        <v>46</v>
      </c>
      <c r="H9" t="s">
        <v>47</v>
      </c>
      <c r="I9" s="1">
        <v>462000</v>
      </c>
      <c r="J9" s="1">
        <v>0</v>
      </c>
      <c r="K9" s="1">
        <v>39680</v>
      </c>
      <c r="L9" s="1">
        <v>501680</v>
      </c>
      <c r="M9" t="str">
        <f>"Chi phí tiếp khách, ngoại giao HĐ số "&amp;D9</f>
        <v>Chi phí tiếp khách, ngoại giao HĐ số 654</v>
      </c>
      <c r="R9" t="s">
        <v>50</v>
      </c>
      <c r="S9" t="s">
        <v>51</v>
      </c>
    </row>
    <row r="10" spans="1:19" x14ac:dyDescent="0.25">
      <c r="A10">
        <v>9</v>
      </c>
      <c r="B10" t="s">
        <v>12</v>
      </c>
      <c r="C10" t="s">
        <v>48</v>
      </c>
      <c r="D10">
        <v>3</v>
      </c>
      <c r="E10" t="s">
        <v>49</v>
      </c>
      <c r="F10" t="s">
        <v>50</v>
      </c>
      <c r="G10" t="s">
        <v>51</v>
      </c>
      <c r="H10" t="s">
        <v>52</v>
      </c>
      <c r="I10" s="1">
        <v>69195000</v>
      </c>
      <c r="J10" s="1">
        <v>0</v>
      </c>
      <c r="K10" s="1">
        <v>5535600</v>
      </c>
      <c r="L10" s="1">
        <v>74730600</v>
      </c>
      <c r="M10" t="str">
        <f>H10</f>
        <v>Dịch vụ cho thuê địa điểm và thiết kế bối cảnh theo hợp đồng số 09122025-HDDV-HAUSOFTRANG- ADAYA ký ngày 09/12/2025 và Biên bản nghiệm thu ký ngày 13/01/2026. HĐ số 3</v>
      </c>
      <c r="R10" t="s">
        <v>54</v>
      </c>
      <c r="S10" t="s">
        <v>55</v>
      </c>
    </row>
    <row r="11" spans="1:19" x14ac:dyDescent="0.25">
      <c r="A11">
        <v>10</v>
      </c>
      <c r="B11" t="s">
        <v>12</v>
      </c>
      <c r="C11" t="s">
        <v>48</v>
      </c>
      <c r="D11">
        <v>432</v>
      </c>
      <c r="E11" t="s">
        <v>53</v>
      </c>
      <c r="F11" t="s">
        <v>54</v>
      </c>
      <c r="G11" t="s">
        <v>55</v>
      </c>
      <c r="H11" t="s">
        <v>56</v>
      </c>
      <c r="I11" s="1">
        <v>2380000</v>
      </c>
      <c r="J11" s="1">
        <v>0</v>
      </c>
      <c r="K11" s="1">
        <v>190400</v>
      </c>
      <c r="L11" s="1">
        <v>2570400</v>
      </c>
      <c r="M11" t="str">
        <f>"Chi phí tiếp khách, ngoại giao HĐ số "&amp;D11</f>
        <v>Chi phí tiếp khách, ngoại giao HĐ số 432</v>
      </c>
      <c r="R11" t="s">
        <v>64</v>
      </c>
      <c r="S11" t="s">
        <v>65</v>
      </c>
    </row>
    <row r="12" spans="1:19" x14ac:dyDescent="0.25">
      <c r="A12">
        <v>11</v>
      </c>
      <c r="B12" t="s">
        <v>12</v>
      </c>
      <c r="C12" t="s">
        <v>57</v>
      </c>
      <c r="D12">
        <v>8735</v>
      </c>
      <c r="E12" t="s">
        <v>58</v>
      </c>
      <c r="F12" t="s">
        <v>20</v>
      </c>
      <c r="G12" t="s">
        <v>21</v>
      </c>
      <c r="H12" t="s">
        <v>59</v>
      </c>
      <c r="I12" s="1">
        <v>20000</v>
      </c>
      <c r="J12" s="1">
        <v>0</v>
      </c>
      <c r="K12" s="1">
        <v>2000</v>
      </c>
      <c r="L12" s="1">
        <v>22000</v>
      </c>
      <c r="M12" t="str">
        <f>H12</f>
        <v>Phí dịch vụ ngân hàng HĐ số 8735</v>
      </c>
      <c r="R12" t="s">
        <v>70</v>
      </c>
      <c r="S12" t="s">
        <v>71</v>
      </c>
    </row>
    <row r="13" spans="1:19" x14ac:dyDescent="0.25">
      <c r="A13">
        <v>12</v>
      </c>
      <c r="B13" t="s">
        <v>12</v>
      </c>
      <c r="C13" t="s">
        <v>57</v>
      </c>
      <c r="D13">
        <v>8206</v>
      </c>
      <c r="E13" t="s">
        <v>58</v>
      </c>
      <c r="F13" t="s">
        <v>20</v>
      </c>
      <c r="G13" t="s">
        <v>21</v>
      </c>
      <c r="H13" t="s">
        <v>60</v>
      </c>
      <c r="I13" s="1">
        <v>20000</v>
      </c>
      <c r="J13" s="1">
        <v>0</v>
      </c>
      <c r="K13" s="1">
        <v>2000</v>
      </c>
      <c r="L13" s="1">
        <v>22000</v>
      </c>
      <c r="M13" t="str">
        <f>H13</f>
        <v>Phí dịch vụ ngân hàng HĐ số 8206</v>
      </c>
      <c r="R13" t="s">
        <v>81</v>
      </c>
      <c r="S13" t="s">
        <v>82</v>
      </c>
    </row>
    <row r="14" spans="1:19" x14ac:dyDescent="0.25">
      <c r="A14">
        <v>13</v>
      </c>
      <c r="B14" t="s">
        <v>12</v>
      </c>
      <c r="C14" t="s">
        <v>57</v>
      </c>
      <c r="D14">
        <v>5833</v>
      </c>
      <c r="E14" t="s">
        <v>58</v>
      </c>
      <c r="F14" t="s">
        <v>20</v>
      </c>
      <c r="G14" t="s">
        <v>21</v>
      </c>
      <c r="H14" t="s">
        <v>61</v>
      </c>
      <c r="I14" s="1">
        <v>20000</v>
      </c>
      <c r="J14" s="1">
        <v>0</v>
      </c>
      <c r="K14" s="1">
        <v>2000</v>
      </c>
      <c r="L14" s="1">
        <v>22000</v>
      </c>
      <c r="M14" t="str">
        <f>H14</f>
        <v>Phí dịch vụ ngân hàng HĐ số 5833</v>
      </c>
      <c r="R14" t="s">
        <v>86</v>
      </c>
      <c r="S14" t="s">
        <v>87</v>
      </c>
    </row>
    <row r="15" spans="1:19" x14ac:dyDescent="0.25">
      <c r="A15">
        <v>14</v>
      </c>
      <c r="B15" t="s">
        <v>12</v>
      </c>
      <c r="C15" t="s">
        <v>62</v>
      </c>
      <c r="D15">
        <v>76335</v>
      </c>
      <c r="E15" t="s">
        <v>63</v>
      </c>
      <c r="F15" t="s">
        <v>64</v>
      </c>
      <c r="G15" t="s">
        <v>65</v>
      </c>
      <c r="H15" t="s">
        <v>66</v>
      </c>
      <c r="I15" s="1">
        <v>3250000</v>
      </c>
      <c r="J15" s="1">
        <v>0</v>
      </c>
      <c r="K15" s="1">
        <v>260000</v>
      </c>
      <c r="L15" s="1">
        <v>3510000</v>
      </c>
      <c r="M15" t="str">
        <f>"Chi phí tiếp khách, ngoại giao HĐ số "&amp;D15</f>
        <v>Chi phí tiếp khách, ngoại giao HĐ số 76335</v>
      </c>
      <c r="R15" t="s">
        <v>95</v>
      </c>
      <c r="S15" t="s">
        <v>96</v>
      </c>
    </row>
    <row r="16" spans="1:19" x14ac:dyDescent="0.25">
      <c r="A16">
        <v>15</v>
      </c>
      <c r="B16" t="s">
        <v>12</v>
      </c>
      <c r="C16" t="s">
        <v>67</v>
      </c>
      <c r="D16">
        <v>3965862</v>
      </c>
      <c r="E16" t="s">
        <v>40</v>
      </c>
      <c r="F16" t="s">
        <v>20</v>
      </c>
      <c r="G16" t="s">
        <v>21</v>
      </c>
      <c r="H16" t="s">
        <v>68</v>
      </c>
      <c r="I16" s="1">
        <v>20000</v>
      </c>
      <c r="J16" s="1">
        <v>0</v>
      </c>
      <c r="K16" s="1">
        <v>2000</v>
      </c>
      <c r="L16" s="1">
        <v>22000</v>
      </c>
      <c r="M16" t="str">
        <f>H16</f>
        <v>Phí dịch vụ ngân hàng HĐ số 3965862</v>
      </c>
      <c r="R16" t="s">
        <v>108</v>
      </c>
      <c r="S16" t="s">
        <v>109</v>
      </c>
    </row>
    <row r="17" spans="1:19" x14ac:dyDescent="0.25">
      <c r="A17">
        <v>16</v>
      </c>
      <c r="B17" t="s">
        <v>12</v>
      </c>
      <c r="C17" t="s">
        <v>67</v>
      </c>
      <c r="D17">
        <v>585</v>
      </c>
      <c r="E17" t="s">
        <v>69</v>
      </c>
      <c r="F17" t="s">
        <v>70</v>
      </c>
      <c r="G17" t="s">
        <v>71</v>
      </c>
      <c r="H17" t="s">
        <v>72</v>
      </c>
      <c r="I17" s="1">
        <v>7570750</v>
      </c>
      <c r="J17" s="1">
        <v>0</v>
      </c>
      <c r="K17" s="1">
        <v>641660</v>
      </c>
      <c r="L17" s="1">
        <v>8212410</v>
      </c>
      <c r="M17" t="str">
        <f>"Chi phí tiếp khách, ngoại giao HĐ số "&amp;D17</f>
        <v>Chi phí tiếp khách, ngoại giao HĐ số 585</v>
      </c>
      <c r="R17" t="s">
        <v>114</v>
      </c>
      <c r="S17" t="s">
        <v>115</v>
      </c>
    </row>
    <row r="18" spans="1:19" x14ac:dyDescent="0.25">
      <c r="A18">
        <v>17</v>
      </c>
      <c r="B18" t="s">
        <v>12</v>
      </c>
      <c r="C18" t="s">
        <v>73</v>
      </c>
      <c r="D18">
        <v>397480</v>
      </c>
      <c r="E18" t="s">
        <v>14</v>
      </c>
      <c r="F18" t="s">
        <v>15</v>
      </c>
      <c r="G18" t="s">
        <v>16</v>
      </c>
      <c r="H18" t="s">
        <v>74</v>
      </c>
      <c r="I18" s="1">
        <v>1212000</v>
      </c>
      <c r="J18" s="1">
        <v>0</v>
      </c>
      <c r="K18" s="1">
        <v>96960</v>
      </c>
      <c r="L18" s="1">
        <v>1308960</v>
      </c>
      <c r="M18" t="str">
        <f>"Chi phí tiếp khách, ngoại giao HĐ số "&amp;D18</f>
        <v>Chi phí tiếp khách, ngoại giao HĐ số 397480</v>
      </c>
      <c r="R18" t="s">
        <v>118</v>
      </c>
      <c r="S18" t="s">
        <v>119</v>
      </c>
    </row>
    <row r="19" spans="1:19" x14ac:dyDescent="0.25">
      <c r="A19">
        <v>18</v>
      </c>
      <c r="B19" t="s">
        <v>12</v>
      </c>
      <c r="C19" t="s">
        <v>75</v>
      </c>
      <c r="D19">
        <v>4521577</v>
      </c>
      <c r="E19" t="s">
        <v>40</v>
      </c>
      <c r="F19" t="s">
        <v>20</v>
      </c>
      <c r="G19" t="s">
        <v>21</v>
      </c>
      <c r="H19" t="s">
        <v>76</v>
      </c>
      <c r="I19" s="1">
        <v>20000</v>
      </c>
      <c r="J19" s="1">
        <v>0</v>
      </c>
      <c r="K19" s="1">
        <v>2000</v>
      </c>
      <c r="L19" s="1">
        <v>22000</v>
      </c>
      <c r="M19" t="str">
        <f>H19</f>
        <v>Phí dịch vụ ngân hàng HĐ số 4521577</v>
      </c>
      <c r="R19" t="s">
        <v>122</v>
      </c>
      <c r="S19" t="s">
        <v>123</v>
      </c>
    </row>
    <row r="20" spans="1:19" x14ac:dyDescent="0.25">
      <c r="A20">
        <v>19</v>
      </c>
      <c r="B20" t="s">
        <v>12</v>
      </c>
      <c r="C20" t="s">
        <v>77</v>
      </c>
      <c r="D20">
        <v>5661424</v>
      </c>
      <c r="E20" t="s">
        <v>40</v>
      </c>
      <c r="F20" t="s">
        <v>20</v>
      </c>
      <c r="G20" t="s">
        <v>21</v>
      </c>
      <c r="H20" t="s">
        <v>78</v>
      </c>
      <c r="I20" s="1">
        <v>20000</v>
      </c>
      <c r="J20" s="1">
        <v>0</v>
      </c>
      <c r="K20" s="1">
        <v>2000</v>
      </c>
      <c r="L20" s="1">
        <v>22000</v>
      </c>
      <c r="M20" t="str">
        <f>H20</f>
        <v>Phí dịch vụ ngân hàng HĐ số 5661424</v>
      </c>
    </row>
    <row r="21" spans="1:19" x14ac:dyDescent="0.25">
      <c r="A21">
        <v>20</v>
      </c>
      <c r="B21" t="s">
        <v>12</v>
      </c>
      <c r="C21" t="s">
        <v>77</v>
      </c>
      <c r="D21">
        <v>5540023</v>
      </c>
      <c r="E21" t="s">
        <v>40</v>
      </c>
      <c r="F21" t="s">
        <v>20</v>
      </c>
      <c r="G21" t="s">
        <v>21</v>
      </c>
      <c r="H21" t="s">
        <v>79</v>
      </c>
      <c r="I21" s="1">
        <v>20000</v>
      </c>
      <c r="J21" s="1">
        <v>0</v>
      </c>
      <c r="K21" s="1">
        <v>2000</v>
      </c>
      <c r="L21" s="1">
        <v>22000</v>
      </c>
      <c r="M21" t="str">
        <f>H21</f>
        <v>Phí dịch vụ ngân hàng HĐ số 5540023</v>
      </c>
    </row>
    <row r="22" spans="1:19" x14ac:dyDescent="0.25">
      <c r="A22">
        <v>21</v>
      </c>
      <c r="B22" t="s">
        <v>12</v>
      </c>
      <c r="C22" t="s">
        <v>77</v>
      </c>
      <c r="D22">
        <v>5019263</v>
      </c>
      <c r="E22" t="s">
        <v>80</v>
      </c>
      <c r="F22" t="s">
        <v>81</v>
      </c>
      <c r="G22" t="s">
        <v>82</v>
      </c>
      <c r="H22" t="s">
        <v>83</v>
      </c>
      <c r="I22" s="1">
        <v>43518</v>
      </c>
      <c r="J22" s="1">
        <v>0</v>
      </c>
      <c r="K22" s="1">
        <v>3482</v>
      </c>
      <c r="L22" s="1">
        <v>47000</v>
      </c>
      <c r="M22" t="str">
        <f>"Chi phí di chuyển, đi lại HĐ số "&amp;D22</f>
        <v>Chi phí di chuyển, đi lại HĐ số 5019263</v>
      </c>
    </row>
    <row r="23" spans="1:19" x14ac:dyDescent="0.25">
      <c r="A23">
        <v>22</v>
      </c>
      <c r="B23" t="s">
        <v>12</v>
      </c>
      <c r="C23" t="s">
        <v>84</v>
      </c>
      <c r="D23">
        <v>68</v>
      </c>
      <c r="E23" t="s">
        <v>85</v>
      </c>
      <c r="F23" t="s">
        <v>86</v>
      </c>
      <c r="G23" t="s">
        <v>87</v>
      </c>
      <c r="H23" t="s">
        <v>88</v>
      </c>
      <c r="I23" s="1">
        <v>3260000</v>
      </c>
      <c r="J23" s="1">
        <v>0</v>
      </c>
      <c r="K23" s="1">
        <v>260800</v>
      </c>
      <c r="L23" s="1">
        <v>3520800</v>
      </c>
      <c r="M23" t="str">
        <f>"Chi phí mua quà tặng khách HĐ số "&amp;D23</f>
        <v>Chi phí mua quà tặng khách HĐ số 68</v>
      </c>
    </row>
    <row r="24" spans="1:19" x14ac:dyDescent="0.25">
      <c r="A24">
        <v>23</v>
      </c>
      <c r="B24" t="s">
        <v>12</v>
      </c>
      <c r="C24" t="s">
        <v>89</v>
      </c>
      <c r="D24">
        <v>69</v>
      </c>
      <c r="E24" t="s">
        <v>85</v>
      </c>
      <c r="F24" t="s">
        <v>86</v>
      </c>
      <c r="G24" t="s">
        <v>87</v>
      </c>
      <c r="H24" t="s">
        <v>90</v>
      </c>
      <c r="I24" s="1">
        <v>2740000</v>
      </c>
      <c r="J24" s="1">
        <v>0</v>
      </c>
      <c r="K24" s="1">
        <v>219200</v>
      </c>
      <c r="L24" s="1">
        <v>2959200</v>
      </c>
      <c r="M24" t="str">
        <f>"Chi phí mua quà tặng khách HĐ số "&amp;D24</f>
        <v>Chi phí mua quà tặng khách HĐ số 69</v>
      </c>
    </row>
    <row r="25" spans="1:19" x14ac:dyDescent="0.25">
      <c r="A25">
        <v>24</v>
      </c>
      <c r="B25" t="s">
        <v>12</v>
      </c>
      <c r="C25" t="s">
        <v>91</v>
      </c>
      <c r="D25">
        <v>9319408</v>
      </c>
      <c r="E25" t="s">
        <v>40</v>
      </c>
      <c r="F25" t="s">
        <v>20</v>
      </c>
      <c r="G25" t="s">
        <v>21</v>
      </c>
      <c r="H25" t="s">
        <v>92</v>
      </c>
      <c r="I25" s="1">
        <v>20000</v>
      </c>
      <c r="J25" s="1">
        <v>0</v>
      </c>
      <c r="K25" s="1">
        <v>2000</v>
      </c>
      <c r="L25" s="1">
        <v>22000</v>
      </c>
      <c r="M25" t="str">
        <f>H25</f>
        <v>Phí dịch vụ ngân hàng HĐ số 9319408</v>
      </c>
    </row>
    <row r="26" spans="1:19" x14ac:dyDescent="0.25">
      <c r="A26">
        <v>25</v>
      </c>
      <c r="B26" t="s">
        <v>12</v>
      </c>
      <c r="C26" t="s">
        <v>93</v>
      </c>
      <c r="D26">
        <v>1335</v>
      </c>
      <c r="E26" t="s">
        <v>94</v>
      </c>
      <c r="F26" t="s">
        <v>95</v>
      </c>
      <c r="G26" t="s">
        <v>96</v>
      </c>
      <c r="H26" t="s">
        <v>97</v>
      </c>
      <c r="I26" s="1">
        <v>1228704</v>
      </c>
      <c r="J26" s="1">
        <v>0</v>
      </c>
      <c r="K26" s="1">
        <v>98296</v>
      </c>
      <c r="L26" s="1">
        <v>1327000</v>
      </c>
      <c r="M26" t="str">
        <f>H26</f>
        <v>Phí dịch vụ chữ ký số 1 năm HĐ số 1335</v>
      </c>
    </row>
    <row r="27" spans="1:19" x14ac:dyDescent="0.25">
      <c r="A27">
        <v>26</v>
      </c>
      <c r="B27" t="s">
        <v>12</v>
      </c>
      <c r="C27" t="s">
        <v>93</v>
      </c>
      <c r="D27">
        <v>52</v>
      </c>
      <c r="E27" t="s">
        <v>25</v>
      </c>
      <c r="F27" t="s">
        <v>26</v>
      </c>
      <c r="G27" t="s">
        <v>27</v>
      </c>
      <c r="H27" t="s">
        <v>98</v>
      </c>
      <c r="I27" s="1">
        <v>6900000</v>
      </c>
      <c r="J27" s="1">
        <v>0</v>
      </c>
      <c r="K27" s="1">
        <v>552000</v>
      </c>
      <c r="L27" s="1">
        <v>7452000</v>
      </c>
      <c r="M27" t="str">
        <f>"Dịch vụ tư vấn doanh nghiệp HĐ số "&amp;D27</f>
        <v>Dịch vụ tư vấn doanh nghiệp HĐ số 52</v>
      </c>
    </row>
    <row r="28" spans="1:19" x14ac:dyDescent="0.25">
      <c r="A28">
        <v>27</v>
      </c>
      <c r="B28" t="s">
        <v>12</v>
      </c>
      <c r="C28" t="s">
        <v>93</v>
      </c>
      <c r="D28">
        <v>11021736</v>
      </c>
      <c r="E28" t="s">
        <v>40</v>
      </c>
      <c r="F28" t="s">
        <v>20</v>
      </c>
      <c r="G28" t="s">
        <v>21</v>
      </c>
      <c r="H28" t="s">
        <v>99</v>
      </c>
      <c r="I28" s="1">
        <v>20000</v>
      </c>
      <c r="J28" s="1">
        <v>0</v>
      </c>
      <c r="K28" s="1">
        <v>2000</v>
      </c>
      <c r="L28" s="1">
        <v>22000</v>
      </c>
      <c r="M28" t="str">
        <f>H28</f>
        <v>Phí dịch vụ ngân hàng HĐ số 11021736</v>
      </c>
    </row>
    <row r="29" spans="1:19" x14ac:dyDescent="0.25">
      <c r="A29">
        <v>28</v>
      </c>
      <c r="B29" t="s">
        <v>12</v>
      </c>
      <c r="C29" t="s">
        <v>100</v>
      </c>
      <c r="D29">
        <v>11184759</v>
      </c>
      <c r="E29" t="s">
        <v>40</v>
      </c>
      <c r="F29" t="s">
        <v>20</v>
      </c>
      <c r="G29" t="s">
        <v>21</v>
      </c>
      <c r="H29" t="s">
        <v>101</v>
      </c>
      <c r="I29" s="1">
        <v>20000</v>
      </c>
      <c r="J29" s="1">
        <v>0</v>
      </c>
      <c r="K29" s="1">
        <v>2000</v>
      </c>
      <c r="L29" s="1">
        <v>22000</v>
      </c>
      <c r="M29" t="str">
        <f>H29</f>
        <v>Phí dịch vụ ngân hàng HĐ số 11184759</v>
      </c>
    </row>
    <row r="30" spans="1:19" x14ac:dyDescent="0.25">
      <c r="A30">
        <v>29</v>
      </c>
      <c r="B30" t="s">
        <v>12</v>
      </c>
      <c r="C30" t="s">
        <v>102</v>
      </c>
      <c r="D30">
        <v>12516984</v>
      </c>
      <c r="E30" t="s">
        <v>40</v>
      </c>
      <c r="F30" t="s">
        <v>20</v>
      </c>
      <c r="G30" t="s">
        <v>21</v>
      </c>
      <c r="H30" t="s">
        <v>103</v>
      </c>
      <c r="I30" s="1">
        <v>20000</v>
      </c>
      <c r="J30" s="1">
        <v>0</v>
      </c>
      <c r="K30" s="1">
        <v>2000</v>
      </c>
      <c r="L30" s="1">
        <v>22000</v>
      </c>
      <c r="M30" t="str">
        <f>H30</f>
        <v>Phí dịch vụ ngân hàng HĐ số 12516984</v>
      </c>
    </row>
    <row r="31" spans="1:19" x14ac:dyDescent="0.25">
      <c r="A31">
        <v>30</v>
      </c>
      <c r="B31" t="s">
        <v>12</v>
      </c>
      <c r="C31" t="s">
        <v>104</v>
      </c>
      <c r="D31">
        <v>14208012</v>
      </c>
      <c r="E31" t="s">
        <v>40</v>
      </c>
      <c r="F31" t="s">
        <v>20</v>
      </c>
      <c r="G31" t="s">
        <v>21</v>
      </c>
      <c r="H31" t="s">
        <v>105</v>
      </c>
      <c r="I31" s="1">
        <v>20000</v>
      </c>
      <c r="J31" s="1">
        <v>0</v>
      </c>
      <c r="K31" s="1">
        <v>2000</v>
      </c>
      <c r="L31" s="1">
        <v>22000</v>
      </c>
      <c r="M31" t="str">
        <f>H31</f>
        <v>Phí dịch vụ ngân hàng HĐ số 14208012</v>
      </c>
    </row>
    <row r="32" spans="1:19" x14ac:dyDescent="0.25">
      <c r="A32">
        <v>31</v>
      </c>
      <c r="B32" t="s">
        <v>12</v>
      </c>
      <c r="C32" t="s">
        <v>106</v>
      </c>
      <c r="D32">
        <v>79</v>
      </c>
      <c r="E32" t="s">
        <v>107</v>
      </c>
      <c r="F32" t="s">
        <v>108</v>
      </c>
      <c r="G32" t="s">
        <v>109</v>
      </c>
      <c r="H32" t="s">
        <v>110</v>
      </c>
      <c r="I32" s="1">
        <v>600000</v>
      </c>
      <c r="J32" s="1">
        <v>0</v>
      </c>
      <c r="K32" s="1">
        <v>48000</v>
      </c>
      <c r="L32" s="1">
        <v>648000</v>
      </c>
      <c r="M32" t="str">
        <f>H32</f>
        <v>Dịch vụ làm hồ sơ hoạt động trở lại HĐ số 79</v>
      </c>
    </row>
    <row r="33" spans="1:13" x14ac:dyDescent="0.25">
      <c r="A33">
        <v>32</v>
      </c>
      <c r="B33" t="s">
        <v>111</v>
      </c>
      <c r="C33" t="s">
        <v>112</v>
      </c>
      <c r="D33">
        <v>1</v>
      </c>
      <c r="E33" t="s">
        <v>113</v>
      </c>
      <c r="F33" t="s">
        <v>114</v>
      </c>
      <c r="G33" t="s">
        <v>115</v>
      </c>
      <c r="H33" t="s">
        <v>116</v>
      </c>
      <c r="I33" s="1">
        <v>136000000</v>
      </c>
      <c r="J33" s="1">
        <v>0</v>
      </c>
      <c r="K33" s="1">
        <v>10880000</v>
      </c>
      <c r="L33" s="1">
        <v>146880000</v>
      </c>
      <c r="M33" t="s">
        <v>125</v>
      </c>
    </row>
    <row r="34" spans="1:13" x14ac:dyDescent="0.25">
      <c r="A34">
        <v>33</v>
      </c>
      <c r="B34" t="s">
        <v>111</v>
      </c>
      <c r="C34" t="s">
        <v>117</v>
      </c>
      <c r="D34">
        <v>2</v>
      </c>
      <c r="E34" t="s">
        <v>113</v>
      </c>
      <c r="F34" t="s">
        <v>118</v>
      </c>
      <c r="G34" t="s">
        <v>119</v>
      </c>
      <c r="H34" t="s">
        <v>120</v>
      </c>
      <c r="I34" s="1">
        <v>13888889</v>
      </c>
      <c r="J34" s="1">
        <v>0</v>
      </c>
      <c r="K34" s="1">
        <v>1111111</v>
      </c>
      <c r="L34" s="1">
        <v>15000000</v>
      </c>
      <c r="M34" t="s">
        <v>126</v>
      </c>
    </row>
    <row r="35" spans="1:13" x14ac:dyDescent="0.25">
      <c r="A35">
        <v>34</v>
      </c>
      <c r="B35" t="s">
        <v>111</v>
      </c>
      <c r="C35" t="s">
        <v>121</v>
      </c>
      <c r="D35">
        <v>3</v>
      </c>
      <c r="E35" t="s">
        <v>113</v>
      </c>
      <c r="F35" t="s">
        <v>122</v>
      </c>
      <c r="G35" t="s">
        <v>123</v>
      </c>
      <c r="H35" t="s">
        <v>124</v>
      </c>
      <c r="I35" s="1">
        <v>12000000</v>
      </c>
      <c r="J35" s="1">
        <v>0</v>
      </c>
      <c r="K35" s="1">
        <v>960000</v>
      </c>
      <c r="L35" s="1">
        <v>12960000</v>
      </c>
      <c r="M35" t="s">
        <v>127</v>
      </c>
    </row>
  </sheetData>
  <autoFilter ref="A1:M35" xr:uid="{00000000-0001-0000-0000-000000000000}">
    <sortState xmlns:xlrd2="http://schemas.microsoft.com/office/spreadsheetml/2017/richdata2" ref="A2:M35">
      <sortCondition ref="A1:A35"/>
    </sortState>
  </autoFilter>
  <pageMargins left="0.7" right="0.7" top="0.75" bottom="0.75" header="0.3" footer="0.3"/>
  <ignoredErrors>
    <ignoredError sqref="A1:L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JOKER SON</cp:lastModifiedBy>
  <dcterms:modified xsi:type="dcterms:W3CDTF">2026-07-26T07:16:08Z</dcterms:modified>
</cp:coreProperties>
</file>